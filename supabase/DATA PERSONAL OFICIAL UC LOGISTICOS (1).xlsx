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9BFD0A-9275-4A1A-AA6D-321D69234BFD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MATRIZ PLACA" sheetId="1" state="hidden" r:id="rId1"/>
    <sheet name="DATA-PRINCIPAL" sheetId="2" state="hidden" r:id="rId2"/>
    <sheet name="ACTIVOS" sheetId="3" r:id="rId3"/>
    <sheet name="INACTIVOS" sheetId="4" r:id="rId4"/>
    <sheet name="Tabla dinámica 5" sheetId="5" state="hidden" r:id="rId5"/>
  </sheets>
  <definedNames>
    <definedName name="_xlnm._FilterDatabase" localSheetId="2" hidden="1">ACTIVOS!$A$1:$AG$187</definedName>
    <definedName name="_xlnm._FilterDatabase" localSheetId="1" hidden="1">'DATA-PRINCIPAL'!$A$1:$AD$603</definedName>
    <definedName name="Z_309776D3_C190_4335_B619_BE34F91EE46E_.wvu.FilterData" localSheetId="2" hidden="1">ACTIVOS!$A$1:$AA$96</definedName>
    <definedName name="Z_309776D3_C190_4335_B619_BE34F91EE46E_.wvu.FilterData" localSheetId="1" hidden="1">'DATA-PRINCIPAL'!$D$265:$D$273</definedName>
    <definedName name="Z_5E1AD4ED_D29A_4AD6_A92D_54F092D61BA4_.wvu.FilterData" localSheetId="2" hidden="1">ACTIVOS!$A$1:$AA$109</definedName>
    <definedName name="Z_88CCD7E2_8245_4EE6_995E_70F3AB064EEE_.wvu.FilterData" localSheetId="2" hidden="1">ACTIVOS!$A$1:$AA$109</definedName>
    <definedName name="Z_943CA75D_23A6_478B_A63E_7BEEFB925C5C_.wvu.FilterData" localSheetId="2" hidden="1">ACTIVOS!$A$1:$AA$106</definedName>
    <definedName name="Z_9FEA7BA0_182F_4904_B747_0F06627DA2E3_.wvu.FilterData" localSheetId="1" hidden="1">'DATA-PRINCIPAL'!$A$1:$AD$570</definedName>
    <definedName name="Z_A2E0186D_424E_4895_9072_D0EDDD8CCE69_.wvu.FilterData" localSheetId="2" hidden="1">ACTIVOS!$A$1:$Z$92</definedName>
    <definedName name="Z_A2E0186D_424E_4895_9072_D0EDDD8CCE69_.wvu.FilterData" localSheetId="1" hidden="1">'DATA-PRINCIPAL'!$A$1:$AC$363</definedName>
    <definedName name="Z_DD18CB90_56C4_4A3E_8CB0_0983BBA2F96E_.wvu.FilterData" localSheetId="2" hidden="1">ACTIVOS!$A$1:$AA$109</definedName>
    <definedName name="Z_DE964616_F8E9_43FE_A175_9A47931A6B88_.wvu.FilterData" localSheetId="2" hidden="1">ACTIVOS!$A$1:$AB$138</definedName>
    <definedName name="Z_DFB6F231_9A14_431F_9B10_6FF6D4042E99_.wvu.FilterData" localSheetId="2" hidden="1">ACTIVOS!$A$1:$AA$96</definedName>
    <definedName name="Z_DFB6F231_9A14_431F_9B10_6FF6D4042E99_.wvu.FilterData" localSheetId="1" hidden="1">'DATA-PRINCIPAL'!$A$1:$AC$363</definedName>
  </definedNames>
  <calcPr calcId="191029"/>
  <customWorkbookViews>
    <customWorkbookView name="Filtro 1" guid="{A2E0186D-424E-4895-9072-D0EDDD8CCE69}" maximized="1" windowWidth="0" windowHeight="0" activeSheetId="0"/>
    <customWorkbookView name="Filtro 7" guid="{DD18CB90-56C4-4A3E-8CB0-0983BBA2F96E}" maximized="1" windowWidth="0" windowHeight="0" activeSheetId="0"/>
    <customWorkbookView name="Filtro 3" guid="{309776D3-C190-4335-B619-BE34F91EE46E}" maximized="1" windowWidth="0" windowHeight="0" activeSheetId="0"/>
    <customWorkbookView name="Filtro 5" guid="{5E1AD4ED-D29A-4AD6-A92D-54F092D61BA4}" maximized="1" windowWidth="0" windowHeight="0" activeSheetId="0"/>
    <customWorkbookView name="mm" guid="{9FEA7BA0-182F-4904-B747-0F06627DA2E3}" maximized="1" windowWidth="0" windowHeight="0" activeSheetId="0"/>
    <customWorkbookView name="Filtro 6" guid="{88CCD7E2-8245-4EE6-995E-70F3AB064EEE}" maximized="1" windowWidth="0" windowHeight="0" activeSheetId="0"/>
    <customWorkbookView name="Filtro 2" guid="{DFB6F231-9A14-431F-9B10-6FF6D4042E99}" maximized="1" windowWidth="0" windowHeight="0" activeSheetId="0"/>
    <customWorkbookView name="Filtro 8" guid="{DE964616-F8E9-43FE-A175-9A47931A6B88}" maximized="1" windowWidth="0" windowHeight="0" activeSheetId="0"/>
    <customWorkbookView name="Filtro 4" guid="{943CA75D-23A6-478B-A63E-7BEEFB925C5C}" maximized="1" windowWidth="0" windowHeight="0" activeSheetId="0"/>
  </customWorkbookViews>
  <pivotCaches>
    <pivotCache cacheId="14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5" i="4" l="1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3" i="4"/>
  <c r="L72" i="4"/>
  <c r="L71" i="4"/>
  <c r="L70" i="4"/>
  <c r="L69" i="4"/>
  <c r="L68" i="4"/>
  <c r="L67" i="4"/>
  <c r="L66" i="4"/>
  <c r="L65" i="4"/>
  <c r="L63" i="4"/>
  <c r="L62" i="4"/>
  <c r="L61" i="4"/>
  <c r="L60" i="4"/>
  <c r="L59" i="4"/>
  <c r="L58" i="4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4" i="4"/>
  <c r="L13" i="4"/>
  <c r="L12" i="4"/>
  <c r="L11" i="4"/>
  <c r="L10" i="4"/>
  <c r="L9" i="4"/>
  <c r="L8" i="4"/>
  <c r="L6" i="4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6" i="3"/>
  <c r="L5" i="3"/>
  <c r="L4" i="3"/>
  <c r="L3" i="3"/>
  <c r="L2" i="3"/>
  <c r="M603" i="2"/>
  <c r="J603" i="2"/>
  <c r="M602" i="2"/>
  <c r="J602" i="2"/>
  <c r="M601" i="2"/>
  <c r="J601" i="2"/>
  <c r="J600" i="2"/>
  <c r="J599" i="2"/>
  <c r="M598" i="2"/>
  <c r="J598" i="2"/>
  <c r="M597" i="2"/>
  <c r="J597" i="2"/>
  <c r="J596" i="2"/>
  <c r="M595" i="2"/>
  <c r="J595" i="2"/>
  <c r="M594" i="2"/>
  <c r="J594" i="2"/>
  <c r="M593" i="2"/>
  <c r="J593" i="2"/>
  <c r="M592" i="2"/>
  <c r="J592" i="2"/>
  <c r="M591" i="2"/>
  <c r="J591" i="2"/>
  <c r="M590" i="2"/>
  <c r="J590" i="2"/>
  <c r="M589" i="2"/>
  <c r="J589" i="2"/>
  <c r="M588" i="2"/>
  <c r="J588" i="2"/>
  <c r="J587" i="2"/>
  <c r="M586" i="2"/>
  <c r="J586" i="2"/>
  <c r="J585" i="2"/>
  <c r="M584" i="2"/>
  <c r="J584" i="2"/>
  <c r="M583" i="2"/>
  <c r="J583" i="2"/>
  <c r="M582" i="2"/>
  <c r="J582" i="2"/>
  <c r="M581" i="2"/>
  <c r="J581" i="2"/>
  <c r="M580" i="2"/>
  <c r="J580" i="2"/>
  <c r="M579" i="2"/>
  <c r="J579" i="2"/>
  <c r="M578" i="2"/>
  <c r="J578" i="2"/>
  <c r="M577" i="2"/>
  <c r="J577" i="2"/>
  <c r="J576" i="2"/>
  <c r="M575" i="2"/>
  <c r="J575" i="2"/>
  <c r="M574" i="2"/>
  <c r="J574" i="2"/>
  <c r="M573" i="2"/>
  <c r="J573" i="2"/>
  <c r="M572" i="2"/>
  <c r="J572" i="2"/>
  <c r="M571" i="2"/>
  <c r="J571" i="2"/>
  <c r="M570" i="2"/>
  <c r="J570" i="2"/>
  <c r="M569" i="2"/>
  <c r="J569" i="2"/>
  <c r="M568" i="2"/>
  <c r="J568" i="2"/>
  <c r="M567" i="2"/>
  <c r="J567" i="2"/>
  <c r="J566" i="2"/>
  <c r="M564" i="2"/>
  <c r="J564" i="2"/>
  <c r="M563" i="2"/>
  <c r="J563" i="2"/>
  <c r="J562" i="2"/>
  <c r="M561" i="2"/>
  <c r="J561" i="2"/>
  <c r="J560" i="2"/>
  <c r="M559" i="2"/>
  <c r="J559" i="2"/>
  <c r="J558" i="2"/>
  <c r="J557" i="2"/>
  <c r="M556" i="2"/>
  <c r="J556" i="2"/>
  <c r="M555" i="2"/>
  <c r="J555" i="2"/>
  <c r="J554" i="2"/>
  <c r="J553" i="2"/>
  <c r="M552" i="2"/>
  <c r="J552" i="2"/>
  <c r="M551" i="2"/>
  <c r="J551" i="2"/>
  <c r="M550" i="2"/>
  <c r="J550" i="2"/>
  <c r="J549" i="2"/>
  <c r="M548" i="2"/>
  <c r="J548" i="2"/>
  <c r="M547" i="2"/>
  <c r="J547" i="2"/>
  <c r="M546" i="2"/>
  <c r="J546" i="2"/>
  <c r="M545" i="2"/>
  <c r="J545" i="2"/>
  <c r="M544" i="2"/>
  <c r="J544" i="2"/>
  <c r="M543" i="2"/>
  <c r="J543" i="2"/>
  <c r="M542" i="2"/>
  <c r="J542" i="2"/>
  <c r="M541" i="2"/>
  <c r="J541" i="2"/>
  <c r="M540" i="2"/>
  <c r="J540" i="2"/>
  <c r="M539" i="2"/>
  <c r="J539" i="2"/>
  <c r="J538" i="2"/>
  <c r="M537" i="2"/>
  <c r="J537" i="2"/>
  <c r="M536" i="2"/>
  <c r="J536" i="2"/>
  <c r="M535" i="2"/>
  <c r="J535" i="2"/>
  <c r="M534" i="2"/>
  <c r="J534" i="2"/>
  <c r="M533" i="2"/>
  <c r="J533" i="2"/>
  <c r="J532" i="2"/>
  <c r="M531" i="2"/>
  <c r="J531" i="2"/>
  <c r="M530" i="2"/>
  <c r="J530" i="2"/>
  <c r="M529" i="2"/>
  <c r="J529" i="2"/>
  <c r="J528" i="2"/>
  <c r="M527" i="2"/>
  <c r="J527" i="2"/>
  <c r="M526" i="2"/>
  <c r="J526" i="2"/>
  <c r="M525" i="2"/>
  <c r="J525" i="2"/>
  <c r="M524" i="2"/>
  <c r="J524" i="2"/>
  <c r="M523" i="2"/>
  <c r="J523" i="2"/>
  <c r="J522" i="2"/>
  <c r="M521" i="2"/>
  <c r="J521" i="2"/>
  <c r="M520" i="2"/>
  <c r="J520" i="2"/>
  <c r="M519" i="2"/>
  <c r="J519" i="2"/>
  <c r="M518" i="2"/>
  <c r="J518" i="2"/>
  <c r="M517" i="2"/>
  <c r="J517" i="2"/>
  <c r="M516" i="2"/>
  <c r="J516" i="2"/>
  <c r="M515" i="2"/>
  <c r="J515" i="2"/>
  <c r="M514" i="2"/>
  <c r="J514" i="2"/>
  <c r="M513" i="2"/>
  <c r="J513" i="2"/>
  <c r="M512" i="2"/>
  <c r="J512" i="2"/>
  <c r="M511" i="2"/>
  <c r="J511" i="2"/>
  <c r="M510" i="2"/>
  <c r="J510" i="2"/>
  <c r="J509" i="2"/>
  <c r="J508" i="2"/>
  <c r="M507" i="2"/>
  <c r="J507" i="2"/>
  <c r="J506" i="2"/>
  <c r="M505" i="2"/>
  <c r="J505" i="2"/>
  <c r="M504" i="2"/>
  <c r="J504" i="2"/>
  <c r="M503" i="2"/>
  <c r="J503" i="2"/>
  <c r="M502" i="2"/>
  <c r="J502" i="2"/>
  <c r="M501" i="2"/>
  <c r="J501" i="2"/>
  <c r="J500" i="2"/>
  <c r="M499" i="2"/>
  <c r="J499" i="2"/>
  <c r="M498" i="2"/>
  <c r="J498" i="2"/>
  <c r="M497" i="2"/>
  <c r="J497" i="2"/>
  <c r="M496" i="2"/>
  <c r="J496" i="2"/>
  <c r="M495" i="2"/>
  <c r="J495" i="2"/>
  <c r="M494" i="2"/>
  <c r="J494" i="2"/>
  <c r="M493" i="2"/>
  <c r="J493" i="2"/>
  <c r="M492" i="2"/>
  <c r="J492" i="2"/>
  <c r="J491" i="2"/>
  <c r="J490" i="2"/>
  <c r="M489" i="2"/>
  <c r="J489" i="2"/>
  <c r="J488" i="2"/>
  <c r="M487" i="2"/>
  <c r="J487" i="2"/>
  <c r="M486" i="2"/>
  <c r="J486" i="2"/>
  <c r="M485" i="2"/>
  <c r="J485" i="2"/>
  <c r="M484" i="2"/>
  <c r="J484" i="2"/>
  <c r="M483" i="2"/>
  <c r="J483" i="2"/>
  <c r="J482" i="2"/>
  <c r="M481" i="2"/>
  <c r="J481" i="2"/>
  <c r="M480" i="2"/>
  <c r="J480" i="2"/>
  <c r="M479" i="2"/>
  <c r="J479" i="2"/>
  <c r="J478" i="2"/>
  <c r="M477" i="2"/>
  <c r="J477" i="2"/>
  <c r="M476" i="2"/>
  <c r="J476" i="2"/>
  <c r="M475" i="2"/>
  <c r="J475" i="2"/>
  <c r="M474" i="2"/>
  <c r="J474" i="2"/>
  <c r="J473" i="2"/>
  <c r="M472" i="2"/>
  <c r="J472" i="2"/>
  <c r="M471" i="2"/>
  <c r="J471" i="2"/>
  <c r="M470" i="2"/>
  <c r="J470" i="2"/>
  <c r="M469" i="2"/>
  <c r="J469" i="2"/>
  <c r="M468" i="2"/>
  <c r="J468" i="2"/>
  <c r="M467" i="2"/>
  <c r="J467" i="2"/>
  <c r="M466" i="2"/>
  <c r="J466" i="2"/>
  <c r="M465" i="2"/>
  <c r="J465" i="2"/>
  <c r="M464" i="2"/>
  <c r="J464" i="2"/>
  <c r="J463" i="2"/>
  <c r="J462" i="2"/>
  <c r="J461" i="2"/>
  <c r="M460" i="2"/>
  <c r="J460" i="2"/>
  <c r="M459" i="2"/>
  <c r="J459" i="2"/>
  <c r="M458" i="2"/>
  <c r="J458" i="2"/>
  <c r="J457" i="2"/>
  <c r="M456" i="2"/>
  <c r="J456" i="2"/>
  <c r="M455" i="2"/>
  <c r="J455" i="2"/>
  <c r="M454" i="2"/>
  <c r="J454" i="2"/>
  <c r="M453" i="2"/>
  <c r="J453" i="2"/>
  <c r="M452" i="2"/>
  <c r="J452" i="2"/>
  <c r="M451" i="2"/>
  <c r="J451" i="2"/>
  <c r="J450" i="2"/>
  <c r="M449" i="2"/>
  <c r="J449" i="2"/>
  <c r="M448" i="2"/>
  <c r="J448" i="2"/>
  <c r="M447" i="2"/>
  <c r="J447" i="2"/>
  <c r="J446" i="2"/>
  <c r="M445" i="2"/>
  <c r="J445" i="2"/>
  <c r="M444" i="2"/>
  <c r="J444" i="2"/>
  <c r="M443" i="2"/>
  <c r="J443" i="2"/>
  <c r="J442" i="2"/>
  <c r="M441" i="2"/>
  <c r="J441" i="2"/>
  <c r="J440" i="2"/>
  <c r="M439" i="2"/>
  <c r="J439" i="2"/>
  <c r="M438" i="2"/>
  <c r="J438" i="2"/>
  <c r="M437" i="2"/>
  <c r="J437" i="2"/>
  <c r="M436" i="2"/>
  <c r="J436" i="2"/>
  <c r="M435" i="2"/>
  <c r="J435" i="2"/>
  <c r="M434" i="2"/>
  <c r="J434" i="2"/>
  <c r="J433" i="2"/>
  <c r="M432" i="2"/>
  <c r="J432" i="2"/>
  <c r="M431" i="2"/>
  <c r="J431" i="2"/>
  <c r="M430" i="2"/>
  <c r="J430" i="2"/>
  <c r="M429" i="2"/>
  <c r="J429" i="2"/>
  <c r="J428" i="2"/>
  <c r="M426" i="2"/>
  <c r="J426" i="2"/>
  <c r="M425" i="2"/>
  <c r="J425" i="2"/>
  <c r="M423" i="2"/>
  <c r="J423" i="2"/>
  <c r="M422" i="2"/>
  <c r="J422" i="2"/>
  <c r="M421" i="2"/>
  <c r="J421" i="2"/>
  <c r="M420" i="2"/>
  <c r="J420" i="2"/>
  <c r="M419" i="2"/>
  <c r="J419" i="2"/>
  <c r="M418" i="2"/>
  <c r="J418" i="2"/>
  <c r="M417" i="2"/>
  <c r="J417" i="2"/>
  <c r="M416" i="2"/>
  <c r="J416" i="2"/>
  <c r="J415" i="2"/>
  <c r="M414" i="2"/>
  <c r="J414" i="2"/>
  <c r="M413" i="2"/>
  <c r="J413" i="2"/>
  <c r="M412" i="2"/>
  <c r="J412" i="2"/>
  <c r="M411" i="2"/>
  <c r="J411" i="2"/>
  <c r="M410" i="2"/>
  <c r="J410" i="2"/>
  <c r="J409" i="2"/>
  <c r="M408" i="2"/>
  <c r="J408" i="2"/>
  <c r="M407" i="2"/>
  <c r="J407" i="2"/>
  <c r="M406" i="2"/>
  <c r="J406" i="2"/>
  <c r="M405" i="2"/>
  <c r="J405" i="2"/>
  <c r="M404" i="2"/>
  <c r="J404" i="2"/>
  <c r="J403" i="2"/>
  <c r="M402" i="2"/>
  <c r="J402" i="2"/>
  <c r="M401" i="2"/>
  <c r="J401" i="2"/>
  <c r="J400" i="2"/>
  <c r="M399" i="2"/>
  <c r="J399" i="2"/>
  <c r="M398" i="2"/>
  <c r="J398" i="2"/>
  <c r="M397" i="2"/>
  <c r="J397" i="2"/>
  <c r="M396" i="2"/>
  <c r="J396" i="2"/>
  <c r="M395" i="2"/>
  <c r="J395" i="2"/>
  <c r="J394" i="2"/>
  <c r="M393" i="2"/>
  <c r="J393" i="2"/>
  <c r="M392" i="2"/>
  <c r="J392" i="2"/>
  <c r="M391" i="2"/>
  <c r="J391" i="2"/>
  <c r="M390" i="2"/>
  <c r="J390" i="2"/>
  <c r="M389" i="2"/>
  <c r="J389" i="2"/>
  <c r="J388" i="2"/>
  <c r="M387" i="2"/>
  <c r="J387" i="2"/>
  <c r="M386" i="2"/>
  <c r="J386" i="2"/>
  <c r="J385" i="2"/>
  <c r="J384" i="2"/>
  <c r="M383" i="2"/>
  <c r="J383" i="2"/>
  <c r="M382" i="2"/>
  <c r="J382" i="2"/>
  <c r="M381" i="2"/>
  <c r="J381" i="2"/>
  <c r="M380" i="2"/>
  <c r="J380" i="2"/>
  <c r="M379" i="2"/>
  <c r="J379" i="2"/>
  <c r="M378" i="2"/>
  <c r="J378" i="2"/>
  <c r="M377" i="2"/>
  <c r="J377" i="2"/>
  <c r="M376" i="2"/>
  <c r="J376" i="2"/>
  <c r="M375" i="2"/>
  <c r="J375" i="2"/>
  <c r="M374" i="2"/>
  <c r="J374" i="2"/>
  <c r="M373" i="2"/>
  <c r="J373" i="2"/>
  <c r="J372" i="2"/>
  <c r="M371" i="2"/>
  <c r="J371" i="2"/>
  <c r="J370" i="2"/>
  <c r="M369" i="2"/>
  <c r="J369" i="2"/>
  <c r="M368" i="2"/>
  <c r="J368" i="2"/>
  <c r="M367" i="2"/>
  <c r="J367" i="2"/>
  <c r="M366" i="2"/>
  <c r="J366" i="2"/>
  <c r="M365" i="2"/>
  <c r="J365" i="2"/>
  <c r="J364" i="2"/>
  <c r="J363" i="2"/>
  <c r="M362" i="2"/>
  <c r="J362" i="2"/>
  <c r="M361" i="2"/>
  <c r="J361" i="2"/>
  <c r="M360" i="2"/>
  <c r="J360" i="2"/>
  <c r="M359" i="2"/>
  <c r="J359" i="2"/>
  <c r="M358" i="2"/>
  <c r="J358" i="2"/>
  <c r="J357" i="2"/>
  <c r="M356" i="2"/>
  <c r="J356" i="2"/>
  <c r="J355" i="2"/>
  <c r="M354" i="2"/>
  <c r="J354" i="2"/>
  <c r="J353" i="2"/>
  <c r="M352" i="2"/>
  <c r="J352" i="2"/>
  <c r="M351" i="2"/>
  <c r="J351" i="2"/>
  <c r="M350" i="2"/>
  <c r="J350" i="2"/>
  <c r="M349" i="2"/>
  <c r="J349" i="2"/>
  <c r="M348" i="2"/>
  <c r="J348" i="2"/>
  <c r="M347" i="2"/>
  <c r="J347" i="2"/>
  <c r="M346" i="2"/>
  <c r="J346" i="2"/>
  <c r="J345" i="2"/>
  <c r="M344" i="2"/>
  <c r="J344" i="2"/>
  <c r="M343" i="2"/>
  <c r="J343" i="2"/>
  <c r="J342" i="2"/>
  <c r="J341" i="2"/>
  <c r="J340" i="2"/>
  <c r="M339" i="2"/>
  <c r="J339" i="2"/>
  <c r="M338" i="2"/>
  <c r="J338" i="2"/>
  <c r="M337" i="2"/>
  <c r="J337" i="2"/>
  <c r="M336" i="2"/>
  <c r="J336" i="2"/>
  <c r="J335" i="2"/>
  <c r="M334" i="2"/>
  <c r="J334" i="2"/>
  <c r="M333" i="2"/>
  <c r="J333" i="2"/>
  <c r="J332" i="2"/>
  <c r="J331" i="2"/>
  <c r="M330" i="2"/>
  <c r="J330" i="2"/>
  <c r="M329" i="2"/>
  <c r="J329" i="2"/>
  <c r="M328" i="2"/>
  <c r="J328" i="2"/>
  <c r="J327" i="2"/>
  <c r="M326" i="2"/>
  <c r="J326" i="2"/>
  <c r="M325" i="2"/>
  <c r="J325" i="2"/>
  <c r="M324" i="2"/>
  <c r="J324" i="2"/>
  <c r="M323" i="2"/>
  <c r="J323" i="2"/>
  <c r="M322" i="2"/>
  <c r="J322" i="2"/>
  <c r="M321" i="2"/>
  <c r="J321" i="2"/>
  <c r="M320" i="2"/>
  <c r="J320" i="2"/>
  <c r="M319" i="2"/>
  <c r="J319" i="2"/>
  <c r="M318" i="2"/>
  <c r="J318" i="2"/>
  <c r="J317" i="2"/>
  <c r="M316" i="2"/>
  <c r="J316" i="2"/>
  <c r="M315" i="2"/>
  <c r="J315" i="2"/>
  <c r="M314" i="2"/>
  <c r="J314" i="2"/>
  <c r="M313" i="2"/>
  <c r="J313" i="2"/>
  <c r="M312" i="2"/>
  <c r="J312" i="2"/>
  <c r="M311" i="2"/>
  <c r="J311" i="2"/>
  <c r="M310" i="2"/>
  <c r="J310" i="2"/>
  <c r="M309" i="2"/>
  <c r="J309" i="2"/>
  <c r="J308" i="2"/>
  <c r="M307" i="2"/>
  <c r="J307" i="2"/>
  <c r="M306" i="2"/>
  <c r="J306" i="2"/>
  <c r="M305" i="2"/>
  <c r="J305" i="2"/>
  <c r="M304" i="2"/>
  <c r="J304" i="2"/>
  <c r="M303" i="2"/>
  <c r="J303" i="2"/>
  <c r="M302" i="2"/>
  <c r="J302" i="2"/>
  <c r="J301" i="2"/>
  <c r="M300" i="2"/>
  <c r="J300" i="2"/>
  <c r="M299" i="2"/>
  <c r="J299" i="2"/>
  <c r="M298" i="2"/>
  <c r="J298" i="2"/>
  <c r="M297" i="2"/>
  <c r="J297" i="2"/>
  <c r="M296" i="2"/>
  <c r="J296" i="2"/>
  <c r="M295" i="2"/>
  <c r="J295" i="2"/>
  <c r="M294" i="2"/>
  <c r="J294" i="2"/>
  <c r="M293" i="2"/>
  <c r="J293" i="2"/>
  <c r="M292" i="2"/>
  <c r="J292" i="2"/>
  <c r="M291" i="2"/>
  <c r="J291" i="2"/>
  <c r="M290" i="2"/>
  <c r="J290" i="2"/>
  <c r="M289" i="2"/>
  <c r="J289" i="2"/>
  <c r="J288" i="2"/>
  <c r="M287" i="2"/>
  <c r="J287" i="2"/>
  <c r="M286" i="2"/>
  <c r="J286" i="2"/>
  <c r="M285" i="2"/>
  <c r="J285" i="2"/>
  <c r="M284" i="2"/>
  <c r="J284" i="2"/>
  <c r="J283" i="2"/>
  <c r="M282" i="2"/>
  <c r="J282" i="2"/>
  <c r="M281" i="2"/>
  <c r="J281" i="2"/>
  <c r="J280" i="2"/>
  <c r="J279" i="2"/>
  <c r="M278" i="2"/>
  <c r="J278" i="2"/>
  <c r="M277" i="2"/>
  <c r="J277" i="2"/>
  <c r="M276" i="2"/>
  <c r="J276" i="2"/>
  <c r="M275" i="2"/>
  <c r="J275" i="2"/>
  <c r="M274" i="2"/>
  <c r="J274" i="2"/>
  <c r="J273" i="2"/>
  <c r="M272" i="2"/>
  <c r="J272" i="2"/>
  <c r="M271" i="2"/>
  <c r="J271" i="2"/>
  <c r="M270" i="2"/>
  <c r="J270" i="2"/>
  <c r="M269" i="2"/>
  <c r="J269" i="2"/>
  <c r="M268" i="2"/>
  <c r="J268" i="2"/>
  <c r="M267" i="2"/>
  <c r="J267" i="2"/>
  <c r="J266" i="2"/>
  <c r="J265" i="2"/>
  <c r="J264" i="2"/>
  <c r="J263" i="2"/>
  <c r="M262" i="2"/>
  <c r="J262" i="2"/>
  <c r="M261" i="2"/>
  <c r="J261" i="2"/>
  <c r="M260" i="2"/>
  <c r="J260" i="2"/>
  <c r="M259" i="2"/>
  <c r="J259" i="2"/>
  <c r="J258" i="2"/>
  <c r="M257" i="2"/>
  <c r="J257" i="2"/>
  <c r="M256" i="2"/>
  <c r="J256" i="2"/>
  <c r="M255" i="2"/>
  <c r="J255" i="2"/>
  <c r="M254" i="2"/>
  <c r="J254" i="2"/>
  <c r="M253" i="2"/>
  <c r="J253" i="2"/>
  <c r="M252" i="2"/>
  <c r="J252" i="2"/>
  <c r="M251" i="2"/>
  <c r="J251" i="2"/>
  <c r="M250" i="2"/>
  <c r="J250" i="2"/>
  <c r="M249" i="2"/>
  <c r="J249" i="2"/>
  <c r="J248" i="2"/>
  <c r="J247" i="2"/>
  <c r="J246" i="2"/>
  <c r="M245" i="2"/>
  <c r="J245" i="2"/>
  <c r="M244" i="2"/>
  <c r="J244" i="2"/>
  <c r="M243" i="2"/>
  <c r="J243" i="2"/>
  <c r="M242" i="2"/>
  <c r="J242" i="2"/>
  <c r="M241" i="2"/>
  <c r="J241" i="2"/>
  <c r="J240" i="2"/>
  <c r="M239" i="2"/>
  <c r="J239" i="2"/>
  <c r="M238" i="2"/>
  <c r="J238" i="2"/>
  <c r="M237" i="2"/>
  <c r="J237" i="2"/>
  <c r="J236" i="2"/>
  <c r="M235" i="2"/>
  <c r="J235" i="2"/>
  <c r="J234" i="2"/>
  <c r="M233" i="2"/>
  <c r="J233" i="2"/>
  <c r="M232" i="2"/>
  <c r="J232" i="2"/>
  <c r="M231" i="2"/>
  <c r="J231" i="2"/>
  <c r="M230" i="2"/>
  <c r="J230" i="2"/>
  <c r="M229" i="2"/>
  <c r="J229" i="2"/>
  <c r="M228" i="2"/>
  <c r="J228" i="2"/>
  <c r="M227" i="2"/>
  <c r="J227" i="2"/>
  <c r="M226" i="2"/>
  <c r="J226" i="2"/>
  <c r="J225" i="2"/>
  <c r="J224" i="2"/>
  <c r="M223" i="2"/>
  <c r="J223" i="2"/>
  <c r="M222" i="2"/>
  <c r="J222" i="2"/>
  <c r="M221" i="2"/>
  <c r="J221" i="2"/>
  <c r="M220" i="2"/>
  <c r="J220" i="2"/>
  <c r="M219" i="2"/>
  <c r="J219" i="2"/>
  <c r="J218" i="2"/>
  <c r="J217" i="2"/>
  <c r="J216" i="2"/>
  <c r="J215" i="2"/>
  <c r="J214" i="2"/>
  <c r="M213" i="2"/>
  <c r="J213" i="2"/>
  <c r="M212" i="2"/>
  <c r="J212" i="2"/>
  <c r="M211" i="2"/>
  <c r="J211" i="2"/>
  <c r="M210" i="2"/>
  <c r="J210" i="2"/>
  <c r="M209" i="2"/>
  <c r="J209" i="2"/>
  <c r="M208" i="2"/>
  <c r="J208" i="2"/>
  <c r="J207" i="2"/>
  <c r="M206" i="2"/>
  <c r="J206" i="2"/>
  <c r="M205" i="2"/>
  <c r="J205" i="2"/>
  <c r="J204" i="2"/>
  <c r="M203" i="2"/>
  <c r="J203" i="2"/>
  <c r="M202" i="2"/>
  <c r="J202" i="2"/>
  <c r="M201" i="2"/>
  <c r="J201" i="2"/>
  <c r="M200" i="2"/>
  <c r="J200" i="2"/>
  <c r="M199" i="2"/>
  <c r="J199" i="2"/>
  <c r="M198" i="2"/>
  <c r="J198" i="2"/>
  <c r="M197" i="2"/>
  <c r="J197" i="2"/>
  <c r="J196" i="2"/>
  <c r="M195" i="2"/>
  <c r="J195" i="2"/>
  <c r="M194" i="2"/>
  <c r="J194" i="2"/>
  <c r="M193" i="2"/>
  <c r="J193" i="2"/>
  <c r="M192" i="2"/>
  <c r="J192" i="2"/>
  <c r="M191" i="2"/>
  <c r="J191" i="2"/>
  <c r="M190" i="2"/>
  <c r="J190" i="2"/>
  <c r="M189" i="2"/>
  <c r="J189" i="2"/>
  <c r="J188" i="2"/>
  <c r="M187" i="2"/>
  <c r="J187" i="2"/>
  <c r="M186" i="2"/>
  <c r="J186" i="2"/>
  <c r="M185" i="2"/>
  <c r="J185" i="2"/>
  <c r="J184" i="2"/>
  <c r="M183" i="2"/>
  <c r="J183" i="2"/>
  <c r="J182" i="2"/>
  <c r="M181" i="2"/>
  <c r="J181" i="2"/>
  <c r="J180" i="2"/>
  <c r="M179" i="2"/>
  <c r="J179" i="2"/>
  <c r="J178" i="2"/>
  <c r="M177" i="2"/>
  <c r="J177" i="2"/>
  <c r="M176" i="2"/>
  <c r="J176" i="2"/>
  <c r="M175" i="2"/>
  <c r="J175" i="2"/>
  <c r="M174" i="2"/>
  <c r="J174" i="2"/>
  <c r="M173" i="2"/>
  <c r="J173" i="2"/>
  <c r="M172" i="2"/>
  <c r="J172" i="2"/>
  <c r="M171" i="2"/>
  <c r="J171" i="2"/>
  <c r="M170" i="2"/>
  <c r="J170" i="2"/>
  <c r="J169" i="2"/>
  <c r="M168" i="2"/>
  <c r="J168" i="2"/>
  <c r="M167" i="2"/>
  <c r="J167" i="2"/>
  <c r="M166" i="2"/>
  <c r="J166" i="2"/>
  <c r="M165" i="2"/>
  <c r="J165" i="2"/>
  <c r="J164" i="2"/>
  <c r="M163" i="2"/>
  <c r="J163" i="2"/>
  <c r="M162" i="2"/>
  <c r="J162" i="2"/>
  <c r="M161" i="2"/>
  <c r="J161" i="2"/>
  <c r="M160" i="2"/>
  <c r="J160" i="2"/>
  <c r="M159" i="2"/>
  <c r="J159" i="2"/>
  <c r="M158" i="2"/>
  <c r="J158" i="2"/>
  <c r="M157" i="2"/>
  <c r="J157" i="2"/>
  <c r="J156" i="2"/>
  <c r="M155" i="2"/>
  <c r="J155" i="2"/>
  <c r="M154" i="2"/>
  <c r="J154" i="2"/>
  <c r="M153" i="2"/>
  <c r="J153" i="2"/>
  <c r="J152" i="2"/>
  <c r="M151" i="2"/>
  <c r="J151" i="2"/>
  <c r="M150" i="2"/>
  <c r="J150" i="2"/>
  <c r="M149" i="2"/>
  <c r="J149" i="2"/>
  <c r="J148" i="2"/>
  <c r="M147" i="2"/>
  <c r="J147" i="2"/>
  <c r="J146" i="2"/>
  <c r="J145" i="2"/>
  <c r="M144" i="2"/>
  <c r="J144" i="2"/>
  <c r="M143" i="2"/>
  <c r="J143" i="2"/>
  <c r="M142" i="2"/>
  <c r="J142" i="2"/>
  <c r="M141" i="2"/>
  <c r="J141" i="2"/>
  <c r="J140" i="2"/>
  <c r="J139" i="2"/>
  <c r="M138" i="2"/>
  <c r="J138" i="2"/>
  <c r="M137" i="2"/>
  <c r="J137" i="2"/>
  <c r="M136" i="2"/>
  <c r="J136" i="2"/>
  <c r="M135" i="2"/>
  <c r="J135" i="2"/>
  <c r="M134" i="2"/>
  <c r="J134" i="2"/>
  <c r="M133" i="2"/>
  <c r="J133" i="2"/>
  <c r="M132" i="2"/>
  <c r="J132" i="2"/>
  <c r="J131" i="2"/>
  <c r="M130" i="2"/>
  <c r="J130" i="2"/>
  <c r="M129" i="2"/>
  <c r="J129" i="2"/>
  <c r="M128" i="2"/>
  <c r="J128" i="2"/>
  <c r="J127" i="2"/>
  <c r="M126" i="2"/>
  <c r="J126" i="2"/>
  <c r="M125" i="2"/>
  <c r="J125" i="2"/>
  <c r="J124" i="2"/>
  <c r="M123" i="2"/>
  <c r="J123" i="2"/>
  <c r="M122" i="2"/>
  <c r="J122" i="2"/>
  <c r="M121" i="2"/>
  <c r="J121" i="2"/>
  <c r="M120" i="2"/>
  <c r="J120" i="2"/>
  <c r="M119" i="2"/>
  <c r="J119" i="2"/>
  <c r="M118" i="2"/>
  <c r="J118" i="2"/>
  <c r="J117" i="2"/>
  <c r="M116" i="2"/>
  <c r="J116" i="2"/>
  <c r="M115" i="2"/>
  <c r="J115" i="2"/>
  <c r="M114" i="2"/>
  <c r="J114" i="2"/>
  <c r="M113" i="2"/>
  <c r="J113" i="2"/>
  <c r="J112" i="2"/>
  <c r="M111" i="2"/>
  <c r="J111" i="2"/>
  <c r="M110" i="2"/>
  <c r="J110" i="2"/>
  <c r="M109" i="2"/>
  <c r="J109" i="2"/>
  <c r="J108" i="2"/>
  <c r="M107" i="2"/>
  <c r="J107" i="2"/>
  <c r="M106" i="2"/>
  <c r="J106" i="2"/>
  <c r="M105" i="2"/>
  <c r="J105" i="2"/>
  <c r="M104" i="2"/>
  <c r="J104" i="2"/>
  <c r="J103" i="2"/>
  <c r="M102" i="2"/>
  <c r="J102" i="2"/>
  <c r="M101" i="2"/>
  <c r="J101" i="2"/>
  <c r="J100" i="2"/>
  <c r="M99" i="2"/>
  <c r="J99" i="2"/>
  <c r="M98" i="2"/>
  <c r="J98" i="2"/>
  <c r="M97" i="2"/>
  <c r="J97" i="2"/>
  <c r="M96" i="2"/>
  <c r="J96" i="2"/>
  <c r="M95" i="2"/>
  <c r="J95" i="2"/>
  <c r="J94" i="2"/>
  <c r="M93" i="2"/>
  <c r="J93" i="2"/>
  <c r="J92" i="2"/>
  <c r="M91" i="2"/>
  <c r="J91" i="2"/>
  <c r="J90" i="2"/>
  <c r="M89" i="2"/>
  <c r="J89" i="2"/>
  <c r="J88" i="2"/>
  <c r="M87" i="2"/>
  <c r="J87" i="2"/>
  <c r="J86" i="2"/>
  <c r="M85" i="2"/>
  <c r="J85" i="2"/>
  <c r="J84" i="2"/>
  <c r="M83" i="2"/>
  <c r="J83" i="2"/>
  <c r="J82" i="2"/>
  <c r="J81" i="2"/>
  <c r="J80" i="2"/>
  <c r="M79" i="2"/>
  <c r="J79" i="2"/>
  <c r="M78" i="2"/>
  <c r="J78" i="2"/>
  <c r="M77" i="2"/>
  <c r="J77" i="2"/>
  <c r="M76" i="2"/>
  <c r="J76" i="2"/>
  <c r="M75" i="2"/>
  <c r="J75" i="2"/>
  <c r="M74" i="2"/>
  <c r="J74" i="2"/>
  <c r="M73" i="2"/>
  <c r="J73" i="2"/>
  <c r="J72" i="2"/>
  <c r="M71" i="2"/>
  <c r="J71" i="2"/>
  <c r="J70" i="2"/>
  <c r="M69" i="2"/>
  <c r="J69" i="2"/>
  <c r="M68" i="2"/>
  <c r="J68" i="2"/>
  <c r="M67" i="2"/>
  <c r="J67" i="2"/>
  <c r="J66" i="2"/>
  <c r="J65" i="2"/>
  <c r="M64" i="2"/>
  <c r="J64" i="2"/>
  <c r="M63" i="2"/>
  <c r="J63" i="2"/>
  <c r="M62" i="2"/>
  <c r="J62" i="2"/>
  <c r="J61" i="2"/>
  <c r="M60" i="2"/>
  <c r="J60" i="2"/>
  <c r="M59" i="2"/>
  <c r="J59" i="2"/>
  <c r="M58" i="2"/>
  <c r="J58" i="2"/>
  <c r="M57" i="2"/>
  <c r="J57" i="2"/>
  <c r="M56" i="2"/>
  <c r="J56" i="2"/>
  <c r="M55" i="2"/>
  <c r="J55" i="2"/>
  <c r="M54" i="2"/>
  <c r="J54" i="2"/>
  <c r="M53" i="2"/>
  <c r="J53" i="2"/>
  <c r="J52" i="2"/>
  <c r="J51" i="2"/>
  <c r="M50" i="2"/>
  <c r="J50" i="2"/>
  <c r="J49" i="2"/>
  <c r="M48" i="2"/>
  <c r="J48" i="2"/>
  <c r="M47" i="2"/>
  <c r="J47" i="2"/>
  <c r="M46" i="2"/>
  <c r="J46" i="2"/>
  <c r="M45" i="2"/>
  <c r="J45" i="2"/>
  <c r="M44" i="2"/>
  <c r="J44" i="2"/>
  <c r="M43" i="2"/>
  <c r="J43" i="2"/>
  <c r="M42" i="2"/>
  <c r="J42" i="2"/>
  <c r="J41" i="2"/>
  <c r="M40" i="2"/>
  <c r="J40" i="2"/>
  <c r="M39" i="2"/>
  <c r="J39" i="2"/>
  <c r="M38" i="2"/>
  <c r="J38" i="2"/>
  <c r="M37" i="2"/>
  <c r="J37" i="2"/>
  <c r="M36" i="2"/>
  <c r="J36" i="2"/>
  <c r="M35" i="2"/>
  <c r="J35" i="2"/>
  <c r="J34" i="2"/>
  <c r="M33" i="2"/>
  <c r="J33" i="2"/>
  <c r="M32" i="2"/>
  <c r="J32" i="2"/>
  <c r="M31" i="2"/>
  <c r="J31" i="2"/>
  <c r="J30" i="2"/>
  <c r="M29" i="2"/>
  <c r="J29" i="2"/>
  <c r="M28" i="2"/>
  <c r="J28" i="2"/>
  <c r="M27" i="2"/>
  <c r="J27" i="2"/>
  <c r="M26" i="2"/>
  <c r="J26" i="2"/>
  <c r="J25" i="2"/>
  <c r="M24" i="2"/>
  <c r="J24" i="2"/>
  <c r="M23" i="2"/>
  <c r="J23" i="2"/>
  <c r="J22" i="2"/>
  <c r="J21" i="2"/>
  <c r="M20" i="2"/>
  <c r="J20" i="2"/>
  <c r="M19" i="2"/>
  <c r="J19" i="2"/>
  <c r="J18" i="2"/>
  <c r="M17" i="2"/>
  <c r="J17" i="2"/>
  <c r="M16" i="2"/>
  <c r="J16" i="2"/>
  <c r="M15" i="2"/>
  <c r="J15" i="2"/>
  <c r="M14" i="2"/>
  <c r="J14" i="2"/>
  <c r="M13" i="2"/>
  <c r="J13" i="2"/>
  <c r="M12" i="2"/>
  <c r="J12" i="2"/>
  <c r="M11" i="2"/>
  <c r="J11" i="2"/>
  <c r="M10" i="2"/>
  <c r="J10" i="2"/>
  <c r="M9" i="2"/>
  <c r="J9" i="2"/>
  <c r="M8" i="2"/>
  <c r="J8" i="2"/>
  <c r="M7" i="2"/>
  <c r="J7" i="2"/>
  <c r="M6" i="2"/>
  <c r="J6" i="2"/>
  <c r="M5" i="2"/>
  <c r="J5" i="2"/>
  <c r="M4" i="2"/>
  <c r="J4" i="2"/>
  <c r="M3" i="2"/>
  <c r="J3" i="2"/>
  <c r="M2" i="2"/>
  <c r="J2" i="2"/>
</calcChain>
</file>

<file path=xl/sharedStrings.xml><?xml version="1.0" encoding="utf-8"?>
<sst xmlns="http://schemas.openxmlformats.org/spreadsheetml/2006/main" count="19922" uniqueCount="3504">
  <si>
    <t>NUMERO DE DOCUMENTO</t>
  </si>
  <si>
    <t>AREA</t>
  </si>
  <si>
    <t>TIPO DE PERSONAL</t>
  </si>
  <si>
    <t>APELLIDOS Y NOMBRES</t>
  </si>
  <si>
    <t>NOMBRE CARGO</t>
  </si>
  <si>
    <t>SUPERVISOR</t>
  </si>
  <si>
    <t>PLACA</t>
  </si>
  <si>
    <t>ESTADO</t>
  </si>
  <si>
    <t>GEOVICTORIA</t>
  </si>
  <si>
    <t>TIPO DE DOCUMENTO</t>
  </si>
  <si>
    <t>YEJAS LOBO EDILBERTO ANTONIO</t>
  </si>
  <si>
    <t>AUXILIAR DE REPARTO</t>
  </si>
  <si>
    <t>NOMBRES Y APELLIDOS</t>
  </si>
  <si>
    <t>TF</t>
  </si>
  <si>
    <t>CARGO</t>
  </si>
  <si>
    <t>QR SAFETY</t>
  </si>
  <si>
    <t>INGRESO</t>
  </si>
  <si>
    <t>GOMEZ GONZALEZ LEONARDO FABIO</t>
  </si>
  <si>
    <t>RESPONSABLE DE RUTA</t>
  </si>
  <si>
    <t>ENMANUEL</t>
  </si>
  <si>
    <t>COJTY649</t>
  </si>
  <si>
    <t>ANTIGUEDAD</t>
  </si>
  <si>
    <t>PAIS DE NACIMIENTO</t>
  </si>
  <si>
    <t>VIRGILIO JOSE ROA JIMENEZ</t>
  </si>
  <si>
    <t>NÚMERO DE DOCUMENTO</t>
  </si>
  <si>
    <t>FECHA DE NACIMIENTO</t>
  </si>
  <si>
    <t>CONDUCTOR</t>
  </si>
  <si>
    <t>HAROLD</t>
  </si>
  <si>
    <t>COUYY188</t>
  </si>
  <si>
    <t>AÑOS</t>
  </si>
  <si>
    <t>VILLARREAL OROZCO ROBERTO CARLOS</t>
  </si>
  <si>
    <t>GENERO</t>
  </si>
  <si>
    <t>JORNADA LABORAL</t>
  </si>
  <si>
    <t>FECHA DE INGRESO</t>
  </si>
  <si>
    <t>ESTADO CIVIL</t>
  </si>
  <si>
    <t>GRUPO SANGUINEO</t>
  </si>
  <si>
    <t>SERGIO MARENCO</t>
  </si>
  <si>
    <t>FACTOR RH</t>
  </si>
  <si>
    <t>VILLARREAL OROZCO JUAN CARLOS</t>
  </si>
  <si>
    <t>NACIONALIDAD</t>
  </si>
  <si>
    <t>CONDUCTOR RESPONSABLE</t>
  </si>
  <si>
    <t>DIRECCION RESIDENCIA</t>
  </si>
  <si>
    <t>COLJS617</t>
  </si>
  <si>
    <t>CIUDAD DE RESIDENCIA</t>
  </si>
  <si>
    <t>VILLARREAL MARIANO JESUS ALBERTO</t>
  </si>
  <si>
    <t>CELULAR</t>
  </si>
  <si>
    <t>JAVIER</t>
  </si>
  <si>
    <t>COLCM499</t>
  </si>
  <si>
    <t>TELEFONO RESIDENCIA</t>
  </si>
  <si>
    <t>VILLAREAL OROZCO JOSE LUIS</t>
  </si>
  <si>
    <t>BARRIO</t>
  </si>
  <si>
    <t>E MAIL</t>
  </si>
  <si>
    <t>COVEJ198</t>
  </si>
  <si>
    <t>CIUDAD DE LABOR</t>
  </si>
  <si>
    <t>VILLANUEVA MOVILLA ALDAIR</t>
  </si>
  <si>
    <t>EPS</t>
  </si>
  <si>
    <t>AFP</t>
  </si>
  <si>
    <t>COUYY016</t>
  </si>
  <si>
    <t xml:space="preserve">CUENTA </t>
  </si>
  <si>
    <t>VILLALOBOS IMPARATO MIGUEL ANGEL</t>
  </si>
  <si>
    <t>NUMERO DE CUENTA</t>
  </si>
  <si>
    <t>TIDPO DE CUENTA</t>
  </si>
  <si>
    <t>COLJV116</t>
  </si>
  <si>
    <t>FECHA DE TERMINACION</t>
  </si>
  <si>
    <t>VERGARA VARGAS SAMITT DEL CRISTO</t>
  </si>
  <si>
    <t xml:space="preserve">MOTIVO DE RETIRO </t>
  </si>
  <si>
    <t>BANCO</t>
  </si>
  <si>
    <t>COUYY192</t>
  </si>
  <si>
    <t xml:space="preserve">NUMERO DE TELEFONO DE EMERGENCIA </t>
  </si>
  <si>
    <t>FUENTES BARRIOS HERNANDO RICARDO</t>
  </si>
  <si>
    <t xml:space="preserve">PARIENTE EN CASO DE EMERGENCIA </t>
  </si>
  <si>
    <t>VASQUEZ SALGADO CARLOS ANDRES</t>
  </si>
  <si>
    <t xml:space="preserve"> </t>
  </si>
  <si>
    <t>COVCL951</t>
  </si>
  <si>
    <t>VASQUEZ MIRANDA LUIS MIGUEL</t>
  </si>
  <si>
    <t>COVEK258</t>
  </si>
  <si>
    <t>VARGAS PACHECO WILLIAM ENRIQUE</t>
  </si>
  <si>
    <t>OPERATIVO</t>
  </si>
  <si>
    <t>VARGAS LEON JOHN JAIRO</t>
  </si>
  <si>
    <t>MARY</t>
  </si>
  <si>
    <t>COVEL186</t>
  </si>
  <si>
    <t>VANEGAS MEZA JUAN CARLOS</t>
  </si>
  <si>
    <t>COVEP051</t>
  </si>
  <si>
    <t>VANEGAS CASTRO JAIDER DAVID</t>
  </si>
  <si>
    <t>COVEJ946</t>
  </si>
  <si>
    <t>VANEGAS CASTRO CARLOS MARIO</t>
  </si>
  <si>
    <t>INACTIVO</t>
  </si>
  <si>
    <t>COKSP233</t>
  </si>
  <si>
    <t>ARRIETA PEREZ FRANK ALBEIRO</t>
  </si>
  <si>
    <t>VALERA POLO JORK BLEY</t>
  </si>
  <si>
    <t>ACTIVO</t>
  </si>
  <si>
    <t>SIN GEOVICTORIA</t>
  </si>
  <si>
    <t>Cédula de Ciudadania</t>
  </si>
  <si>
    <t>COKSP215</t>
  </si>
  <si>
    <t>OROZCO BARRAZA JUVENAL JOSE</t>
  </si>
  <si>
    <t>TORRECILLA VILLANUEVA LEIDER</t>
  </si>
  <si>
    <t>TAPIA RODRIGUEZ LUIS FELIPE</t>
  </si>
  <si>
    <t>COLCM504</t>
  </si>
  <si>
    <t>TAPIA GARCIA FRANCISCO</t>
  </si>
  <si>
    <t>DKXU0VN6</t>
  </si>
  <si>
    <t>HERRERA PEREZ ALVARO ANTONIO</t>
  </si>
  <si>
    <t>ACOSTA MORENO YEINER JESUS</t>
  </si>
  <si>
    <t>SUAREZ DUICA ANDRES ALBERTO</t>
  </si>
  <si>
    <t xml:space="preserve">BUSIGO PENAGOS ASLHEY ANTONIO </t>
  </si>
  <si>
    <t>COLJS619</t>
  </si>
  <si>
    <t>STEEL CASTAÑEDA JOHAN PAUL</t>
  </si>
  <si>
    <t>LONDOÑO CUESTA ANDRES FELIPE</t>
  </si>
  <si>
    <t>8WV5WGZT</t>
  </si>
  <si>
    <t>CONDUCTOR DE FLOTA</t>
  </si>
  <si>
    <t>COKSP237</t>
  </si>
  <si>
    <t>CEBALLOS RODRIGUEZ YAIR ENRIQUE</t>
  </si>
  <si>
    <t>TLPDBLU9</t>
  </si>
  <si>
    <t>CARRILLO MARTINEZ JAVIER ENRIQUE</t>
  </si>
  <si>
    <t>COLOMBIA</t>
  </si>
  <si>
    <t>SERRANO SERRANO ANDRES ALBERTO</t>
  </si>
  <si>
    <t>SARMIENTO VILLA RAFAEL EDUARDO</t>
  </si>
  <si>
    <t>SARMIENTO COGOLLO JOHN LUIS</t>
  </si>
  <si>
    <t>SANJUAN PELAEZ LUIS EDUARDO</t>
  </si>
  <si>
    <t>SANJUAN OROZCO JOHN DE JESUS</t>
  </si>
  <si>
    <t>SANDOVAL SALCEDO JORGE JESUS</t>
  </si>
  <si>
    <t>Masculino</t>
  </si>
  <si>
    <t>COUYW792</t>
  </si>
  <si>
    <t>Unión Libre</t>
  </si>
  <si>
    <t>SANDOVAL DIAZ JUNIOR DAVID</t>
  </si>
  <si>
    <t>A</t>
  </si>
  <si>
    <t>COJTX917</t>
  </si>
  <si>
    <t>SANCHEZ OROZCO BRAYAN YASSIR</t>
  </si>
  <si>
    <t>COUYX114</t>
  </si>
  <si>
    <t>POSITIVO</t>
  </si>
  <si>
    <t>PRENT GONZALEZ WILLIAM</t>
  </si>
  <si>
    <t>COLCM096</t>
  </si>
  <si>
    <t>SANCHEZ BOSSIO HANJINSON JESUS</t>
  </si>
  <si>
    <t>COLJV115</t>
  </si>
  <si>
    <t>Colombiano</t>
  </si>
  <si>
    <t>SALCEDO NOVOA RICARDO ANDRES</t>
  </si>
  <si>
    <t>CALLE 41  # 27 - 97</t>
  </si>
  <si>
    <t>BARRANQUILLA</t>
  </si>
  <si>
    <t>SALAS OROZCO EDWIN ENRIQUE</t>
  </si>
  <si>
    <t>COLCM498</t>
  </si>
  <si>
    <t>MENDOZA SALCEDO JOHN JAIRO</t>
  </si>
  <si>
    <t>ESCORCIA LOBO ADEMIR</t>
  </si>
  <si>
    <t>dayoax@gmail.com</t>
  </si>
  <si>
    <t>O</t>
  </si>
  <si>
    <t>ROSAS MARTINEZ JORGE</t>
  </si>
  <si>
    <t>RUA CASIANO JESUS ALBERTO</t>
  </si>
  <si>
    <t>COLCM492</t>
  </si>
  <si>
    <t>ROLONG BARRIOS MAURICIO</t>
  </si>
  <si>
    <t>COVEO282</t>
  </si>
  <si>
    <t>VOLUNTARIO</t>
  </si>
  <si>
    <t>ROJANO PEÑA ISMAEL EDUARDO</t>
  </si>
  <si>
    <t>DIAGONAL 81 # 62 - 6P 34</t>
  </si>
  <si>
    <t>SOLEDAD</t>
  </si>
  <si>
    <t>NUEVA ESPERANZA</t>
  </si>
  <si>
    <t>PADILLA PARDO DAMIAN ALFONSO</t>
  </si>
  <si>
    <t>yeiner09jusus@gmail.com</t>
  </si>
  <si>
    <t>SALUD TOTAL</t>
  </si>
  <si>
    <t>CONLFONDOS</t>
  </si>
  <si>
    <t>RODRIGUEZ BORRERO JHON JAIRO</t>
  </si>
  <si>
    <t>COLPZ370</t>
  </si>
  <si>
    <t>Bancolombia</t>
  </si>
  <si>
    <t>ADMINISTRATIVO</t>
  </si>
  <si>
    <t>RODRIGUEZ BAYONA JULIAN</t>
  </si>
  <si>
    <t>COLJS638</t>
  </si>
  <si>
    <t>CL 22 21 165</t>
  </si>
  <si>
    <t>RODDRIGUEZ CASTILLO JOSE AIMER</t>
  </si>
  <si>
    <t>COVCL952</t>
  </si>
  <si>
    <t>delacristian655@gmail.com</t>
  </si>
  <si>
    <t xml:space="preserve">ESTRADA CHARRIS ALONSO DE JESUS </t>
  </si>
  <si>
    <t>CONDE MORALES OMAR ALBERTO</t>
  </si>
  <si>
    <t>MUTUAL SER</t>
  </si>
  <si>
    <t>PORVENIR</t>
  </si>
  <si>
    <t xml:space="preserve">AUXILIAR DE FLOTA  </t>
  </si>
  <si>
    <t>RICO GUZMAN JAVIER JOSE</t>
  </si>
  <si>
    <t>PIVNDR7O</t>
  </si>
  <si>
    <t>COUYW791</t>
  </si>
  <si>
    <t>CON GEOVICTORIA</t>
  </si>
  <si>
    <t>VIZCAINO POLO JESUS RICARDO</t>
  </si>
  <si>
    <t>COLCM500</t>
  </si>
  <si>
    <t>ACUÑA CARMONA OSCAR EDUARDO</t>
  </si>
  <si>
    <t>RETAMOZO SANABRIA HERNAN ALFREDO</t>
  </si>
  <si>
    <t>COUYY057</t>
  </si>
  <si>
    <t>ACOSTA BARRETO JEAN CARLOS</t>
  </si>
  <si>
    <t>DE MOYA DE MOYA STIVEN JOSE</t>
  </si>
  <si>
    <t>CALLE 59 B No. 23 - 27</t>
  </si>
  <si>
    <t>OP5DOEXR</t>
  </si>
  <si>
    <t>LW2Y7EDS</t>
  </si>
  <si>
    <t>RAMOS LAMBRAÑO YESID</t>
  </si>
  <si>
    <t>alonso_xport10@hotmail.com</t>
  </si>
  <si>
    <t>QUIÑONEZ CONSUEGRA TONY RAFAEL</t>
  </si>
  <si>
    <t>QUINTERO AGRESOTH HENRY DAVID</t>
  </si>
  <si>
    <t>COVEL589</t>
  </si>
  <si>
    <t>PERIODO DE PRUEBA</t>
  </si>
  <si>
    <t>PUELLO GONZALEZ FABIAN ENRIQUE</t>
  </si>
  <si>
    <t>COVEO276</t>
  </si>
  <si>
    <t>CALLE4#2-186</t>
  </si>
  <si>
    <t>SABANALARGA</t>
  </si>
  <si>
    <t>Calle58E1B29</t>
  </si>
  <si>
    <t>PUA SANCHEZ SAIR JOSE</t>
  </si>
  <si>
    <t>EL TEMPLO</t>
  </si>
  <si>
    <t>EL ENCANTO</t>
  </si>
  <si>
    <t>GARCIA SOÑETH CAMILO DE JESUS</t>
  </si>
  <si>
    <t>OSCARACA09@GMAIL.COM</t>
  </si>
  <si>
    <t>acostabas1997@imeil.com</t>
  </si>
  <si>
    <t>NUEVA EPS</t>
  </si>
  <si>
    <t>PUA CARMONA OMAR YESID</t>
  </si>
  <si>
    <t>V6474G3L</t>
  </si>
  <si>
    <t>SALUD TOTAL S.A.</t>
  </si>
  <si>
    <t>PRIMERA SOLAR RICARDO LUIS</t>
  </si>
  <si>
    <t>48700001106</t>
  </si>
  <si>
    <t>SIN NOVEDAD</t>
  </si>
  <si>
    <t>B</t>
  </si>
  <si>
    <t>DE MOYA CONRADO JOSE RAFAEL</t>
  </si>
  <si>
    <t>CALLE 40 N 09-08</t>
  </si>
  <si>
    <t>POLO TAMARA ANDRES JOSE</t>
  </si>
  <si>
    <t>ACOSTA JIMENEZ BRAYAN DAVID</t>
  </si>
  <si>
    <t>SANITAS</t>
  </si>
  <si>
    <t>PROTECCIÓN</t>
  </si>
  <si>
    <t>G2UO48V2</t>
  </si>
  <si>
    <t>PESTANA GUERRERO ARGENIS LUIS</t>
  </si>
  <si>
    <t>COVEL156</t>
  </si>
  <si>
    <t>PESTANA GUERRERO ALONSO LUIS</t>
  </si>
  <si>
    <t>COLJS635</t>
  </si>
  <si>
    <t>PEREZ URUETA ERWUIN DARIO</t>
  </si>
  <si>
    <t>COGUQ882</t>
  </si>
  <si>
    <t>PEREZ GARCIA LUIS FERNANDO</t>
  </si>
  <si>
    <t>ALVAREZ MEZA WILMER ENRIQUE</t>
  </si>
  <si>
    <t>GOMEZ SARMIENTO DUVAN SAID</t>
  </si>
  <si>
    <t>COGUQ878</t>
  </si>
  <si>
    <t>R7YXONOQ</t>
  </si>
  <si>
    <t>ASI7S3PO</t>
  </si>
  <si>
    <t>PACHECO GUETTO JAVIER ENRIQUE</t>
  </si>
  <si>
    <t>CRA 4 A 18 - 52 VILLA LEDYS</t>
  </si>
  <si>
    <t>COLCM501</t>
  </si>
  <si>
    <t>SANTO TOMAS</t>
  </si>
  <si>
    <t>PEREIRA CONTRERAS KEVIN ANDRES</t>
  </si>
  <si>
    <t>jimenezbrayandavid@gmail.com</t>
  </si>
  <si>
    <t>Soltero(a)</t>
  </si>
  <si>
    <t>PERALTA CANDANOZA RAFAEL EMIGDIO</t>
  </si>
  <si>
    <t>KA</t>
  </si>
  <si>
    <t>TONY</t>
  </si>
  <si>
    <t>CARRERA 6 # 54A - 105</t>
  </si>
  <si>
    <t>LA SIERRITA</t>
  </si>
  <si>
    <t>PEÑA JIMENEZ JHONNY JESUS</t>
  </si>
  <si>
    <t>SINCRONIZACION</t>
  </si>
  <si>
    <t>duvang0528@gmail.com</t>
  </si>
  <si>
    <t>PEÑA AVILA CRISTIAN DAVID</t>
  </si>
  <si>
    <t>ACOSTA PACHECO KAROL JOSEHP</t>
  </si>
  <si>
    <t>PEÑA ALMEIRA JAVIER ENRIQUE</t>
  </si>
  <si>
    <t>CR 6K 96B 125</t>
  </si>
  <si>
    <t>IL2EL6AF</t>
  </si>
  <si>
    <t>COKSP232</t>
  </si>
  <si>
    <t>PAREJO CANTILLO JAVIER ENRIQUE</t>
  </si>
  <si>
    <t>wilmeralvarez275@gmail.com</t>
  </si>
  <si>
    <t>EPS SURA</t>
  </si>
  <si>
    <t>COVEM266</t>
  </si>
  <si>
    <t>COLFONDOS</t>
  </si>
  <si>
    <t>48143509365</t>
  </si>
  <si>
    <t>LOPEZ NARVAEZ MILTON DEL CARMEN</t>
  </si>
  <si>
    <t>VILLALOBOS MARTINEZ ANDRES FELIPE</t>
  </si>
  <si>
    <t>PALACIO CAMACHO CARLOS MARIO</t>
  </si>
  <si>
    <t>RN3DIUST</t>
  </si>
  <si>
    <t>COUYY189</t>
  </si>
  <si>
    <t>CALLE 9 F1 # 136 - 15</t>
  </si>
  <si>
    <t>PADILLA VIANA LUIS GUILLERMO</t>
  </si>
  <si>
    <t>karoljhosethacosta15@gmail.com</t>
  </si>
  <si>
    <t>COXMB964</t>
  </si>
  <si>
    <t>PADILLA TORRES FERNANDO ENRIQUE</t>
  </si>
  <si>
    <t>COUYX803</t>
  </si>
  <si>
    <t>PADILLA RIALES YIMI RAFAEL</t>
  </si>
  <si>
    <t>ACOSTA RICAURTE JESUS ANDRES</t>
  </si>
  <si>
    <t>IVTLR9US</t>
  </si>
  <si>
    <t>COVEK261</t>
  </si>
  <si>
    <t>AREVALO RODRIGUEZ RICARDO REY</t>
  </si>
  <si>
    <t>GUERRERO AHUMADA SLEIDER</t>
  </si>
  <si>
    <t>ZS727AVY</t>
  </si>
  <si>
    <t>PADILLA LADRON DE GUEVARA IVAN ANDRES</t>
  </si>
  <si>
    <t>PADILLA IGLESIAS JOSE MANUEL</t>
  </si>
  <si>
    <t>Casado(a)</t>
  </si>
  <si>
    <t>PADILLA CERA ORLANDO LUIS</t>
  </si>
  <si>
    <t>CL 47 D N 1C 215</t>
  </si>
  <si>
    <t>jesus3acosta481@gmail.com</t>
  </si>
  <si>
    <t>RODRIGUEZ FERRER ALEXANDER DE JESUS</t>
  </si>
  <si>
    <t>CARRERA 15 E # 71 - 52</t>
  </si>
  <si>
    <t>COTMW125</t>
  </si>
  <si>
    <t>PACHECO GASCON JAMES ROBERTO</t>
  </si>
  <si>
    <t>CARRERA 21 # 74 - 89</t>
  </si>
  <si>
    <t>PACHECO FERNANDEZ ROBERTO CARLOS</t>
  </si>
  <si>
    <t>andresvilla8313@gmail.com</t>
  </si>
  <si>
    <t>PROTECCION</t>
  </si>
  <si>
    <t>3161667519</t>
  </si>
  <si>
    <t>OTERO ORELLANO LORENZO MIGUEL</t>
  </si>
  <si>
    <t>COVCL944</t>
  </si>
  <si>
    <t>OSPINO JIMENEZ DAISON</t>
  </si>
  <si>
    <t>NEQUI</t>
  </si>
  <si>
    <t>OSPINO JIMENEZ ARISMEL</t>
  </si>
  <si>
    <t>COVEN005</t>
  </si>
  <si>
    <t>OSORIO PEREZ CARLOS ALBERTO</t>
  </si>
  <si>
    <t>67AH3W2O</t>
  </si>
  <si>
    <t>OSORIO CARRASCAL CARLOS ANDRES</t>
  </si>
  <si>
    <t>BONETT ESCORCIA CHRISTIAN ALBERTO</t>
  </si>
  <si>
    <t>OROZCO OROZCO ELIECER ENRIQUE</t>
  </si>
  <si>
    <t>ARIZA BELEÑO LUIS ALEJANDRO</t>
  </si>
  <si>
    <t xml:space="preserve">RESPONSABLE DE RUTA </t>
  </si>
  <si>
    <t>V1VF2B1I</t>
  </si>
  <si>
    <t>TORRES NARVAEZ JESUS DEL CRISTO</t>
  </si>
  <si>
    <t>COUYW748</t>
  </si>
  <si>
    <t>MERIÑO QUINTERO JOSE DEL CARMEN</t>
  </si>
  <si>
    <t>ALGARIN CANTILLO GERMAN JOSE</t>
  </si>
  <si>
    <t>CALLE 45 A 3 # 23 - 64 BARRIO VILLA ZAMBRANO</t>
  </si>
  <si>
    <t>OLIVEROS BERMUDEZ JHONNY DE JESUS</t>
  </si>
  <si>
    <t>AGAMEZ SOLANO SHEYLA MARIA</t>
  </si>
  <si>
    <t>OCHOA ESCOBAR VICTOR MANUEL</t>
  </si>
  <si>
    <t>T2NHJD5H</t>
  </si>
  <si>
    <t>COLJT750</t>
  </si>
  <si>
    <t>CR 118 87</t>
  </si>
  <si>
    <t>javierrico2711@hotmail.com</t>
  </si>
  <si>
    <t>NIÑO SOLANO JEYSON JOSE</t>
  </si>
  <si>
    <t>NIÑO ALEMAN CARLOS ALBERTO</t>
  </si>
  <si>
    <t>COJTX921</t>
  </si>
  <si>
    <t>NARVAEZ DEL VALLE JORGE LUIS</t>
  </si>
  <si>
    <t>Femenino</t>
  </si>
  <si>
    <t>MUÑOZ ZABALETA EINER DAVID</t>
  </si>
  <si>
    <t>elmellomotog6@gmail.com</t>
  </si>
  <si>
    <t>FLOTA</t>
  </si>
  <si>
    <t>JORGE DURAN</t>
  </si>
  <si>
    <t>carrera 9f #45c-07</t>
  </si>
  <si>
    <t>MUÑOZ PEREZ ALBEIRO LUIS</t>
  </si>
  <si>
    <t>8600003872</t>
  </si>
  <si>
    <t>solanoagamez28@gmail.com</t>
  </si>
  <si>
    <t>MUÑOZ MEDINA LUIS EDUARDO</t>
  </si>
  <si>
    <t>MUÑOZ HERNANDEZ RONY MANUEL</t>
  </si>
  <si>
    <t>COUYY190</t>
  </si>
  <si>
    <t>MORRON  CALIXTO DE JESUS</t>
  </si>
  <si>
    <t>MORALES MARTINEZ JESUS DAVID</t>
  </si>
  <si>
    <t>MONTERROSA BOLIVAR DAYBER DAVID</t>
  </si>
  <si>
    <t>COLCM505</t>
  </si>
  <si>
    <t>MOLINA HERNANDEZ TOMAS EMILO</t>
  </si>
  <si>
    <t>AYUBB ROHENEZ FABIANA ANDREA</t>
  </si>
  <si>
    <t>VELA OROZCO JONAR JESUS</t>
  </si>
  <si>
    <t>AUXILIAR DE TALENTO HUMANO</t>
  </si>
  <si>
    <t>XRT0ZB35</t>
  </si>
  <si>
    <t>COUYX694</t>
  </si>
  <si>
    <t>MERCADO MATOS BARTOLOME</t>
  </si>
  <si>
    <t>COWOW331</t>
  </si>
  <si>
    <t>MERCADO JULIO ALDAIR DE JESUS</t>
  </si>
  <si>
    <t>MENDOZA SALCEDO JUAN CARLOS</t>
  </si>
  <si>
    <t>COVEN030</t>
  </si>
  <si>
    <t>CERVANTES BARRIOS OMAR</t>
  </si>
  <si>
    <t>CL 14 1A 25</t>
  </si>
  <si>
    <t>MENDEZ MONTENEGRO ROGELIO ALBERTO</t>
  </si>
  <si>
    <t>COLPZ371</t>
  </si>
  <si>
    <t>MENDEZ MONTENEGRO HERNANDO JOSE</t>
  </si>
  <si>
    <t>MENDEZ BERRIO JHON SIRD</t>
  </si>
  <si>
    <t>COJTY668</t>
  </si>
  <si>
    <r>
      <rPr>
        <sz val="11"/>
        <rFont val="Calibri"/>
        <family val="2"/>
      </rPr>
      <t>fabiana.ayubb@</t>
    </r>
    <r>
      <rPr>
        <u/>
        <sz val="11"/>
        <color rgb="FF1155CC"/>
        <rFont val="Calibri"/>
        <family val="2"/>
      </rPr>
      <t>logisticos.co</t>
    </r>
  </si>
  <si>
    <t>MELGAREJO MARCHENA MIGUEL JOSE</t>
  </si>
  <si>
    <t>COVEN972</t>
  </si>
  <si>
    <t>CABARCAS GARCIA EULOGIO ANTONIO</t>
  </si>
  <si>
    <t>MEDRANO CARDENAS ANGEL MIGUEL</t>
  </si>
  <si>
    <t>MARTINEZ TERAN LUIS RAMON</t>
  </si>
  <si>
    <t>ALBARRACIN CARDENAS CAROLAIN</t>
  </si>
  <si>
    <t>SERVICE LEVEL</t>
  </si>
  <si>
    <t>44EPA9ZT</t>
  </si>
  <si>
    <t>ROMERO BASANTA FREDDY DAVID</t>
  </si>
  <si>
    <t>TOLOZA RUIZ LUIS FERNANDO</t>
  </si>
  <si>
    <t>CONTACT CENTER</t>
  </si>
  <si>
    <t>COUYX739</t>
  </si>
  <si>
    <t>MARQUEZ OBREDOR LUIS ALBERTO</t>
  </si>
  <si>
    <t>MARQUEZ MARRIAGA JOSE DAVID</t>
  </si>
  <si>
    <t>COVEL588</t>
  </si>
  <si>
    <t>MARQUEZ BERMUDEZ LEONARDO JOSE</t>
  </si>
  <si>
    <t>MARQUEZ ALVAREZ FERNANDO RAFAEL</t>
  </si>
  <si>
    <t>CALLE 41#7A-70</t>
  </si>
  <si>
    <t>ADMINISTRADORA COLOMBIANA DE PENSIONES COLPENSIONES</t>
  </si>
  <si>
    <t>3115413585</t>
  </si>
  <si>
    <t>PEREZ CORREA FABIAN ENRIQUE</t>
  </si>
  <si>
    <t>Caro589@hotmail.com</t>
  </si>
  <si>
    <t>Davivienda</t>
  </si>
  <si>
    <t>OROZCO HERRERA JOHNIS ANTONIO</t>
  </si>
  <si>
    <t>MARCHENA MENDOZA VICTOR ALFONSO</t>
  </si>
  <si>
    <t>MAPARI GONZALEZ WILSON JAVIER</t>
  </si>
  <si>
    <t>MAPARI GONZALEZ ANDRY DAVID</t>
  </si>
  <si>
    <t>ALBINO LLANES WILMER ENRIQUE</t>
  </si>
  <si>
    <t>COLPZ368</t>
  </si>
  <si>
    <t>MANJARRES TOVAR ADALBERTO MANUEL</t>
  </si>
  <si>
    <t>MANJARRES ACUÑA JAIDER ANTONIO</t>
  </si>
  <si>
    <t>MACHACON SUAREZ CHARLIS JOSE</t>
  </si>
  <si>
    <t>MACHACON ESTRADA DEIBER ALONSO</t>
  </si>
  <si>
    <t xml:space="preserve">AGUIRRE MAURICIO OSWALDO </t>
  </si>
  <si>
    <t>MACHACON CUENTAS SEBASTIAN NICOLAS</t>
  </si>
  <si>
    <t xml:space="preserve">CONDUCTOR </t>
  </si>
  <si>
    <t>LOPEZ SANCHEZ ALEXANDER DE LA CRUZ</t>
  </si>
  <si>
    <t>COKSP179</t>
  </si>
  <si>
    <t>BANCOLOMBIA</t>
  </si>
  <si>
    <t>MELGAREJO MARCHENA GABRIEL JOSE</t>
  </si>
  <si>
    <t>COUYY063</t>
  </si>
  <si>
    <t>LOPEZ LIDUEÑA LUIS EDUARDO</t>
  </si>
  <si>
    <t>CALLE 17 E2 # 6A - 57</t>
  </si>
  <si>
    <t>MARTES REYES FRANCISCO JAVIER</t>
  </si>
  <si>
    <t>LOPEZ BERRIO ROGELIO ARTURO</t>
  </si>
  <si>
    <t>wilkaam2828@gmail.com</t>
  </si>
  <si>
    <t>LOPEZ ACUÑA ARNOVIS</t>
  </si>
  <si>
    <t>FIGUEROA DE LA CRUZ ENUAR RAFAEL</t>
  </si>
  <si>
    <t>FUENTES PEREZ LUIS DAVID</t>
  </si>
  <si>
    <t>TORRE DE CONTROL</t>
  </si>
  <si>
    <t>LEON LOPEZ ALEXANDER DE JESUS</t>
  </si>
  <si>
    <t>LEDUIN MOLINO</t>
  </si>
  <si>
    <t>LARA ALTAMAR JONATHAN DE JESUS</t>
  </si>
  <si>
    <t>COXMC267</t>
  </si>
  <si>
    <t>ALBOR CHARRIS JESUS MARIA</t>
  </si>
  <si>
    <t>RUSSO OYAGA DAIRO ALDEMAR</t>
  </si>
  <si>
    <t>COVCM617</t>
  </si>
  <si>
    <t xml:space="preserve">CARRERA 40 # 12-56 </t>
  </si>
  <si>
    <t>OROZCO OROZCO MERKIS MANUEL</t>
  </si>
  <si>
    <t xml:space="preserve">GALAPA </t>
  </si>
  <si>
    <t xml:space="preserve">MUNDO FELIZ </t>
  </si>
  <si>
    <t>AUXILIAR DE FLOTA Y ASEO</t>
  </si>
  <si>
    <t xml:space="preserve">OSWUAL15@GMAIL.COM </t>
  </si>
  <si>
    <t>NA31EP96</t>
  </si>
  <si>
    <t>JIMENEZ PRIMERA ANTONIO MANUEL</t>
  </si>
  <si>
    <t>DAVIPLATA</t>
  </si>
  <si>
    <t>DIAZ JIMENEZ YEISON</t>
  </si>
  <si>
    <t>GRATEROL ESQUIVEL LUIS ALBERTO</t>
  </si>
  <si>
    <t>HERRERA JIMENEZ ANDRES SANTIAGO</t>
  </si>
  <si>
    <t>LÍDER DE DISTRIBUCIÓN</t>
  </si>
  <si>
    <t>COVEJ085</t>
  </si>
  <si>
    <t>JIMENEZ JIMENEZ CAYETANO</t>
  </si>
  <si>
    <t>CL 8 15 120</t>
  </si>
  <si>
    <t>JIMENEZ GONZALEZ ELIGIO ENRIQUE</t>
  </si>
  <si>
    <t>Alborchjesusmaria@gmail.com</t>
  </si>
  <si>
    <t>BARRIOS JIMENEZ JAVID ENRIQUE</t>
  </si>
  <si>
    <t>JIMENEZ CARRILLO ARNULFO RAFAEL</t>
  </si>
  <si>
    <t>DDL7VGMY</t>
  </si>
  <si>
    <t>alberth2191@gmail.com</t>
  </si>
  <si>
    <t>JANER MARTINEZ JAIME JULIO</t>
  </si>
  <si>
    <t>IBAÑEZ FIGUEROA DAYANA</t>
  </si>
  <si>
    <t>XUG7U43C</t>
  </si>
  <si>
    <t>HOYOS MUÑOZ JONATHAN</t>
  </si>
  <si>
    <t>GUTIERREZ GUTIERREZ JOSE MIGUEL</t>
  </si>
  <si>
    <t>CL 73C 3E 97</t>
  </si>
  <si>
    <t>JUSTA CAUSA</t>
  </si>
  <si>
    <t>HERRERA NORIEGA MAURICIO</t>
  </si>
  <si>
    <t>javidbarriosjimenez@gmail.com</t>
  </si>
  <si>
    <t>CR 1 F N 10 B 45</t>
  </si>
  <si>
    <t>ELLES VALLE ANDRES FERNANDO</t>
  </si>
  <si>
    <t>8600003790</t>
  </si>
  <si>
    <t>JIMENEZ MOSQUERA OMAR JOSE</t>
  </si>
  <si>
    <t>BALCINILLA SERRANO DARCY MARY</t>
  </si>
  <si>
    <t>COVEJ900</t>
  </si>
  <si>
    <t>galgarincantillo@gmail.com</t>
  </si>
  <si>
    <t>XYBW3L8W</t>
  </si>
  <si>
    <t>DEL TORO BACA LUIS FELIPE</t>
  </si>
  <si>
    <t>GUTIERREZ NADER NAISIR ALBERTO</t>
  </si>
  <si>
    <t>CLINICA</t>
  </si>
  <si>
    <t xml:space="preserve">AREVALO RODRIGUEZ LUIS ENRIQUE </t>
  </si>
  <si>
    <t>GUTIERREZ LIAN WILSON RAFAEL</t>
  </si>
  <si>
    <t>ALTAMAR CASTRO JUAN CARLOS</t>
  </si>
  <si>
    <t>73BR4EOD</t>
  </si>
  <si>
    <t>COLLANTES GOMEZ JEAN CARLOS</t>
  </si>
  <si>
    <t>CALLE 111 # 30 - 37</t>
  </si>
  <si>
    <t>GUERRERO PEDRAZA LEYBER JAVIER</t>
  </si>
  <si>
    <t>dacymary1995@gmail.com</t>
  </si>
  <si>
    <t>GUERRERO JEREZ EVER ANTONIO</t>
  </si>
  <si>
    <t>COLCM497</t>
  </si>
  <si>
    <t>CALLE 99 2 SUR 43</t>
  </si>
  <si>
    <t>SILVERA PERTUZ JANNER ALBERTO</t>
  </si>
  <si>
    <t xml:space="preserve">VILLA SAN CARLOS </t>
  </si>
  <si>
    <t>COVEL587</t>
  </si>
  <si>
    <t>CRA 9F 56-28</t>
  </si>
  <si>
    <t xml:space="preserve">LUISENRIQUEAREVALORODRIGUEZ1987@GMAIL.COM </t>
  </si>
  <si>
    <t>PALOMINO VIZCAINO ALVARO ENRIQUE</t>
  </si>
  <si>
    <t xml:space="preserve">MUTUAL SER </t>
  </si>
  <si>
    <t>castrojuanaltamar@gmail.com</t>
  </si>
  <si>
    <t>COOSALUD EPS</t>
  </si>
  <si>
    <t>GONZALEZ MEDINA CRISTO JOSE</t>
  </si>
  <si>
    <t>MARTINEZ QUINTANA HANYER</t>
  </si>
  <si>
    <t>HWK46I2M</t>
  </si>
  <si>
    <t>GONZALEZ FUENTES ELMER MIGUEL</t>
  </si>
  <si>
    <t>GOMEZ MORALES SALIM ARQUIMEDES</t>
  </si>
  <si>
    <t>permiso de Protección Temporal</t>
  </si>
  <si>
    <t>ALVAREZ AHUMADA YEIFER JAVIER</t>
  </si>
  <si>
    <t>BERMUDEZ DIAZ EDUARDO JOSE</t>
  </si>
  <si>
    <t>KZ8VNKRM</t>
  </si>
  <si>
    <t>MTO4HDYU</t>
  </si>
  <si>
    <t>hanyer.1997@gmail.com</t>
  </si>
  <si>
    <t>GARCIA OROZCO EDIER ENRIQUE</t>
  </si>
  <si>
    <t>GALLARDO VILORIA ROBERTO ANTONIO</t>
  </si>
  <si>
    <t>GALINDO ROCHA WILLIAM ERNESTO</t>
  </si>
  <si>
    <t>CL 47 C N 6C 42</t>
  </si>
  <si>
    <t>Venezolano</t>
  </si>
  <si>
    <t>SUAREZ OROZCO ANIBAL MARIANO</t>
  </si>
  <si>
    <t>Yeiferalvarezahumada@gmail.com</t>
  </si>
  <si>
    <t>CARRERA 6B # 96A - 53</t>
  </si>
  <si>
    <t>LAYA VARGAS JESUS MANUEL</t>
  </si>
  <si>
    <t>COVEL926</t>
  </si>
  <si>
    <t>FRANCO ZAMBRANO FABIO FIDEL</t>
  </si>
  <si>
    <t>YCT6KJQE</t>
  </si>
  <si>
    <t>3002921153</t>
  </si>
  <si>
    <t>FRANCISCO RIVERA</t>
  </si>
  <si>
    <t>FONTALVO VILORIA MELVIN DAVID</t>
  </si>
  <si>
    <t>COXMC082</t>
  </si>
  <si>
    <t>ALVAREZ GONZALEZ LUIS ANGEL</t>
  </si>
  <si>
    <t>FONTALVO GARCIA LEWIS MANUEL</t>
  </si>
  <si>
    <t>AUXILIAR DE TORRE DE CONTROL</t>
  </si>
  <si>
    <t>V4L0DEBF</t>
  </si>
  <si>
    <t>FONTALVO ARRIETA RAMON ANTONIO</t>
  </si>
  <si>
    <t>CALLE 22 # 1 SUR 3 - 15</t>
  </si>
  <si>
    <t>MALAMBO</t>
  </si>
  <si>
    <t>BUELVAS GUZMAN ANDRES DANILO</t>
  </si>
  <si>
    <t>1VEX9VEX</t>
  </si>
  <si>
    <t>FONTALVO ALVAREZ MANUEL DE JESUS</t>
  </si>
  <si>
    <t>FLOREZ DIAZ EDUARDO ANTONIO</t>
  </si>
  <si>
    <t>CALLE 63 10-105</t>
  </si>
  <si>
    <t>FIGUEROA FRANCISCO JAVIER</t>
  </si>
  <si>
    <t>luisalv0520@gmail.com</t>
  </si>
  <si>
    <t>COJTY663</t>
  </si>
  <si>
    <t>SANCHEZ MEDINA ARGEMIRO ANTONIO</t>
  </si>
  <si>
    <t>OLMOS REYES JHOIMER</t>
  </si>
  <si>
    <t>FERNANDEZ SARMIENTO WILLINTON JESUS</t>
  </si>
  <si>
    <t>ESPAÑA BELEÑO JHONATHAN</t>
  </si>
  <si>
    <t>JIMENEZ MERIÑO JUAN CARLOS</t>
  </si>
  <si>
    <t>CL 62 A 12 16</t>
  </si>
  <si>
    <t>andresdanilobuelvas@gmail.com</t>
  </si>
  <si>
    <t>ALVAREZ JIMENEZ FERMIN JOSE</t>
  </si>
  <si>
    <t>3JCVM5YS</t>
  </si>
  <si>
    <t>8600003771</t>
  </si>
  <si>
    <t>ESCORCIA FERNANDEZ FERNANDO ALBERTO</t>
  </si>
  <si>
    <t>JERONIMO CORTES ALEXY JUNIOR</t>
  </si>
  <si>
    <t>KIYKZLQE</t>
  </si>
  <si>
    <t>ESCAMILLA VALENCIA FERNANDO SEGUNDO</t>
  </si>
  <si>
    <t>CR 21C 67 52</t>
  </si>
  <si>
    <t>CABALLERO MURILLO DANIEL STIVEN</t>
  </si>
  <si>
    <t>ferminjosealvarezjimenez@gmail.com</t>
  </si>
  <si>
    <t>XF1K7O91</t>
  </si>
  <si>
    <t>ESCALANTE FONTALVO JAIDER ENRIQUE</t>
  </si>
  <si>
    <t>COXMC087</t>
  </si>
  <si>
    <t>CR 17A N 62-10</t>
  </si>
  <si>
    <t>ENRIQUE RAFAEL DE VEGA ORELLANO</t>
  </si>
  <si>
    <t>alexyjeronimo98@gmail.com</t>
  </si>
  <si>
    <t>SURA</t>
  </si>
  <si>
    <t>HERNANDEZ MENDOZA JAIME ENRIQUE</t>
  </si>
  <si>
    <t>COVEL942</t>
  </si>
  <si>
    <t>ELLES JIMENEZ JESUS ALBERTO</t>
  </si>
  <si>
    <t>DOMINGUEZ CANTILLO FELIX ALBERTO</t>
  </si>
  <si>
    <t>DJMPF797</t>
  </si>
  <si>
    <t>COUYX802</t>
  </si>
  <si>
    <t>CARRERA 19 # 80 - 42</t>
  </si>
  <si>
    <t>DIAZ ORTIZ CARLOS ENRIQUE</t>
  </si>
  <si>
    <t xml:space="preserve">LOS ALMENDROS </t>
  </si>
  <si>
    <t>danielstivencaballeromurillo@gmail.com</t>
  </si>
  <si>
    <t>DIAZ OROZCO JAIR JESUS</t>
  </si>
  <si>
    <t>3016297596</t>
  </si>
  <si>
    <t>CASTRO HERNANDEZ DARWIN ELIECER</t>
  </si>
  <si>
    <t>DIAZ JIMENEZ ENELDO</t>
  </si>
  <si>
    <t>DIAZ CASTRO MAIKER ESQUIGUAR</t>
  </si>
  <si>
    <t>DEMOYA CONRADO RAFAEL ANTONIO</t>
  </si>
  <si>
    <t>SYX9IC46</t>
  </si>
  <si>
    <t>JIMENEZ VILLARREAL LUIS ANGEL</t>
  </si>
  <si>
    <t>COVEL944</t>
  </si>
  <si>
    <t>AMAYA VASQUEZ JAVIER ALONSO</t>
  </si>
  <si>
    <t>JIMENEZ VILLARREAL CARLOS FARIT</t>
  </si>
  <si>
    <t>CL 87 N 9L 11</t>
  </si>
  <si>
    <t>FDZXJ0UR</t>
  </si>
  <si>
    <t>HERAZO VALDES MATIAS</t>
  </si>
  <si>
    <t>NoriegaMauricio01@gmail.com</t>
  </si>
  <si>
    <t>DE LA HOZ CONRADO KENY RAMBO</t>
  </si>
  <si>
    <t>MARIN BOLIVAR DAVID RAFAEL</t>
  </si>
  <si>
    <t>Separado(a)</t>
  </si>
  <si>
    <t>COVEN012</t>
  </si>
  <si>
    <t>DE LA CRUZ GUTIERREZ CRISTIAN CESAR</t>
  </si>
  <si>
    <t>CL 10A 3AS 36</t>
  </si>
  <si>
    <t>CARRERA 29A NUM 143C-58</t>
  </si>
  <si>
    <t>CULMA PACHECO MARIO ANTONIO</t>
  </si>
  <si>
    <t>Eulogiocabarcas15@gmail.com</t>
  </si>
  <si>
    <t>MULTUASER</t>
  </si>
  <si>
    <t>CORTES MORALES JEAN CARLOS</t>
  </si>
  <si>
    <t>8600003705</t>
  </si>
  <si>
    <t>MARTINEZ DE LA CRUZ BREINER RAFAEL</t>
  </si>
  <si>
    <t>CORRO RUIZ EDWIN RAFAEL</t>
  </si>
  <si>
    <t>YVMSG4SR</t>
  </si>
  <si>
    <t>CORONADO CARMONA PASCUAL ENRIQUE</t>
  </si>
  <si>
    <t>LOPEZ CAMARGO FRANCISCO ALBERTO</t>
  </si>
  <si>
    <t>ANAYA NIÑO ANIBAL RAFAEL</t>
  </si>
  <si>
    <t>VERIFICADOR</t>
  </si>
  <si>
    <t>COLON ALFARO JAVID ENRIQUE</t>
  </si>
  <si>
    <t>5QRPN0MJ</t>
  </si>
  <si>
    <t>CARRERA 16 # 19 - 59</t>
  </si>
  <si>
    <t>SABANAGRANDE</t>
  </si>
  <si>
    <t>GUERRERO CHARRY EDUARDO LUIS</t>
  </si>
  <si>
    <t>OROZCO MORON LUIS EDUARDO</t>
  </si>
  <si>
    <t>CANTILLO DE LA HOZ ALEXIS DE JESUS</t>
  </si>
  <si>
    <t>COVEN023</t>
  </si>
  <si>
    <t>CEPEDA RUBIANO ROYMAN STEWAR</t>
  </si>
  <si>
    <t>PEOY8R57</t>
  </si>
  <si>
    <t>CEPEDA RUBIANO KILMER DANIEL</t>
  </si>
  <si>
    <t>MARIN ARISTIZABAL OTONIEL ALBERTO</t>
  </si>
  <si>
    <t>CASTRO VERGARA ARSANY RAFAEL</t>
  </si>
  <si>
    <t>CASTRO PANTOJA BRAYAN JOSE</t>
  </si>
  <si>
    <t>JIMENEZ ARAGON CARLOS ANDRES</t>
  </si>
  <si>
    <t>DE LA CRUZ MENDOZA SERGIO ANDRES</t>
  </si>
  <si>
    <t>CALLE 10 NUM 16-35  GALAPA</t>
  </si>
  <si>
    <t>CASTILLO  MAICOL JOSE</t>
  </si>
  <si>
    <t>CL 123 19 28</t>
  </si>
  <si>
    <t>anibalanaya178@gmail.com</t>
  </si>
  <si>
    <t>CASTILLEJO GUTIERREZ JOHN JAIRO</t>
  </si>
  <si>
    <t>SALUDTOTAL</t>
  </si>
  <si>
    <t>FOSYGA REGIMEN DE EXCEPCIÓN</t>
  </si>
  <si>
    <t>CALLE 48 # 2E - 27</t>
  </si>
  <si>
    <t>78700008755</t>
  </si>
  <si>
    <t>CASTAÑO MERCADO YEISON ARLET</t>
  </si>
  <si>
    <t>CARRILLO ORELLANO ORLANDO MIGUEL</t>
  </si>
  <si>
    <t>ANGEL BELEÑO EDUARDO LUIS</t>
  </si>
  <si>
    <t>SOLANO GONZALEZ EDUARDO ENRIQUE</t>
  </si>
  <si>
    <t>YQY3YP45</t>
  </si>
  <si>
    <t>COVEN060</t>
  </si>
  <si>
    <t>CARPIO PEREZ RUBEN ORLANDO</t>
  </si>
  <si>
    <t>CAMPO CRESPO CARLOS ENRIQUE</t>
  </si>
  <si>
    <t>CAMARGO BENITEZ RAFAEL SEGUNDO</t>
  </si>
  <si>
    <t>4BR07TS1</t>
  </si>
  <si>
    <t>CHICO SILVERA ROBERTO</t>
  </si>
  <si>
    <t>CALLE 14-24</t>
  </si>
  <si>
    <t>RICO PALENCIA CARLOS ANDRES</t>
  </si>
  <si>
    <t>eangelbeleno@gmail.com</t>
  </si>
  <si>
    <t>KHODHBV0</t>
  </si>
  <si>
    <t>CABARCA OÑATE JESUS DAVID</t>
  </si>
  <si>
    <t>CARRERA 19 B #316</t>
  </si>
  <si>
    <t>CL 9H N2 A 29</t>
  </si>
  <si>
    <t>ANTONIO LUIS NIEBLES ROJANO</t>
  </si>
  <si>
    <t>RX12DXQ2</t>
  </si>
  <si>
    <t>BUELVAS CABEZA GIL ANTONIO</t>
  </si>
  <si>
    <t>rubenorlandocarpioperez1982@gmail.com</t>
  </si>
  <si>
    <t>RAMOS PEREZ JORGE DAVID</t>
  </si>
  <si>
    <t>8600003986</t>
  </si>
  <si>
    <t>BOLIVAR GARCIA JAVIER</t>
  </si>
  <si>
    <t>BLANCO REBOLLEDO LUIS EDUARDO</t>
  </si>
  <si>
    <t>CRA 40 No. 32 - 28</t>
  </si>
  <si>
    <t xml:space="preserve">CHIQUILLO CARCAMO DEIMER DE DIOS </t>
  </si>
  <si>
    <t>antonioniebles@hotmail.com</t>
  </si>
  <si>
    <t>BLANCO BERMEJO ABEL JOSE</t>
  </si>
  <si>
    <t xml:space="preserve">MMLSM9SU </t>
  </si>
  <si>
    <t>BETIN VILLAR JUAN DANIEL</t>
  </si>
  <si>
    <t>BERDUGO MENDOZA AIDEL JOSE</t>
  </si>
  <si>
    <t>ARAGON MIRANDA ERWIN DAZAJEN</t>
  </si>
  <si>
    <t>BATISTA ROA CARLOS ENRIQUE</t>
  </si>
  <si>
    <t>OJCO3ZD6</t>
  </si>
  <si>
    <t>BARRIOS ROMERO JOSE RODRIGO</t>
  </si>
  <si>
    <t>BARRIOS MERCADO EMIRSON JOSE</t>
  </si>
  <si>
    <t>KP6KC0H8</t>
  </si>
  <si>
    <t>NEGATIVO</t>
  </si>
  <si>
    <t>BARRIOS MATUTE ONEY SANTIAGO</t>
  </si>
  <si>
    <t>CR 24 N 25-41</t>
  </si>
  <si>
    <t>BARRIOS ESCORCIA ROBERTO ANTONIO</t>
  </si>
  <si>
    <t xml:space="preserve">JULIO JIMENEZ LUIS FERNANDO </t>
  </si>
  <si>
    <t>BARRERA DIAZ ADRIAN ENRIQUE</t>
  </si>
  <si>
    <t>CR 12 N 19 13</t>
  </si>
  <si>
    <t>AUXILIAR DE REPARTO - RR</t>
  </si>
  <si>
    <t>BADILLO VILORIA JOSE LUIS</t>
  </si>
  <si>
    <t>CGIITLWW</t>
  </si>
  <si>
    <t>ARAGON SALES EGUAR ENRIQUE</t>
  </si>
  <si>
    <t>arnol.trjillo@gmail.com</t>
  </si>
  <si>
    <t>BACA VARGAS ERNESTO MANUEL</t>
  </si>
  <si>
    <t>1NQFIH8Q</t>
  </si>
  <si>
    <t>8600004199</t>
  </si>
  <si>
    <t>TOVAR MALDONADO BREIDIS ESTEFAN</t>
  </si>
  <si>
    <t>COVEN097</t>
  </si>
  <si>
    <t>ARIZA CUENTAS BALDOMERO JOSE</t>
  </si>
  <si>
    <t>AREVALO ARIZA MARIO LUIS</t>
  </si>
  <si>
    <t xml:space="preserve">CASTELLANO SANDOVAL PEDRO ANTONIO </t>
  </si>
  <si>
    <t>V0I9HCLS</t>
  </si>
  <si>
    <t>SIMANCA ROMERO BERNARDO JOSE</t>
  </si>
  <si>
    <t>CALLE 26#16-38</t>
  </si>
  <si>
    <t>eguararagon988@gmail.com</t>
  </si>
  <si>
    <t>REYES MORENO JAIR ALBERTO</t>
  </si>
  <si>
    <t>CAJACOPI</t>
  </si>
  <si>
    <t>CALLE 8 N° 40 - 41</t>
  </si>
  <si>
    <t>castellanopedro2002@gmail.com</t>
  </si>
  <si>
    <t>33065094962</t>
  </si>
  <si>
    <t xml:space="preserve">BERDUGO CHARRIS LORAINE </t>
  </si>
  <si>
    <t>COORDINADOR DE TALENTO HUMANO</t>
  </si>
  <si>
    <t>7XB82U1Q</t>
  </si>
  <si>
    <t>51UQ0QZ1</t>
  </si>
  <si>
    <t>LX3ZBRXV</t>
  </si>
  <si>
    <t>CALLE 51#23-31</t>
  </si>
  <si>
    <t>arevalomario3434@gmail.com</t>
  </si>
  <si>
    <t>CARRERA 6 L 2 N 101 - 81</t>
  </si>
  <si>
    <t>loreeberdugo28@gmail.com</t>
  </si>
  <si>
    <t>CR 17 19 25 221</t>
  </si>
  <si>
    <t>ARGUELLES BARRAZA ANGIE PAOLA</t>
  </si>
  <si>
    <t>APRENDIZ</t>
  </si>
  <si>
    <t>yaomela2006@gmail.com</t>
  </si>
  <si>
    <t>E0UV8MMZ</t>
  </si>
  <si>
    <t>8600003873</t>
  </si>
  <si>
    <t xml:space="preserve">TAIBEL HERRERA JULIO CESAR </t>
  </si>
  <si>
    <t>AUXILIAR DE LIQUIDACION</t>
  </si>
  <si>
    <t>J1YVH417</t>
  </si>
  <si>
    <t>CALLE 70 B # 41 - 161</t>
  </si>
  <si>
    <t>CHAVEZ TORRES LEONEL SEGUNDO</t>
  </si>
  <si>
    <t>SUPERVISOR DE SEGURIDAD</t>
  </si>
  <si>
    <t>arguellesap@gmail.com</t>
  </si>
  <si>
    <t>TE6HQGAN</t>
  </si>
  <si>
    <t>FAMISANAR EPS</t>
  </si>
  <si>
    <t>TERMINACION DE PRACTICAS</t>
  </si>
  <si>
    <t>CR 5 N 11 27</t>
  </si>
  <si>
    <t>juliotaibel14@gmail.com</t>
  </si>
  <si>
    <t>CL 76C N 14B-03</t>
  </si>
  <si>
    <t>lacosi0309@gmail.com</t>
  </si>
  <si>
    <t>77343553989</t>
  </si>
  <si>
    <t xml:space="preserve">PRASCA OSPINO JESUS ALBERTO </t>
  </si>
  <si>
    <t>CUG5IHQE</t>
  </si>
  <si>
    <t>MJ9QHF69</t>
  </si>
  <si>
    <t>CL 14 N23 70</t>
  </si>
  <si>
    <t>omarconde412@gmail.com</t>
  </si>
  <si>
    <t>77043488018</t>
  </si>
  <si>
    <t>CRA 8#30-158</t>
  </si>
  <si>
    <t>LAS PALMAS</t>
  </si>
  <si>
    <t>jesusprascaospino@gmail.com</t>
  </si>
  <si>
    <t>CORREA FERRER EDWIN</t>
  </si>
  <si>
    <t>OFICIOS VARIOS</t>
  </si>
  <si>
    <t>ZR0COW6L</t>
  </si>
  <si>
    <t>KXD20XLZ</t>
  </si>
  <si>
    <t>ELLES RUIZ ROBERTO CARLOS</t>
  </si>
  <si>
    <t>TV 1C SUR DG 78 52</t>
  </si>
  <si>
    <t>0KGBUEQP</t>
  </si>
  <si>
    <t>Baldocuentas09@gmail.com</t>
  </si>
  <si>
    <t>76987589503</t>
  </si>
  <si>
    <t>roberelles1813@gmailc.om</t>
  </si>
  <si>
    <t>ARIZA TAMAYO GERMAN DAVID</t>
  </si>
  <si>
    <t>9NSL5UIA</t>
  </si>
  <si>
    <t>WU5CTTF4</t>
  </si>
  <si>
    <t>6ZG6AOSB</t>
  </si>
  <si>
    <t>Desconocido</t>
  </si>
  <si>
    <t xml:space="preserve">calle 97b #7-115 </t>
  </si>
  <si>
    <t>germanariza934@gmail.com</t>
  </si>
  <si>
    <t>CRA 33·38-42</t>
  </si>
  <si>
    <t>carlosandresricopalecia@gmail.com</t>
  </si>
  <si>
    <t>77730276055</t>
  </si>
  <si>
    <t>mculmap@hotmail.com</t>
  </si>
  <si>
    <t>DTSKLV27</t>
  </si>
  <si>
    <t>CL 99 9B40</t>
  </si>
  <si>
    <t>Arrietafrank22@gmail.com</t>
  </si>
  <si>
    <t>PATERNINA CANTILLO JEISON ANDRES</t>
  </si>
  <si>
    <t>CONDUCTOR RR</t>
  </si>
  <si>
    <t>DQH9BWQR</t>
  </si>
  <si>
    <t>8600003677</t>
  </si>
  <si>
    <t>AVILA CASTRO CRISTIAN FABIAN</t>
  </si>
  <si>
    <t>1VR1SDBP</t>
  </si>
  <si>
    <t>Melissa</t>
  </si>
  <si>
    <t>CARRERA 26 # 52 - 72 APTO 209</t>
  </si>
  <si>
    <t>jpaterninacantillo13@gmail.com</t>
  </si>
  <si>
    <t>CARRERA 4B1 NUM 94B 64B</t>
  </si>
  <si>
    <t>360Z04CY</t>
  </si>
  <si>
    <t>CASTELLANO SANDOVAL JEFFERSON FERNANDO</t>
  </si>
  <si>
    <t>TF4IBPWV</t>
  </si>
  <si>
    <t>AVILA GONZALEZ JAVIER JOSE</t>
  </si>
  <si>
    <t>SUPERVISOR DE RUTA</t>
  </si>
  <si>
    <t>SIN DATOS</t>
  </si>
  <si>
    <t>CL 17 8 ZUL 46</t>
  </si>
  <si>
    <t>CALLE 8 # 40 - 41</t>
  </si>
  <si>
    <t>shaellysergio@gmail.com</t>
  </si>
  <si>
    <t>08600003686</t>
  </si>
  <si>
    <t>DE MOYA CONRADO RAFAEL ANTONIO</t>
  </si>
  <si>
    <t>EA9TXK3I</t>
  </si>
  <si>
    <t>VARELA DONADO ROBERT ANTONIO</t>
  </si>
  <si>
    <t>CALLE 38 29B-46</t>
  </si>
  <si>
    <t>1PA87VBC</t>
  </si>
  <si>
    <t>axelavila189@gmail.com</t>
  </si>
  <si>
    <t>CL 27 162</t>
  </si>
  <si>
    <t>CALLE 14 # 1A - 126</t>
  </si>
  <si>
    <t>rafaeldemoyaconrado@gmail.com</t>
  </si>
  <si>
    <t>8600003692</t>
  </si>
  <si>
    <t>robertvareladonado@gmail.com</t>
  </si>
  <si>
    <t>48163545252</t>
  </si>
  <si>
    <t xml:space="preserve">BARRIOS FLORES DEIBIN JAVIER </t>
  </si>
  <si>
    <t>AVILA JIMENEZ HERNAN GONZALO</t>
  </si>
  <si>
    <t>AC38O96B</t>
  </si>
  <si>
    <t>CALLE 2 A 10-18</t>
  </si>
  <si>
    <t xml:space="preserve">SABANA GRANDE </t>
  </si>
  <si>
    <t>TERAN LOURDY BAIRON ANDRES</t>
  </si>
  <si>
    <t>LIBERTADORES</t>
  </si>
  <si>
    <t>DEIBINJAVIERBARRIOSFLORES@GMAIL.COM</t>
  </si>
  <si>
    <t>AZMK3PHZ</t>
  </si>
  <si>
    <t xml:space="preserve">SALUD TOTAL </t>
  </si>
  <si>
    <t>DIAGONAL 34 CRA 7G - 78</t>
  </si>
  <si>
    <t>TRANSVERSAL 2D5 CALLE 52 B - 03</t>
  </si>
  <si>
    <t>SAN VICENTE</t>
  </si>
  <si>
    <t>bairona189@gmail.com</t>
  </si>
  <si>
    <t>QQFK8SQO</t>
  </si>
  <si>
    <t>CR 16 N 11A 124</t>
  </si>
  <si>
    <t>DIAGO DIAGO STEVEN ELIAS</t>
  </si>
  <si>
    <t>TOM3UPFU</t>
  </si>
  <si>
    <t>diazorozcojair49@gmail.com</t>
  </si>
  <si>
    <t>CAJACOPI EPS</t>
  </si>
  <si>
    <t>8600003696</t>
  </si>
  <si>
    <t>AVILA URIBE DANIEL DAVID</t>
  </si>
  <si>
    <t>RVKV0FSS</t>
  </si>
  <si>
    <t>CARRERA 26 # 115 - 45</t>
  </si>
  <si>
    <t>67VX1EIR</t>
  </si>
  <si>
    <t>DIAGONAL 71 B # TRANSVERSAL 51 - 68</t>
  </si>
  <si>
    <t>HENAO GALLARDO ALDAIR ALEXANDER</t>
  </si>
  <si>
    <t>83EWN0K</t>
  </si>
  <si>
    <t>CARRERA 38 #  12 - 52</t>
  </si>
  <si>
    <t>GALAPA</t>
  </si>
  <si>
    <t>MUNDO FELIZ</t>
  </si>
  <si>
    <t xml:space="preserve">ydiaz100599@gmail.com </t>
  </si>
  <si>
    <t>08600004173</t>
  </si>
  <si>
    <t>AYALA PANTOJA EDUARDO RAFAEL</t>
  </si>
  <si>
    <t>CARRERA 27 # 21 - 68</t>
  </si>
  <si>
    <t>C9GQ01UZ</t>
  </si>
  <si>
    <t>CENTENARIO</t>
  </si>
  <si>
    <t>CALLE 99 5S 57</t>
  </si>
  <si>
    <t>YEPENUSG</t>
  </si>
  <si>
    <t>eduardoayalap150@gmail.com</t>
  </si>
  <si>
    <t>FONTALVO PACHECO JAIDER DAVID</t>
  </si>
  <si>
    <t>NUEVAEPS</t>
  </si>
  <si>
    <t>0PTHN44C</t>
  </si>
  <si>
    <t>CR 34 B 25 B 11</t>
  </si>
  <si>
    <t>CALLE 40  NUM 6-81</t>
  </si>
  <si>
    <t>7Y2KUNGY</t>
  </si>
  <si>
    <t>oneybarrios06@gmail.com</t>
  </si>
  <si>
    <t>8600003822</t>
  </si>
  <si>
    <t>BARROS GOMEZ ANDY YIN</t>
  </si>
  <si>
    <t>CAICEDO PALOMINO ALEJANDRO MARIO</t>
  </si>
  <si>
    <t>05MJ1SN2</t>
  </si>
  <si>
    <t>ISSIUD8M</t>
  </si>
  <si>
    <t>CALL 99 NO 1 SUR 49</t>
  </si>
  <si>
    <t>CARRERA 1b 1 # 21 63</t>
  </si>
  <si>
    <t>eduardoayalap21@gmail.com</t>
  </si>
  <si>
    <t>CARRERA 17B # 10 - 16</t>
  </si>
  <si>
    <t>12084119511</t>
  </si>
  <si>
    <t>PEREZ ESCORCIA LEIDER JUNIOR</t>
  </si>
  <si>
    <t>3ZYA942H</t>
  </si>
  <si>
    <t>COOSALUD</t>
  </si>
  <si>
    <t xml:space="preserve">ESCORCIA GONZALEZ JAVIER </t>
  </si>
  <si>
    <t>LAE7KQRP</t>
  </si>
  <si>
    <t>CARRERA 22 # 7 - 30</t>
  </si>
  <si>
    <t>TORRES NIEBLES STEWILL ALBERTO</t>
  </si>
  <si>
    <t>QWMYZH74</t>
  </si>
  <si>
    <t>CALLE 5 17 03 APTO 1</t>
  </si>
  <si>
    <t>javierescorcia242@gmail.com</t>
  </si>
  <si>
    <t>juancarlosvillarrealorozco@gmail.com</t>
  </si>
  <si>
    <t>CALLE 1A # 59 - 72</t>
  </si>
  <si>
    <t>stewillalbertotorresniebles@gmail.com</t>
  </si>
  <si>
    <t>5XJ6RV6R</t>
  </si>
  <si>
    <t>8600003794</t>
  </si>
  <si>
    <t>CL 17 22 74</t>
  </si>
  <si>
    <t>recibosdepagoanava@gmail.com</t>
  </si>
  <si>
    <t xml:space="preserve">ESCORCIA QUIROZ FAVIO ANTONIO </t>
  </si>
  <si>
    <t>CBOQQ7C2</t>
  </si>
  <si>
    <t xml:space="preserve">AUXILIAR DE JORNADA LABORAL </t>
  </si>
  <si>
    <t>ERZSQRT6</t>
  </si>
  <si>
    <t>ORTEGA AREVALO KEVIN JAVIER</t>
  </si>
  <si>
    <t>XFE62523</t>
  </si>
  <si>
    <t>CRA 44 No. 23 - 45</t>
  </si>
  <si>
    <t>CR 13 CL 15 15 38</t>
  </si>
  <si>
    <r>
      <rPr>
        <u/>
        <sz val="11"/>
        <color rgb="FF1155CC"/>
        <rFont val="Calibri"/>
        <family val="2"/>
      </rPr>
      <t>escorciafavio@gmail.com</t>
    </r>
  </si>
  <si>
    <t>joseluisbadilloviloria@gmail.com</t>
  </si>
  <si>
    <t>CARRERA 17 H # 49 C - 44</t>
  </si>
  <si>
    <t>LAS  MORAS</t>
  </si>
  <si>
    <t>alfredobarrios0418@gmail.com</t>
  </si>
  <si>
    <t>CANTILLO DE AVILA LUIS ALBERTO</t>
  </si>
  <si>
    <t>Z1UXCEXI</t>
  </si>
  <si>
    <t>78700008289</t>
  </si>
  <si>
    <t>CALLE 68 # 160</t>
  </si>
  <si>
    <t>FALON ORTEGA DEIMER MIGUEL</t>
  </si>
  <si>
    <t>SI77G2UF</t>
  </si>
  <si>
    <t xml:space="preserve">BALLESTEROS POLO EDILVER ENRIQUE </t>
  </si>
  <si>
    <t>IK07QHN3</t>
  </si>
  <si>
    <t>TRANSVERSAL 2D DIAG 52 - 34</t>
  </si>
  <si>
    <t>deimer.1@outloook.com</t>
  </si>
  <si>
    <t>CARO CONTRERAS LEWIS SANTIAGO</t>
  </si>
  <si>
    <t>48190390601</t>
  </si>
  <si>
    <t>TJK29AH6</t>
  </si>
  <si>
    <t>CALLE 6#17B-43</t>
  </si>
  <si>
    <t>miledismorales24@gmail.com</t>
  </si>
  <si>
    <t>CALLE 35 B # 7A - 78</t>
  </si>
  <si>
    <t>RENACER</t>
  </si>
  <si>
    <t>lewis300caro@gmail.com</t>
  </si>
  <si>
    <t>9TCG0HX7</t>
  </si>
  <si>
    <t xml:space="preserve">BALZA SOTO YURIS MARIA </t>
  </si>
  <si>
    <t>SANDOVAL MARCHENA LEYDER DE JESUS</t>
  </si>
  <si>
    <t>CL 36 5A 61</t>
  </si>
  <si>
    <t>5CJMEOOX</t>
  </si>
  <si>
    <t>enuarrafael28@gmail.com</t>
  </si>
  <si>
    <t>8600003733</t>
  </si>
  <si>
    <t>CALLE 10 # 16A - 42</t>
  </si>
  <si>
    <t>CARRERA 4 SUR # 4B3 - 09</t>
  </si>
  <si>
    <t>balzasotoy@gmail.com</t>
  </si>
  <si>
    <t>FLOREZ SALGADO JUAN JOSE</t>
  </si>
  <si>
    <t>COORDINADOR SST</t>
  </si>
  <si>
    <t>73I8A46U</t>
  </si>
  <si>
    <t>LOPEZ OROZCO MARCOS ELIAS</t>
  </si>
  <si>
    <t>IVDVY2FP</t>
  </si>
  <si>
    <t>BS78H5N9</t>
  </si>
  <si>
    <t>CALLE 37 # 13 - 63</t>
  </si>
  <si>
    <t>BONANZA</t>
  </si>
  <si>
    <t>marcoseliaslopex@gmail.com</t>
  </si>
  <si>
    <t>Cr. 16 N°31-195</t>
  </si>
  <si>
    <t>juan12_21@outlook.com</t>
  </si>
  <si>
    <t>La maria sector san bernando valle 53#52-059</t>
  </si>
  <si>
    <t>BARANOA</t>
  </si>
  <si>
    <t>LINDARTE JAIMES FARIK LEONEL</t>
  </si>
  <si>
    <t>0570488474102503</t>
  </si>
  <si>
    <t>adrianenriquebarrerasdiaz@gmail.com</t>
  </si>
  <si>
    <t>6W7664KU</t>
  </si>
  <si>
    <t>CALLE 35 # 32 - 6</t>
  </si>
  <si>
    <t>BTCR5529</t>
  </si>
  <si>
    <t>FONTALVO BOLAÑO ENMANUEL</t>
  </si>
  <si>
    <t>O4X418R9</t>
  </si>
  <si>
    <t xml:space="preserve">VOLUNTARIO </t>
  </si>
  <si>
    <t>TV C SUR DG 78 39</t>
  </si>
  <si>
    <t>CARRILLO PEREZ ARNOLD ANTONIO</t>
  </si>
  <si>
    <t>XPNC8SJT</t>
  </si>
  <si>
    <t>robertobarriosescorcia@gmail.com</t>
  </si>
  <si>
    <t>CR 7 N 6 55</t>
  </si>
  <si>
    <t>fontalvobolanoe@gmail.com</t>
  </si>
  <si>
    <t>CALLE 71A # 21 - 27</t>
  </si>
  <si>
    <t>8600003722</t>
  </si>
  <si>
    <t>BARRIOS GARZON ALFEDO</t>
  </si>
  <si>
    <t>M3TYJK49</t>
  </si>
  <si>
    <t>9P0Z0DYB</t>
  </si>
  <si>
    <t>PDNIIT8Q</t>
  </si>
  <si>
    <t>CALLE 21 N 26-179</t>
  </si>
  <si>
    <t>304 5257651</t>
  </si>
  <si>
    <t>calle 50b-7b-64</t>
  </si>
  <si>
    <t>diazjimenezyeison@gmail.com</t>
  </si>
  <si>
    <t xml:space="preserve">SARMIENTO PALACIO MERY LAURA </t>
  </si>
  <si>
    <t xml:space="preserve">AUXILIAR SAC </t>
  </si>
  <si>
    <t>TN69XT0V</t>
  </si>
  <si>
    <t>CL 81B 26C 18</t>
  </si>
  <si>
    <t>8600003709</t>
  </si>
  <si>
    <t>CARRERA 14 C #119-18</t>
  </si>
  <si>
    <t xml:space="preserve">3016905316 THERESA NORIEGA </t>
  </si>
  <si>
    <t>BARRANQILLA</t>
  </si>
  <si>
    <t>LOS ANGELES</t>
  </si>
  <si>
    <t>SARMIENTO23MEERY@GMAIL.COM</t>
  </si>
  <si>
    <t xml:space="preserve">BANCOLOMBIA </t>
  </si>
  <si>
    <t>GARCIA PACHECO ALVARO LUIS</t>
  </si>
  <si>
    <t>ABIZVLL6</t>
  </si>
  <si>
    <t>P6ALB2U5</t>
  </si>
  <si>
    <t>CALLE 14#1A 02</t>
  </si>
  <si>
    <t>alvarolgarciapacheco@gmail.com</t>
  </si>
  <si>
    <t>8600003768</t>
  </si>
  <si>
    <t>EPV8D771</t>
  </si>
  <si>
    <t>SARMIENTO SARMIENTO ISRAEL</t>
  </si>
  <si>
    <t>2V1UBLSR</t>
  </si>
  <si>
    <t>A58LHYKR</t>
  </si>
  <si>
    <t>CRA 8 SUR #18-53</t>
  </si>
  <si>
    <t>CALLE 55B # 5A - 138</t>
  </si>
  <si>
    <t>erminsonjosebarrios84@gmail.com</t>
  </si>
  <si>
    <t>CR 23A 99E 37</t>
  </si>
  <si>
    <t>7959524@gmail.com</t>
  </si>
  <si>
    <t>SANCHEZ GARCIA TOMAS EMILIO</t>
  </si>
  <si>
    <t>8600003711</t>
  </si>
  <si>
    <t>PX0QTB6T</t>
  </si>
  <si>
    <t>EG9CA6RQ</t>
  </si>
  <si>
    <t>CRA 7C # 43 B 33</t>
  </si>
  <si>
    <t>CRA 4B70A 25</t>
  </si>
  <si>
    <t>tomasemiliosanchez@hotmail.com</t>
  </si>
  <si>
    <t xml:space="preserve">GUERRA PADILLA JAMES JHOAN </t>
  </si>
  <si>
    <t>joserodrigobarrios06@outlook.es</t>
  </si>
  <si>
    <t>MFNEPNTX</t>
  </si>
  <si>
    <t>BARRIOS SANTIAGO ALFREDO ENRIQUE</t>
  </si>
  <si>
    <t>KFL3U4E1</t>
  </si>
  <si>
    <t>CARRERA 44 NUMERO 17-16</t>
  </si>
  <si>
    <t>JAMESGUERRA1987@GMAIL.COM</t>
  </si>
  <si>
    <t xml:space="preserve">salud total </t>
  </si>
  <si>
    <t xml:space="preserve">PORVENIR </t>
  </si>
  <si>
    <t>3244680660</t>
  </si>
  <si>
    <t>CRA 5 NUM 94-81 APT 3</t>
  </si>
  <si>
    <t>alfredobarrios900131@gmail.com</t>
  </si>
  <si>
    <t>4YHI1IBS</t>
  </si>
  <si>
    <t>MADRID JULIO RAUL ALBERTO</t>
  </si>
  <si>
    <t>RNVZ6APA</t>
  </si>
  <si>
    <t>TSW6LZ2W</t>
  </si>
  <si>
    <t>CL 63 12 61</t>
  </si>
  <si>
    <t>sleiderguerreroahumada@gmail.com</t>
  </si>
  <si>
    <t>8600003774</t>
  </si>
  <si>
    <t>0550488454771657</t>
  </si>
  <si>
    <t>DAVIVIENDA</t>
  </si>
  <si>
    <t>DG 52 D</t>
  </si>
  <si>
    <t>ZD37HIPS</t>
  </si>
  <si>
    <t>Y26K33LT</t>
  </si>
  <si>
    <t>BELTRAN JIMENEZ SANDRA MARCELA</t>
  </si>
  <si>
    <t>AUXILIAR SERVICE LEVEL</t>
  </si>
  <si>
    <t>DG 52 1 D 14</t>
  </si>
  <si>
    <t>Yuranismaestreza@outlook.es</t>
  </si>
  <si>
    <t>77343508649</t>
  </si>
  <si>
    <t>CRA 6 SUR # 51 B - 04</t>
  </si>
  <si>
    <t>sandramarbeltranj0719@gmail.com</t>
  </si>
  <si>
    <t>CALLE 32 # 11F - 23</t>
  </si>
  <si>
    <t xml:space="preserve">SANTO TOMAS </t>
  </si>
  <si>
    <t>christianbescorcia@gmail.com</t>
  </si>
  <si>
    <t>R47ZG9BR</t>
  </si>
  <si>
    <t xml:space="preserve">MENDEZ  BERRIO JHON SIRD </t>
  </si>
  <si>
    <t>9U3BPJZ2</t>
  </si>
  <si>
    <t>CR 1 A 2 11D 04</t>
  </si>
  <si>
    <t>CRA 47 #16-22</t>
  </si>
  <si>
    <t>jhonmen0310@gmail.com</t>
  </si>
  <si>
    <t>33043703744</t>
  </si>
  <si>
    <t>PADILLA ARAUJO LEONARDO FARID</t>
  </si>
  <si>
    <t>8TNPGHHF</t>
  </si>
  <si>
    <t>AO3Y7XU2</t>
  </si>
  <si>
    <t>OXDVGUXM</t>
  </si>
  <si>
    <t>mz 62 diagonal 81 #6D-46</t>
  </si>
  <si>
    <t xml:space="preserve"> leonardopadillaaraujo@gmail.com </t>
  </si>
  <si>
    <t>Nueva EPS</t>
  </si>
  <si>
    <t xml:space="preserve">NO APLICA </t>
  </si>
  <si>
    <t>CR 16 N 903</t>
  </si>
  <si>
    <t>Segundovall@hotmail.com</t>
  </si>
  <si>
    <t>3239568643</t>
  </si>
  <si>
    <t>95716997228</t>
  </si>
  <si>
    <t>Cl 21 # 30-157</t>
  </si>
  <si>
    <t>OSK155B8</t>
  </si>
  <si>
    <t>CAÑATE VALDEZ ARTURO JAVIER</t>
  </si>
  <si>
    <t>aiverson20-13@hotmail.com</t>
  </si>
  <si>
    <t>J8E6TPZB</t>
  </si>
  <si>
    <t>CARRERA 18 # 72C - 175</t>
  </si>
  <si>
    <t>CALLE 33 C # 15 - 04</t>
  </si>
  <si>
    <t>08600003800</t>
  </si>
  <si>
    <t xml:space="preserve">HERNANDEZ PEREZ HAMER LUIS </t>
  </si>
  <si>
    <t>HLN3TPG1</t>
  </si>
  <si>
    <t>VUWRRU26</t>
  </si>
  <si>
    <t>CARRERA 17A NUMERO 72C- 212</t>
  </si>
  <si>
    <t xml:space="preserve">janerluisperez@gmail.com </t>
  </si>
  <si>
    <t>CR 9D 58 04</t>
  </si>
  <si>
    <t>BETIN VILLAR CARLOS DAVID</t>
  </si>
  <si>
    <t>XHNQN3JN</t>
  </si>
  <si>
    <t>Asaheji1968@hotmail.com</t>
  </si>
  <si>
    <t>8600003745</t>
  </si>
  <si>
    <t xml:space="preserve">SALAS FRUTO YOVANYS JOSE </t>
  </si>
  <si>
    <t>Cr 6c 97 21</t>
  </si>
  <si>
    <t>WS4PP426</t>
  </si>
  <si>
    <t>Betincarlos128@gmail.com</t>
  </si>
  <si>
    <t>9J6YYV8Y</t>
  </si>
  <si>
    <t>COORDINADOR DE RUTA</t>
  </si>
  <si>
    <t>DIAGONAL 73G NUMERO 15 E-265</t>
  </si>
  <si>
    <t xml:space="preserve">wendyfontalvocassiani2001@gmil.com </t>
  </si>
  <si>
    <t>CL 48 C 15 22</t>
  </si>
  <si>
    <t>Alvaroherrera1702@gmail.com</t>
  </si>
  <si>
    <t>3023333538</t>
  </si>
  <si>
    <t>DE LA CRUZ PARRAO RAFAEL</t>
  </si>
  <si>
    <t>7J7BXFRK</t>
  </si>
  <si>
    <t>BC3951RP</t>
  </si>
  <si>
    <t>JIMENEZ DE LA CRUZ EDER MANUEL</t>
  </si>
  <si>
    <t>J59CBPHB</t>
  </si>
  <si>
    <t>calle 95#6-37</t>
  </si>
  <si>
    <t>juandanielbetinvillar@gmail.com</t>
  </si>
  <si>
    <t xml:space="preserve">CARRERA 14 # 51 - 29 </t>
  </si>
  <si>
    <t>CALLE 44A NUM 1B-74</t>
  </si>
  <si>
    <t>ZGZR7LTT</t>
  </si>
  <si>
    <t>manueldelc98@gmail.com</t>
  </si>
  <si>
    <t>91277946101</t>
  </si>
  <si>
    <t>CL 7 N 2B 22</t>
  </si>
  <si>
    <t>abelblancobermejo@gmail.com</t>
  </si>
  <si>
    <t>802UDCKL</t>
  </si>
  <si>
    <t>M27QW6GH</t>
  </si>
  <si>
    <t xml:space="preserve">ANUAR AMIR PEREIRA PEREZ </t>
  </si>
  <si>
    <t>calle 18#75-8 sur</t>
  </si>
  <si>
    <t>OQBK8XKP</t>
  </si>
  <si>
    <t>dalisberpalencia@hotmail.com</t>
  </si>
  <si>
    <t>CL 66 14 04</t>
  </si>
  <si>
    <t>Omarjosejimenezmosquera@gmail.com</t>
  </si>
  <si>
    <t>8600003680</t>
  </si>
  <si>
    <t>BOLAÑO BETANCUR EFRAIN ANDRES</t>
  </si>
  <si>
    <t>XB7YSA7A</t>
  </si>
  <si>
    <t>CALLE 4 37-37</t>
  </si>
  <si>
    <t>JRPEREIRA0612@GMAIL.COM</t>
  </si>
  <si>
    <t>CALLE 40 8 A1</t>
  </si>
  <si>
    <t>KBEX8DJT</t>
  </si>
  <si>
    <t>efrainbolano003@gmail.com</t>
  </si>
  <si>
    <t>CUBAQUE VELEZ JORGE HUMBERTO</t>
  </si>
  <si>
    <t>CQB9NJKR</t>
  </si>
  <si>
    <t>CR 6 F 47 92</t>
  </si>
  <si>
    <t>Cra 18#78c1-34</t>
  </si>
  <si>
    <t xml:space="preserve">cubajorgenk@gmail.com </t>
  </si>
  <si>
    <t>jimenezbluisnalgel26@gmail.com</t>
  </si>
  <si>
    <t>8600003877</t>
  </si>
  <si>
    <t xml:space="preserve">ORELLANO MORENO NELSON ALBERTO </t>
  </si>
  <si>
    <t>2IZBNF86</t>
  </si>
  <si>
    <t>BOLAÑO TRILLOS MARIANA JOSUE</t>
  </si>
  <si>
    <t>ANALISTA DE SELECCION</t>
  </si>
  <si>
    <t>Y3Q0WBD9</t>
  </si>
  <si>
    <t xml:space="preserve">FLOREZ FERRER RAFAEL VICENTE </t>
  </si>
  <si>
    <t>CRA 178 N17-81</t>
  </si>
  <si>
    <t>nelsonorellano69@gmail.com</t>
  </si>
  <si>
    <t>CRA 1C # 2 -82</t>
  </si>
  <si>
    <t>marianabolanotrillos@gmail.com</t>
  </si>
  <si>
    <t>PUERTO COLOMBIA</t>
  </si>
  <si>
    <t>CALLE 25#15-16</t>
  </si>
  <si>
    <t>9O3Y25DR</t>
  </si>
  <si>
    <t>SAN ANTONIO</t>
  </si>
  <si>
    <t xml:space="preserve"> rafaelvicenteflorezferrer@gmail.com </t>
  </si>
  <si>
    <t>48131168694</t>
  </si>
  <si>
    <t>LOPEZ FLORES ISMAEL DAVID</t>
  </si>
  <si>
    <t>3FJ3UBR1</t>
  </si>
  <si>
    <t>XOK86J5F</t>
  </si>
  <si>
    <t>Carrera 10d #12/36</t>
  </si>
  <si>
    <t>liar_88@hotmail.com</t>
  </si>
  <si>
    <t>CRA 15#12-04</t>
  </si>
  <si>
    <t>CALLE 30 # 17 - 20</t>
  </si>
  <si>
    <t>BONADIEZ MEJIA HUMBERTO</t>
  </si>
  <si>
    <t>3022189541/3243213631</t>
  </si>
  <si>
    <t>COORDINADOR DE FLOTA</t>
  </si>
  <si>
    <t>7XYO2EW7</t>
  </si>
  <si>
    <t>edco0517@hotmail.com</t>
  </si>
  <si>
    <t>ismaeldavidlopezflorez@gmail.com</t>
  </si>
  <si>
    <t>humberbonadiez@gmail.com</t>
  </si>
  <si>
    <t>MARTINEZ PORTILLO JUAN SEBASTIAN</t>
  </si>
  <si>
    <t>AUXILIAR DE FLOTA</t>
  </si>
  <si>
    <t>S9KGTUZA</t>
  </si>
  <si>
    <t>8600004178</t>
  </si>
  <si>
    <t>CALLE 86 # 21 - 49</t>
  </si>
  <si>
    <t>3015227485</t>
  </si>
  <si>
    <t>CAMBIO DE CD</t>
  </si>
  <si>
    <t>CON JUSTA CAUSA</t>
  </si>
  <si>
    <t>M4XHZE7U</t>
  </si>
  <si>
    <t>BOSSIO PIÑERES CARLOS ERNESTO</t>
  </si>
  <si>
    <t>TQG01JSD</t>
  </si>
  <si>
    <t>TORRES ARIAS HERNAN DARIO</t>
  </si>
  <si>
    <t>DG 5D TB1 38C</t>
  </si>
  <si>
    <t>RROUDLXQ</t>
  </si>
  <si>
    <t>Carrera 31 # 40-29</t>
  </si>
  <si>
    <t>BARANQUILLA</t>
  </si>
  <si>
    <t>321 6735734</t>
  </si>
  <si>
    <t>pinerescarlos77@gmail.com</t>
  </si>
  <si>
    <t>miltonlopez198604@gmail.com</t>
  </si>
  <si>
    <t>8600003694</t>
  </si>
  <si>
    <t>Carrera 21 # 6 27</t>
  </si>
  <si>
    <t xml:space="preserve"> 310 6023151</t>
  </si>
  <si>
    <t>dtdario43@gmail.com</t>
  </si>
  <si>
    <t>LUNA MURILLO ELKIN JOSE</t>
  </si>
  <si>
    <t>BRICEÑO LARA BRYAN JOSE</t>
  </si>
  <si>
    <t>7SKT21YP</t>
  </si>
  <si>
    <t xml:space="preserve">JIMENEZ ACOSTA GERMAN ORLANDO </t>
  </si>
  <si>
    <t>SGD6W3TB</t>
  </si>
  <si>
    <t>GERENTE JUNIOR</t>
  </si>
  <si>
    <t xml:space="preserve">COLOMBIA </t>
  </si>
  <si>
    <t>CALLE 43B #2B-04</t>
  </si>
  <si>
    <t>2TX40NLD</t>
  </si>
  <si>
    <t>ianjose0412@gmail.com</t>
  </si>
  <si>
    <t>E7CSP1VD</t>
  </si>
  <si>
    <t>CALLE 14B NUMERO 11-53</t>
  </si>
  <si>
    <t>orlandogerman022@gmail.com</t>
  </si>
  <si>
    <t>CALLE 4A # 11 - 180</t>
  </si>
  <si>
    <t xml:space="preserve">SANITAS </t>
  </si>
  <si>
    <t>0819001501</t>
  </si>
  <si>
    <t>BBVA</t>
  </si>
  <si>
    <t>CR 8D N 98 782</t>
  </si>
  <si>
    <t>OROZCO CERVANTES JORGE ANDRES</t>
  </si>
  <si>
    <t>buelvasgilantonio612@gmail.com</t>
  </si>
  <si>
    <t>NY062P35</t>
  </si>
  <si>
    <t>Permiso de Protección Temporal</t>
  </si>
  <si>
    <t>OJUN26OB</t>
  </si>
  <si>
    <t>CALLE 14 # 21 - 05</t>
  </si>
  <si>
    <t>LA LUZ</t>
  </si>
  <si>
    <t>3022567339</t>
  </si>
  <si>
    <t>CRA 9E 1 136-27</t>
  </si>
  <si>
    <t>BUJATO RENTERIA MAYRA ALEJANDRA</t>
  </si>
  <si>
    <t>5504PRYL</t>
  </si>
  <si>
    <t>mgb.davidandry@hotmail.com</t>
  </si>
  <si>
    <t>43400001789</t>
  </si>
  <si>
    <t xml:space="preserve">ARCILLA MONTERO ELOYNIS RAFAEL </t>
  </si>
  <si>
    <t>L7RSQT1W</t>
  </si>
  <si>
    <t>Calle 15 22 - 11</t>
  </si>
  <si>
    <t>mairaleja1302@hotmail.es</t>
  </si>
  <si>
    <t>MARENCO RUA ESTEBAN JOSE</t>
  </si>
  <si>
    <t>CARRERA 6E #78A-34</t>
  </si>
  <si>
    <t>FOYI1C8N</t>
  </si>
  <si>
    <t xml:space="preserve">NUEVA ESPERANZA </t>
  </si>
  <si>
    <t>eloynisarcila03@gmail.com</t>
  </si>
  <si>
    <t>3042877524</t>
  </si>
  <si>
    <t xml:space="preserve">LONDOÑO DIAZ GRANADOZ KIMBERLY MARGARITA </t>
  </si>
  <si>
    <t>76900008701</t>
  </si>
  <si>
    <t>CALL CENTER</t>
  </si>
  <si>
    <t>CQL0TLGH</t>
  </si>
  <si>
    <t>ER7KVO3Z</t>
  </si>
  <si>
    <t>CALLE 6A #14-130</t>
  </si>
  <si>
    <t>margarita11.klo@gmail.com</t>
  </si>
  <si>
    <t>4BHYHNZP</t>
  </si>
  <si>
    <t xml:space="preserve">MENDINUETA GARAY PEDRO ANTONIO </t>
  </si>
  <si>
    <t>CR 48 18 40 GALAPA</t>
  </si>
  <si>
    <t>DG 52 N 1 68</t>
  </si>
  <si>
    <t>cristogonzalez233@gmail.com</t>
  </si>
  <si>
    <t>91200470473</t>
  </si>
  <si>
    <t>CALLE 80B #18-93</t>
  </si>
  <si>
    <t>pedro_mendinueva@hotmail.com</t>
  </si>
  <si>
    <t xml:space="preserve">DAVIPLATA </t>
  </si>
  <si>
    <t>YF8AJVKK</t>
  </si>
  <si>
    <t>CL 98 C N1E 225</t>
  </si>
  <si>
    <t>Angemiguelmedranocardenas5@gmail.com</t>
  </si>
  <si>
    <t>GALLARDO OÑORO ALEX DAVID</t>
  </si>
  <si>
    <t>8600003879</t>
  </si>
  <si>
    <t>CABALLERO MURILLO EDUARDO</t>
  </si>
  <si>
    <t>ISLKCOJU</t>
  </si>
  <si>
    <t xml:space="preserve">CALLE 12 #4-33 </t>
  </si>
  <si>
    <t>R41TNBOW</t>
  </si>
  <si>
    <t xml:space="preserve">TUBARA </t>
  </si>
  <si>
    <t>GALLARDOALEX499@GMAIL.COM</t>
  </si>
  <si>
    <t>DIAGONAL 54 N TRAV 1 C - 87 SANTO DOMINGO</t>
  </si>
  <si>
    <t>CALLE 58A#2-62</t>
  </si>
  <si>
    <t>eduardomurillocaballero@gmail.com</t>
  </si>
  <si>
    <t>ROMERO BLANCO JHON EDUARD</t>
  </si>
  <si>
    <t>gabrieljosemelgarejomarchena@gmail.com</t>
  </si>
  <si>
    <t>2JKII6RA</t>
  </si>
  <si>
    <t>8600004967</t>
  </si>
  <si>
    <t>CARRERA 19 # 120 - 28</t>
  </si>
  <si>
    <t>0550488423214623</t>
  </si>
  <si>
    <t>CUF9Y3QA</t>
  </si>
  <si>
    <t>CREAR</t>
  </si>
  <si>
    <t>PICON FLOREZ JARLEN DAVID</t>
  </si>
  <si>
    <t>YVJCX7NP</t>
  </si>
  <si>
    <t>CALLE 58 A # 2 - 62</t>
  </si>
  <si>
    <t>nayelissofia1994@hotmail.com</t>
  </si>
  <si>
    <t>8600003770</t>
  </si>
  <si>
    <t>CALLE 59 # 9B</t>
  </si>
  <si>
    <t>ZO0IG9TO</t>
  </si>
  <si>
    <t>JZCMFSBV</t>
  </si>
  <si>
    <t>GONZALEZ SIADO EWIN ENRIQUE</t>
  </si>
  <si>
    <t>CL 5 CR 10</t>
  </si>
  <si>
    <t>JZF6HHQA</t>
  </si>
  <si>
    <t>CL 41 1A 19</t>
  </si>
  <si>
    <t>cabarcasj617@gmail.com</t>
  </si>
  <si>
    <t>8566749@gmail.com</t>
  </si>
  <si>
    <t>8600003710</t>
  </si>
  <si>
    <t>CARRERA 19 u# 19 - 140</t>
  </si>
  <si>
    <t>LURUACO</t>
  </si>
  <si>
    <t>NFM16EJB</t>
  </si>
  <si>
    <t>RONCO FERRER HAROLD DAVID</t>
  </si>
  <si>
    <t>CWZOORP1</t>
  </si>
  <si>
    <t>CL 28 CR 30</t>
  </si>
  <si>
    <t>josemerinoquintero683@gmail.com</t>
  </si>
  <si>
    <t>8600003788</t>
  </si>
  <si>
    <t>CARRERA 26 NUM 4-48</t>
  </si>
  <si>
    <t>ronconferrerhd@hotmail.com</t>
  </si>
  <si>
    <t>NAVARRO GOMEZ SAUL ENRIQUE</t>
  </si>
  <si>
    <t>RQ8761SX</t>
  </si>
  <si>
    <t>SUAREZ MORALES MAURICIO ANGEL</t>
  </si>
  <si>
    <t>CRA 51 #19-31</t>
  </si>
  <si>
    <t>elsasayshajo@gmail.com</t>
  </si>
  <si>
    <t xml:space="preserve">CAICEDO SARMIENTO JOSE DAVID </t>
  </si>
  <si>
    <t>9H7M014S</t>
  </si>
  <si>
    <t xml:space="preserve">CALLE 104 # 12E 29 LA PAZ </t>
  </si>
  <si>
    <t>CALLE 99#5 SUR 83</t>
  </si>
  <si>
    <t>55430403868</t>
  </si>
  <si>
    <t>suarezmoralesmauricioangel.2803@gmail.com</t>
  </si>
  <si>
    <t>davidjosesarmiento09@gmail.com</t>
  </si>
  <si>
    <t>NO APLICA</t>
  </si>
  <si>
    <t>0U6BO65V</t>
  </si>
  <si>
    <t>PEREZ GARCIA CARLOS ANDRES</t>
  </si>
  <si>
    <t>NCUOYSHH</t>
  </si>
  <si>
    <t>CR 7D N 76 81</t>
  </si>
  <si>
    <t>jeisonnsolano@gmail.com</t>
  </si>
  <si>
    <t>CALLE 49B # 1G - 72</t>
  </si>
  <si>
    <t>8600004201</t>
  </si>
  <si>
    <t>3113011450</t>
  </si>
  <si>
    <t>CALLE INSIGNARES LEONARDO ANTONIO</t>
  </si>
  <si>
    <t>9FVCL760</t>
  </si>
  <si>
    <t>C2EZ65TB</t>
  </si>
  <si>
    <t>NARANJO BELTRAN NELSON GUSTAVO</t>
  </si>
  <si>
    <t>CALLE 81A #18E -22</t>
  </si>
  <si>
    <t>CARRERA 14 - 21</t>
  </si>
  <si>
    <t>leo_calle1993@hotmail.com</t>
  </si>
  <si>
    <t>08600003691</t>
  </si>
  <si>
    <t>CALLE 19A #6 SUR -33</t>
  </si>
  <si>
    <t>VILLA GLADYS</t>
  </si>
  <si>
    <t>NELNARAN0606@GMAIL.COM</t>
  </si>
  <si>
    <t>COLPENSIONES</t>
  </si>
  <si>
    <t>OHE4UYXJ</t>
  </si>
  <si>
    <t>CL 17 5SUR</t>
  </si>
  <si>
    <t>TOBAR CERVANTES JOSE LUIS</t>
  </si>
  <si>
    <t>viviana.figueroa0827@hotmail.com</t>
  </si>
  <si>
    <t>I8U9RCKW</t>
  </si>
  <si>
    <t>8600003837</t>
  </si>
  <si>
    <t>SMVG4VHJ</t>
  </si>
  <si>
    <t>2W92277X</t>
  </si>
  <si>
    <t>CR 16 6 19</t>
  </si>
  <si>
    <t>CARRERA 34 # 26 - 31</t>
  </si>
  <si>
    <t>CL 59 G1 KR 4B 45</t>
  </si>
  <si>
    <t>3117759031</t>
  </si>
  <si>
    <t>eliecerorozcoorozco@gmail.com</t>
  </si>
  <si>
    <t>8600003695</t>
  </si>
  <si>
    <t>CAMARGO MEJIA JUAN JOSE</t>
  </si>
  <si>
    <t>JDPV7506</t>
  </si>
  <si>
    <t xml:space="preserve">MENDOZA ALVAREZ MIGUEL ANDRES </t>
  </si>
  <si>
    <t>COORDINADOR DE DPO Y KPIS</t>
  </si>
  <si>
    <t>QBLM2IXA</t>
  </si>
  <si>
    <t>W163M769</t>
  </si>
  <si>
    <t>CALLE 4A 4 N 1-72</t>
  </si>
  <si>
    <t>PROTECCIÒN</t>
  </si>
  <si>
    <t>CR 11B 45 32</t>
  </si>
  <si>
    <t>CAMERO TOSCANO EINER</t>
  </si>
  <si>
    <t>palomino0423@hotmail.com</t>
  </si>
  <si>
    <t>8MKM61TQ</t>
  </si>
  <si>
    <t>8600003766</t>
  </si>
  <si>
    <t>CALLE 60A NUM8-57</t>
  </si>
  <si>
    <t>CARRERA 12 # 74 - 45</t>
  </si>
  <si>
    <t>MANANTIAL</t>
  </si>
  <si>
    <t>3TDE4GSF</t>
  </si>
  <si>
    <t>mmiguelandres2@gmail.com</t>
  </si>
  <si>
    <t>E.P.S SANITAS</t>
  </si>
  <si>
    <t xml:space="preserve">CAMILO CRISTIAN MERCADO RODRIGUEZ </t>
  </si>
  <si>
    <t>E6IUKFTD</t>
  </si>
  <si>
    <t>CR 22 51 12</t>
  </si>
  <si>
    <t>parejojavier77@gmail.com</t>
  </si>
  <si>
    <t>8600003778</t>
  </si>
  <si>
    <t>ROMERO VILLAREAL FIDEL ALEJANDRO</t>
  </si>
  <si>
    <t>CARRERA 31 A1 N 124-2</t>
  </si>
  <si>
    <t>3046615079- 3209677875</t>
  </si>
  <si>
    <t>rodriguezmercado1995@gmail.com</t>
  </si>
  <si>
    <t>4CZQCCFS</t>
  </si>
  <si>
    <t>CARRERA 2B SUR # 7A-53</t>
  </si>
  <si>
    <t xml:space="preserve">BELLA VISTA </t>
  </si>
  <si>
    <t xml:space="preserve">SURA </t>
  </si>
  <si>
    <t>BTJ9ERM6</t>
  </si>
  <si>
    <t>CR 6 H 96 B 118</t>
  </si>
  <si>
    <t>herazovaldesmatias@hotmail.com</t>
  </si>
  <si>
    <t>8600003779</t>
  </si>
  <si>
    <t xml:space="preserve">BEDOYA SARABIA JUAN CAMILO </t>
  </si>
  <si>
    <t>0AYBC67K</t>
  </si>
  <si>
    <t>CRA 47 CALLE24-46</t>
  </si>
  <si>
    <t>scampocrespo@gmail.com</t>
  </si>
  <si>
    <t xml:space="preserve">JIMENEZ HERNANDEZ GERMAN JOSE </t>
  </si>
  <si>
    <t>CL 4A7 KR 4 SUR -26</t>
  </si>
  <si>
    <t xml:space="preserve">jbedoyasarabia@gmail.com </t>
  </si>
  <si>
    <t>Familiar de Colombia s.a.s</t>
  </si>
  <si>
    <t xml:space="preserve">CANTILLO ARAUJO ERIK SARMIENTO </t>
  </si>
  <si>
    <t>3215257906</t>
  </si>
  <si>
    <t>Carrera 6BS N° 15A - 10</t>
  </si>
  <si>
    <t>P36BFF5F</t>
  </si>
  <si>
    <t xml:space="preserve">SAN MARTIN </t>
  </si>
  <si>
    <t>gj831913@gemail.com</t>
  </si>
  <si>
    <t xml:space="preserve">MENDOZA MANGA JHONATAN ARLEN </t>
  </si>
  <si>
    <t xml:space="preserve">CALLE 10 N 13-62 </t>
  </si>
  <si>
    <t>FAMISANAR</t>
  </si>
  <si>
    <t xml:space="preserve">PEREZ CONTRERA MARIA GUADALUPE </t>
  </si>
  <si>
    <t xml:space="preserve">COORDINADORA DE TALENTO HUMANO </t>
  </si>
  <si>
    <t>CANTILLO CASTRO LAURA VANESSA</t>
  </si>
  <si>
    <t>YSA1UXOP</t>
  </si>
  <si>
    <t>CARRERA 22 NUMERO 1 E-86</t>
  </si>
  <si>
    <t>MALLORQUIN</t>
  </si>
  <si>
    <t xml:space="preserve">Calle 9 n 3 a 13 </t>
  </si>
  <si>
    <t>MPEREZCONTRERA12@GMAIL.COM</t>
  </si>
  <si>
    <t xml:space="preserve">NUEVA COLOMBIA </t>
  </si>
  <si>
    <t>11100022020</t>
  </si>
  <si>
    <t>MENDOZAJHONATAN249@GMAIL.COM</t>
  </si>
  <si>
    <t>PEREZ DE LA TORRE SEBASTIAN ANDRES</t>
  </si>
  <si>
    <t>9PGT1RPM</t>
  </si>
  <si>
    <t>CALLE 10 12-90</t>
  </si>
  <si>
    <t xml:space="preserve">CAMARGO OVIEDO MARIA ALEJANDRA </t>
  </si>
  <si>
    <t>lauracantillo0@gmail.com</t>
  </si>
  <si>
    <t>CALLE 29 # 30 - 40</t>
  </si>
  <si>
    <t>0550488458119697</t>
  </si>
  <si>
    <t xml:space="preserve">CARRERA 7 A # 34C-57 </t>
  </si>
  <si>
    <t>AUXILIAR HSEQ</t>
  </si>
  <si>
    <t xml:space="preserve">EL LIMON </t>
  </si>
  <si>
    <t>LOUJESU@HOTMAIL.COM</t>
  </si>
  <si>
    <t>3154347317</t>
  </si>
  <si>
    <t>HKMOJD5I</t>
  </si>
  <si>
    <t xml:space="preserve">MARTINEZ VARELA CARLOS JULIO </t>
  </si>
  <si>
    <t>COORDINADOR DPO</t>
  </si>
  <si>
    <t>CR 1 E 89 62</t>
  </si>
  <si>
    <t>lopezfrancisco2911@gmail.com</t>
  </si>
  <si>
    <t>8600003787</t>
  </si>
  <si>
    <t>CALLE 4A 1#1 35</t>
  </si>
  <si>
    <t xml:space="preserve">EL TESORO </t>
  </si>
  <si>
    <t>CJ.131@HOTMAIL.COM</t>
  </si>
  <si>
    <t xml:space="preserve">COLFONDOS </t>
  </si>
  <si>
    <t>4772506</t>
  </si>
  <si>
    <t>PEREZ RUA FABIAN ENRIQUE</t>
  </si>
  <si>
    <t>DKRKHCF8</t>
  </si>
  <si>
    <t>KRA 9 SUR 88 30</t>
  </si>
  <si>
    <t>fp185546@gmail.com</t>
  </si>
  <si>
    <t>RICARDO DE LEON JOSE SANTOS</t>
  </si>
  <si>
    <t>95700006714</t>
  </si>
  <si>
    <t>DIAGONAL 76 TRANSVERSAL 231</t>
  </si>
  <si>
    <t>REBOLLEDO BELTRAN RANDY ENRIQUE</t>
  </si>
  <si>
    <t>COORDINADOR ADMINISTRATIVO</t>
  </si>
  <si>
    <t>2RVR1GV3</t>
  </si>
  <si>
    <t>COLPENSION</t>
  </si>
  <si>
    <t>JOSESANTOSRICARDODELEON@GMAIL.COM</t>
  </si>
  <si>
    <t>CL 51 B N 3B 73</t>
  </si>
  <si>
    <t>randyrebolledobeltral@gmail.com</t>
  </si>
  <si>
    <t>95743403887</t>
  </si>
  <si>
    <t xml:space="preserve">RODRIGUEZ BARRIOS ISAAC DAVID </t>
  </si>
  <si>
    <t>EW0PB7FQ</t>
  </si>
  <si>
    <t>CR 12 E N70 63</t>
  </si>
  <si>
    <t>CARRERA 1 A SUR 21-18</t>
  </si>
  <si>
    <t>luiseduardolopezliduena@gmail.com</t>
  </si>
  <si>
    <t xml:space="preserve">isaac1998postobon@gmail.com </t>
  </si>
  <si>
    <t>33007758303</t>
  </si>
  <si>
    <t xml:space="preserve"> 3006980870</t>
  </si>
  <si>
    <t>X45UGGTZ</t>
  </si>
  <si>
    <t>CARLOS RAUL GONZÁLEZ JARAMILLO</t>
  </si>
  <si>
    <t>295A52DB</t>
  </si>
  <si>
    <t>CR 41G 113 125</t>
  </si>
  <si>
    <t>Mayalagata.20@gmail.com</t>
  </si>
  <si>
    <t>8600003807</t>
  </si>
  <si>
    <t>RUIZ MEZA MAX ANGHELO</t>
  </si>
  <si>
    <t xml:space="preserve">AUXILIAR DE REPARTO </t>
  </si>
  <si>
    <t>CALLE 23 No. 42-07</t>
  </si>
  <si>
    <t>carlosrauljaramillo703@gmail.com</t>
  </si>
  <si>
    <t>MUTUALSER</t>
  </si>
  <si>
    <t xml:space="preserve">CARRERA 42 # 27-40  COSTA H </t>
  </si>
  <si>
    <t xml:space="preserve">COSTA HERMOSA </t>
  </si>
  <si>
    <t>4LDWZWXL</t>
  </si>
  <si>
    <t>3022109412- 3242905441</t>
  </si>
  <si>
    <t>CARMONA LOPEZ JORGE ELIECER</t>
  </si>
  <si>
    <t>CR 3D N 37 C 53</t>
  </si>
  <si>
    <t>dairusso19@hotmail.com</t>
  </si>
  <si>
    <t>8600003726</t>
  </si>
  <si>
    <t xml:space="preserve">MERCADO GARCIA FABIAN ANDRES </t>
  </si>
  <si>
    <t>RUDAS BERBESI WALTER MIGUEL</t>
  </si>
  <si>
    <t>S78CEI0A</t>
  </si>
  <si>
    <t>CARRERA 15 G # 53-60</t>
  </si>
  <si>
    <t>LAS COLONIAS</t>
  </si>
  <si>
    <t>VIA 17 # 15 - 102</t>
  </si>
  <si>
    <t>MOLINEROS</t>
  </si>
  <si>
    <t>CALLE 26 # 13-43 LAS NIEVES</t>
  </si>
  <si>
    <t>waltermiguel_ru@hotmail.com</t>
  </si>
  <si>
    <t>3003858498</t>
  </si>
  <si>
    <t xml:space="preserve">CEPEDA SAUCEDO JUAN ANDRES </t>
  </si>
  <si>
    <t>CARO CARDONA JOSE MIGUEL</t>
  </si>
  <si>
    <t>8QBYUTT1</t>
  </si>
  <si>
    <t>D9TUWPGA</t>
  </si>
  <si>
    <t>CARRERA 12 D # 72-47</t>
  </si>
  <si>
    <t xml:space="preserve">PORTAL DE OS MANANTIALES </t>
  </si>
  <si>
    <t>19JANDRES19@GMAIL.COM</t>
  </si>
  <si>
    <t>CALLE 8B13B-66</t>
  </si>
  <si>
    <t>POLONUEVO</t>
  </si>
  <si>
    <t>KRA 15F NUM51-22</t>
  </si>
  <si>
    <t>Martesfrancisco45@gmail.com</t>
  </si>
  <si>
    <t>MIGUELCARO30CARDONA@HOTMAIL.COM</t>
  </si>
  <si>
    <t>CASTRO GARCIA ELIECER ENRIQUE</t>
  </si>
  <si>
    <t>48656168032</t>
  </si>
  <si>
    <t>VZPS5HR4</t>
  </si>
  <si>
    <t xml:space="preserve">W0XUCZQG
</t>
  </si>
  <si>
    <t>CRA 6 SUR 91-66</t>
  </si>
  <si>
    <t>eliecer286@gmail.com</t>
  </si>
  <si>
    <t>SERRANO BARRANCO HAROLD FABIAN</t>
  </si>
  <si>
    <t>V4SZ0S7S</t>
  </si>
  <si>
    <t>CALLE 18 # 43 - 213</t>
  </si>
  <si>
    <t xml:space="preserve">Kra15F#51-22 </t>
  </si>
  <si>
    <t>320 9560056</t>
  </si>
  <si>
    <t>miguelcaro30cardona@hotmail.com</t>
  </si>
  <si>
    <t>95774499122</t>
  </si>
  <si>
    <t>M8WIP2T4</t>
  </si>
  <si>
    <t>E78HXP99</t>
  </si>
  <si>
    <t>CAROLINA DEL CARMEN DE LA HOZ ESCORCIA</t>
  </si>
  <si>
    <t>CL 63 8 C 26</t>
  </si>
  <si>
    <t>jannersilvera25@gmail.com</t>
  </si>
  <si>
    <t>CARRERA 2 # 45 - 55</t>
  </si>
  <si>
    <t>8600003887</t>
  </si>
  <si>
    <t xml:space="preserve">carlosalbertoniñoaleman3@gmail.com </t>
  </si>
  <si>
    <t xml:space="preserve">JUSTA CAUSA </t>
  </si>
  <si>
    <t>ONDR59ZS</t>
  </si>
  <si>
    <t xml:space="preserve">QUIROZ OSPINO DAYR GREGORIO </t>
  </si>
  <si>
    <t xml:space="preserve">O </t>
  </si>
  <si>
    <t>Cll 37 # 7a33</t>
  </si>
  <si>
    <t xml:space="preserve">KR.13C#109E 02 </t>
  </si>
  <si>
    <t>Andresurezduica@gmail.com</t>
  </si>
  <si>
    <t xml:space="preserve">LOS OLIVOS </t>
  </si>
  <si>
    <t>95759580657</t>
  </si>
  <si>
    <t xml:space="preserve">dirquiroz022@gmail.com </t>
  </si>
  <si>
    <t>SUAREZ MARTINEZ BREINER DE JESUS</t>
  </si>
  <si>
    <t>FQNWKUST</t>
  </si>
  <si>
    <t>FERRER GUTIERREZ BREYNER</t>
  </si>
  <si>
    <t>TKLUXEQF</t>
  </si>
  <si>
    <t>CARRERA 3 SUR # 98 - 321</t>
  </si>
  <si>
    <t>breinerzuarez571@gmail.com</t>
  </si>
  <si>
    <t>111014989</t>
  </si>
  <si>
    <t>CALLE 10 # 22 - 16</t>
  </si>
  <si>
    <t>7 DE AGOSTO</t>
  </si>
  <si>
    <t xml:space="preserve">breyneralbertoferrergutierrez@gmail.com </t>
  </si>
  <si>
    <t>SUAREZ MARTINEZ JAVIER JUNIOR</t>
  </si>
  <si>
    <t>2CFQHKA6</t>
  </si>
  <si>
    <t>Z97YUCZK</t>
  </si>
  <si>
    <t>CR 12 B N 117 67</t>
  </si>
  <si>
    <t>orellano.11carrillomiguel@gmail.com</t>
  </si>
  <si>
    <t>javierjuniorsuarezmartinez218@gmail.com</t>
  </si>
  <si>
    <t>111014975</t>
  </si>
  <si>
    <t>ZO3S5OPH</t>
  </si>
  <si>
    <t>CARRILLO RODRIGUEZ ANTONY RAFAEL</t>
  </si>
  <si>
    <t>QI2PPCUZ</t>
  </si>
  <si>
    <t>CL 83 27C 20</t>
  </si>
  <si>
    <t>JIMENEZ FERNANDEZ ESTEBAN JESUS</t>
  </si>
  <si>
    <t>jesustorresquick@gmail.com</t>
  </si>
  <si>
    <t>8600003684</t>
  </si>
  <si>
    <t>CALLE 1#CRA 3-313</t>
  </si>
  <si>
    <t>MAGDALENA</t>
  </si>
  <si>
    <t>Anava2024..</t>
  </si>
  <si>
    <t>carrilloantony166@gmail.com</t>
  </si>
  <si>
    <t>CARRERA 26 C  # 15-75</t>
  </si>
  <si>
    <t>TOSCANO FLOREZ JORGE LUIS</t>
  </si>
  <si>
    <t>FJN2VFLG</t>
  </si>
  <si>
    <t>MARELVSFERNANDEZ09@GMAIL.COM</t>
  </si>
  <si>
    <t xml:space="preserve">CASTAÑEDA LUBO LEOVANYS </t>
  </si>
  <si>
    <t>M7Q6DSVX</t>
  </si>
  <si>
    <t xml:space="preserve">QUIROZ BLANCO LAURA MILENA </t>
  </si>
  <si>
    <t>ANALISTA DE FLOTA</t>
  </si>
  <si>
    <t>CALLE 13 N 22-55</t>
  </si>
  <si>
    <t>luzneryanayagarcia51@gmail.com</t>
  </si>
  <si>
    <t>3215627486</t>
  </si>
  <si>
    <t>CARRERA 12 NUMERO 57-39</t>
  </si>
  <si>
    <t xml:space="preserve">LA SEIVA </t>
  </si>
  <si>
    <t>LMQUIROZ@MAIL.UNIATLANTICO.EDU.CO</t>
  </si>
  <si>
    <t>DDA7F2RX</t>
  </si>
  <si>
    <t>HFDNVPIG</t>
  </si>
  <si>
    <t>SANCHEZ SANCHEZ FABIAN ENRIQUE</t>
  </si>
  <si>
    <t xml:space="preserve">AUXILIAR DE FLOTA </t>
  </si>
  <si>
    <t>CALLE 68 21B-14</t>
  </si>
  <si>
    <t>8600003890</t>
  </si>
  <si>
    <t xml:space="preserve">SAN FELIPE </t>
  </si>
  <si>
    <t>SANCHEZFABIAN1115@GMAIL.COM</t>
  </si>
  <si>
    <t>CR 130 96 191</t>
  </si>
  <si>
    <t>yeisonarlet1988@gmail.com</t>
  </si>
  <si>
    <t>RETIRO SIZING</t>
  </si>
  <si>
    <t>PADILLA BONILLA JORGE FELIPE</t>
  </si>
  <si>
    <t>JTHNFPI8</t>
  </si>
  <si>
    <t>CALLE 89 A1  # 6H - 13</t>
  </si>
  <si>
    <t>ROMANCE</t>
  </si>
  <si>
    <t>bonillapadilla17@gmail.com</t>
  </si>
  <si>
    <t>3242656381</t>
  </si>
  <si>
    <t>CALLE 10 #12-90</t>
  </si>
  <si>
    <t>533481081138</t>
  </si>
  <si>
    <t>VILLEGAS VIDES ALBIS ALBEIRO</t>
  </si>
  <si>
    <t>0GRGH3R8</t>
  </si>
  <si>
    <t xml:space="preserve">ALVAREZ MARCHAN ANTHONY JOSE </t>
  </si>
  <si>
    <t>CARRERA 4F # 40 - 07</t>
  </si>
  <si>
    <t>VILLAN SAN PEDRO</t>
  </si>
  <si>
    <t>albisvillegas38@gmail.com</t>
  </si>
  <si>
    <t>3208078789</t>
  </si>
  <si>
    <t>CARRERA 16 SUR #45 E-16</t>
  </si>
  <si>
    <t xml:space="preserve">VILLA SEVILLA </t>
  </si>
  <si>
    <t xml:space="preserve">ZAPATA GOMEZ JHON FREDY </t>
  </si>
  <si>
    <t>FENK8F4F</t>
  </si>
  <si>
    <t>MORALES PAYARES EDINSON</t>
  </si>
  <si>
    <t xml:space="preserve">CALLE 56 # 6C-51 </t>
  </si>
  <si>
    <t>ALTOS DE LA METRO</t>
  </si>
  <si>
    <t>EDINSON1925#GMAI.COM</t>
  </si>
  <si>
    <t xml:space="preserve">HERRERA MIRANDA HUMBERTO RAUL </t>
  </si>
  <si>
    <t xml:space="preserve">Calle 71#12A73 </t>
  </si>
  <si>
    <t>LIPAYA</t>
  </si>
  <si>
    <t>humbertherrera24@gmail.com</t>
  </si>
  <si>
    <t xml:space="preserve">NUEVA EPS </t>
  </si>
  <si>
    <t xml:space="preserve">PROTECCION </t>
  </si>
  <si>
    <t>3008219497</t>
  </si>
  <si>
    <t xml:space="preserve">PATIÑO DE LA ROSA BRYAN RAFAEL </t>
  </si>
  <si>
    <t>4E241UHX</t>
  </si>
  <si>
    <t>CASTILLA LOBO IVAN JOSE</t>
  </si>
  <si>
    <t xml:space="preserve">CALLE 74 16-05  </t>
  </si>
  <si>
    <t>PATINOBRYAN80@GMAIL.COM</t>
  </si>
  <si>
    <t xml:space="preserve">VALVERDE FRANCO LUIS HUMBERTO </t>
  </si>
  <si>
    <t xml:space="preserve">NAVARRO MEDINA LUIS FERNANDO </t>
  </si>
  <si>
    <t>R46WF1RS</t>
  </si>
  <si>
    <t>CALLE 41#31N-131</t>
  </si>
  <si>
    <t>VILLA NUEVA</t>
  </si>
  <si>
    <t>tatyanaconsuegra1983@gmail.com</t>
  </si>
  <si>
    <t>3218954918</t>
  </si>
  <si>
    <t>SVHUKCIQ</t>
  </si>
  <si>
    <t>CAJA COPI</t>
  </si>
  <si>
    <t>XXISTMRV</t>
  </si>
  <si>
    <t>Cra 3c 55d65</t>
  </si>
  <si>
    <t>jhonjairocastilleo@gmail.com</t>
  </si>
  <si>
    <t xml:space="preserve">CANTILLO MARCADO RONALD NEIR </t>
  </si>
  <si>
    <t>CRA 21 # 15 A 512</t>
  </si>
  <si>
    <t>kmoteroblanco@gmail.com</t>
  </si>
  <si>
    <t>CASTILLO MAICOL JOSE</t>
  </si>
  <si>
    <t>NDAAYBQ5</t>
  </si>
  <si>
    <t>8600004987</t>
  </si>
  <si>
    <t>AB</t>
  </si>
  <si>
    <t>CL 73 22 SUR 70</t>
  </si>
  <si>
    <t>BARRAZA PERTUZ RAMIRO ALEXANDER</t>
  </si>
  <si>
    <t xml:space="preserve">CONCTAC CENTER </t>
  </si>
  <si>
    <t>CALLE 79 9 SUR 102</t>
  </si>
  <si>
    <t>7 DE ABRIL</t>
  </si>
  <si>
    <t xml:space="preserve">CASTRO ALVAREZ ENDER </t>
  </si>
  <si>
    <t>MILANCANTILLO19@GMAIL.COM</t>
  </si>
  <si>
    <t>86IZ45UI</t>
  </si>
  <si>
    <t>Carrera 22D #46-27</t>
  </si>
  <si>
    <t>3248136118</t>
  </si>
  <si>
    <t xml:space="preserve">ramirobarraza6@gmail.com </t>
  </si>
  <si>
    <t>0550488431338455</t>
  </si>
  <si>
    <t>CALLE 12 A 10A43</t>
  </si>
  <si>
    <t>endercastroalvarez373@gmail.com</t>
  </si>
  <si>
    <t>AMARIS SALAS CESAR AUGUSTO</t>
  </si>
  <si>
    <t>9EAL3O7T</t>
  </si>
  <si>
    <t xml:space="preserve">CASTRO BASTIDAS JEIDER </t>
  </si>
  <si>
    <t>OP4HNC79</t>
  </si>
  <si>
    <t>CARRERA 18 N 10-65</t>
  </si>
  <si>
    <t xml:space="preserve">SABANA LARGA </t>
  </si>
  <si>
    <t>CALLE 39 # IH - 60</t>
  </si>
  <si>
    <t xml:space="preserve">SANTANDER </t>
  </si>
  <si>
    <t>AMARISSALAS19@GMAIL.COM</t>
  </si>
  <si>
    <t>javieralmeira@gmail.com</t>
  </si>
  <si>
    <t>3018265455</t>
  </si>
  <si>
    <t>Castrojeider69@gmail.com</t>
  </si>
  <si>
    <t>8600003721</t>
  </si>
  <si>
    <t>POLO MONTAÑO MICHAEL DE JESUS</t>
  </si>
  <si>
    <t>LAWK633Q</t>
  </si>
  <si>
    <t xml:space="preserve">MANJARRES TOVAR ADALBERTO MANUEL </t>
  </si>
  <si>
    <t>CARRERA 5B # 91 - 66</t>
  </si>
  <si>
    <t>cabelloa57@gmail.com</t>
  </si>
  <si>
    <t>Calle 29  n2652</t>
  </si>
  <si>
    <t>FERROCARRIL</t>
  </si>
  <si>
    <t>Adalbertomanjarrezt75@gmail.com</t>
  </si>
  <si>
    <t xml:space="preserve">FONDO PENSION </t>
  </si>
  <si>
    <t xml:space="preserve">MEJIA IIDUEÑA DARIO ENRIQUE </t>
  </si>
  <si>
    <t xml:space="preserve">SUPERVISOR DE DISTRIBUCION </t>
  </si>
  <si>
    <t>CALLE 1- E #1-15</t>
  </si>
  <si>
    <t xml:space="preserve">VILLA OLIMPICA </t>
  </si>
  <si>
    <t>DARIO.MEJIA1999@GMAIL.COM</t>
  </si>
  <si>
    <t xml:space="preserve">NO TIENE/VIVE SOLO </t>
  </si>
  <si>
    <t>VPD79OWV</t>
  </si>
  <si>
    <t>JIMENEZ ORDOÑEZ REMIGIO DONALDO</t>
  </si>
  <si>
    <t>MOVILIZADOR</t>
  </si>
  <si>
    <t xml:space="preserve">GONZALEZ CELIN JOSE LUIS </t>
  </si>
  <si>
    <t>CL 70 CR D 284</t>
  </si>
  <si>
    <t xml:space="preserve">CALLE 66 # 23-16 </t>
  </si>
  <si>
    <t>LAS MORAS</t>
  </si>
  <si>
    <t xml:space="preserve">remigiojimenezo@gmail.com </t>
  </si>
  <si>
    <t xml:space="preserve">CALLE 1 A CARRERA 4B 137 </t>
  </si>
  <si>
    <t>TUBARA</t>
  </si>
  <si>
    <t xml:space="preserve">EL CAMPITO </t>
  </si>
  <si>
    <t>JOSELUISGONZEL1986@GMAIL.COM</t>
  </si>
  <si>
    <t>3216889200</t>
  </si>
  <si>
    <t>JCHPS6BW</t>
  </si>
  <si>
    <t>4L7OQL5Q</t>
  </si>
  <si>
    <t>VILORIA ACUÑA DIONICIO</t>
  </si>
  <si>
    <t>YG2IFSPQ</t>
  </si>
  <si>
    <t>CRA 6 A SUR #91-66</t>
  </si>
  <si>
    <t>CALLE 105#25-121</t>
  </si>
  <si>
    <t>cbrayanpjose12@gmail.com</t>
  </si>
  <si>
    <t>k3vinandresp@gmail.com</t>
  </si>
  <si>
    <t>CALLE 42 # 15B - 03</t>
  </si>
  <si>
    <t>44200006248</t>
  </si>
  <si>
    <t>dionicioviloria5@gmail.com</t>
  </si>
  <si>
    <t>CASTRO TORRES DANIEL JESUS</t>
  </si>
  <si>
    <t>UGL6N7RC</t>
  </si>
  <si>
    <t>MONTES AGAMEZ SARA MARCELA</t>
  </si>
  <si>
    <t xml:space="preserve">CAMAÑO RUIZ EDGAR CESAR </t>
  </si>
  <si>
    <t>CR 10 DIAGONAL 135-170</t>
  </si>
  <si>
    <t xml:space="preserve">CARRERA 28 A # 143C -22 </t>
  </si>
  <si>
    <t xml:space="preserve">VILLA SAN PABLO </t>
  </si>
  <si>
    <t>SRAMONTES2810@GMAIL.COM</t>
  </si>
  <si>
    <t>8600006124</t>
  </si>
  <si>
    <t>CALLE 37 # 39-39</t>
  </si>
  <si>
    <t xml:space="preserve">SAN ROQUE </t>
  </si>
  <si>
    <t>COPSALUD</t>
  </si>
  <si>
    <t>0O0RKECH</t>
  </si>
  <si>
    <t xml:space="preserve">PEREZ GARCIA LUIS FERNANDO </t>
  </si>
  <si>
    <t xml:space="preserve">GUTIERREZ GONZALEZ DANIELA PAOLA </t>
  </si>
  <si>
    <t>ANALISTA DE DISTRIBUCION</t>
  </si>
  <si>
    <t>MUYIE6Q3</t>
  </si>
  <si>
    <t>CARRERA 18 #51-05</t>
  </si>
  <si>
    <t xml:space="preserve">VILLA CATANGA </t>
  </si>
  <si>
    <t>LUIFERPG1617@GMAIL.COM</t>
  </si>
  <si>
    <t>48160201951</t>
  </si>
  <si>
    <t>CALLE 120 No. 42 - 129</t>
  </si>
  <si>
    <t>CL 45 N15 01</t>
  </si>
  <si>
    <r>
      <rPr>
        <u/>
        <sz val="11"/>
        <color rgb="FF1155CC"/>
        <rFont val="Calibri"/>
        <family val="2"/>
      </rPr>
      <t>danielagutierrezg03@gmail.com</t>
    </r>
  </si>
  <si>
    <t xml:space="preserve">PEREZ PULIDO EDWIN JOSE </t>
  </si>
  <si>
    <t>H5MOL7AX</t>
  </si>
  <si>
    <t>CEBALLOS ALVAREZ JHON EVER</t>
  </si>
  <si>
    <t>Z4W4C0W4</t>
  </si>
  <si>
    <t>TRANSVERSAL 52A#27-75</t>
  </si>
  <si>
    <t>edwinperex77@hotmail.com</t>
  </si>
  <si>
    <t>08000018334</t>
  </si>
  <si>
    <t>CALLE 80 #5 SUR 89 SANTA MARIA</t>
  </si>
  <si>
    <t xml:space="preserve">HENRIQUEZ CABEZA ANGEL MOISES </t>
  </si>
  <si>
    <t>jhoneverceballosalvarez@gmail.com</t>
  </si>
  <si>
    <t xml:space="preserve">BABILONIA TOVIO MOISES DAVID </t>
  </si>
  <si>
    <t xml:space="preserve">CARRERA 5B # 52-73 </t>
  </si>
  <si>
    <t xml:space="preserve">SANTUARIO </t>
  </si>
  <si>
    <t>ANGELMOISES@GMAIL.COM</t>
  </si>
  <si>
    <t>CARRERA 15C Calle 20 #68d-66</t>
  </si>
  <si>
    <t xml:space="preserve">SANDOVAL SALCEDO JORGE JESUS </t>
  </si>
  <si>
    <t xml:space="preserve"> CALLE 98 C #2D-69 </t>
  </si>
  <si>
    <t>ALTOS DEL METRO</t>
  </si>
  <si>
    <t>KYLIANLEYLA2125@GMAIL.COM</t>
  </si>
  <si>
    <t>VILLA ESTADIO</t>
  </si>
  <si>
    <t>IY2I4LBW</t>
  </si>
  <si>
    <t>ARENOSA</t>
  </si>
  <si>
    <t>Calle 7A No 27-40 Galapa</t>
  </si>
  <si>
    <t>kilmercepeda96@gmail.com</t>
  </si>
  <si>
    <t>QUIROZ CASTRO CELSO MANUEL</t>
  </si>
  <si>
    <t>O1UE3DOG</t>
  </si>
  <si>
    <t>TRANSVERSAL 6 NUMERO 55A- 184</t>
  </si>
  <si>
    <t>SIERRITA</t>
  </si>
  <si>
    <t>BREIDISESTEFANT@GMAIL.COM</t>
  </si>
  <si>
    <t>CALLE 7A NUM 27-40</t>
  </si>
  <si>
    <t>KM 29. 15-135</t>
  </si>
  <si>
    <t xml:space="preserve">CANTILLO CANTILLO DUBERNEY DE JESUS </t>
  </si>
  <si>
    <t>CQUIROZ.66@GMAIL.COM</t>
  </si>
  <si>
    <t>HOEB66UF</t>
  </si>
  <si>
    <t>SIN INFORMACION</t>
  </si>
  <si>
    <t xml:space="preserve">RAMOS PALLARES LISNEY PAOLA </t>
  </si>
  <si>
    <t>NSWWRR7D</t>
  </si>
  <si>
    <t xml:space="preserve">CALLE 74 #3E-70 </t>
  </si>
  <si>
    <t xml:space="preserve">LA SIERRITA </t>
  </si>
  <si>
    <t>LISPAORAPA16@HOTMAIL.COM</t>
  </si>
  <si>
    <t>3016473495</t>
  </si>
  <si>
    <t>CRA 14 6 105</t>
  </si>
  <si>
    <t>roiman.stiwar@gmail.com</t>
  </si>
  <si>
    <t xml:space="preserve">CORONADO MERCADO MANUEL VICENTE </t>
  </si>
  <si>
    <t>CL 35 B 2C19</t>
  </si>
  <si>
    <t>jepachecoguetto@gmail.com</t>
  </si>
  <si>
    <t>NICF2NIL</t>
  </si>
  <si>
    <t>DIAGONAL 79 A 705</t>
  </si>
  <si>
    <t xml:space="preserve">NEUVA ESPERANZA </t>
  </si>
  <si>
    <t>YIDETHMORENO036@GMAIL.COM</t>
  </si>
  <si>
    <t>COLMENA</t>
  </si>
  <si>
    <t>47846026203</t>
  </si>
  <si>
    <t>TTNYZ9M5</t>
  </si>
  <si>
    <t xml:space="preserve">PUELLO MUÑOZ KEVIN JOSE </t>
  </si>
  <si>
    <t>TRANSV 1C N 54 44</t>
  </si>
  <si>
    <t>CR 12 SUR 50 08</t>
  </si>
  <si>
    <t>nicolllopez1910@gmail.com</t>
  </si>
  <si>
    <t>CALLE 2 N 54 A 39</t>
  </si>
  <si>
    <t>VILLA OLIMPICA</t>
  </si>
  <si>
    <t>CERVANTES BUSTOS JEYSONN ANDRES</t>
  </si>
  <si>
    <t>KEVINPUELLOM26@GMAIL.COM</t>
  </si>
  <si>
    <t>2MAOV054</t>
  </si>
  <si>
    <t>0550027200101932</t>
  </si>
  <si>
    <t>Calle 37F No. 1H - 12 Barrio El Milagro</t>
  </si>
  <si>
    <t xml:space="preserve">ROJANO LEZEMA KEVIN ENRIQUE </t>
  </si>
  <si>
    <t>jeisoncer48@gmail.com</t>
  </si>
  <si>
    <t>CESAR AUGUSTO TERAN ROMERO</t>
  </si>
  <si>
    <t xml:space="preserve">DIAGONAL 52 #1D- 29 </t>
  </si>
  <si>
    <t>9XM3WBH7</t>
  </si>
  <si>
    <t xml:space="preserve">SANTO DOMINGO </t>
  </si>
  <si>
    <t>KEVINROJANO03@GMAIL.COM</t>
  </si>
  <si>
    <t>3015009948</t>
  </si>
  <si>
    <t>TOVAR PAEZ HENRY ALBERTO</t>
  </si>
  <si>
    <t>9ZKHZP5O</t>
  </si>
  <si>
    <t>CALLE 70#2 SUR 46</t>
  </si>
  <si>
    <t xml:space="preserve">ROA JIMENEZ VIRGILIO JOSE </t>
  </si>
  <si>
    <t>AGL9Z0NZ</t>
  </si>
  <si>
    <t>cesarteran 20162016@gmail.com</t>
  </si>
  <si>
    <t>CALLE 9 # 32 - 107</t>
  </si>
  <si>
    <t>tovarpaezhenry@gmail.com</t>
  </si>
  <si>
    <t>47716105888</t>
  </si>
  <si>
    <t>CALLE 17#12-51</t>
  </si>
  <si>
    <t>virgilioroa013@gmail.com</t>
  </si>
  <si>
    <t>12061752836</t>
  </si>
  <si>
    <t>MOLINA SANTIAGO GERMAN DAVID</t>
  </si>
  <si>
    <t>CHARLIE CASTILLO MOLINARES</t>
  </si>
  <si>
    <t>ZHWSXLS7</t>
  </si>
  <si>
    <t>5KOS4U9D</t>
  </si>
  <si>
    <t>CALLE # 7 3- 80</t>
  </si>
  <si>
    <t xml:space="preserve">RODRIGUEZ CASTILLO EDWAR ARTURO </t>
  </si>
  <si>
    <t>CENTRO</t>
  </si>
  <si>
    <t>Calle 72N26B-57</t>
  </si>
  <si>
    <t>charliescastillo@hotmail.com</t>
  </si>
  <si>
    <t>ORTEGA BARRERA MIGUEL ANGEL</t>
  </si>
  <si>
    <t xml:space="preserve">CALLE 48C #1-B61 </t>
  </si>
  <si>
    <t>HGLR41SX</t>
  </si>
  <si>
    <t xml:space="preserve">20 DE JULIO </t>
  </si>
  <si>
    <t>edwarr518@gmail.com</t>
  </si>
  <si>
    <t>CARRERA  3 # 53B - 118</t>
  </si>
  <si>
    <t xml:space="preserve">MEDINA FLOREZ SALMA HAEL </t>
  </si>
  <si>
    <t>SALUD T.</t>
  </si>
  <si>
    <t>AUXILIAR SST</t>
  </si>
  <si>
    <t>PIÑERES HURTADO LEVISTON HUMBERTO</t>
  </si>
  <si>
    <t>YRRK8D2B</t>
  </si>
  <si>
    <t>CARRERA 26 #44C- 32</t>
  </si>
  <si>
    <t xml:space="preserve">CHARRIS CASTILLO JEFFERSON </t>
  </si>
  <si>
    <t>URB MUVDY</t>
  </si>
  <si>
    <t>SALMAHAMEDINA@GMAIL.COM</t>
  </si>
  <si>
    <t>SANIDAD-POLICIA</t>
  </si>
  <si>
    <t>47800006493</t>
  </si>
  <si>
    <t xml:space="preserve">ROLONG DE LA TORRE JHOON FREYS </t>
  </si>
  <si>
    <t xml:space="preserve">PUA SANCHEZ SAIR JOSE </t>
  </si>
  <si>
    <t>CALLE 31N #21- 02</t>
  </si>
  <si>
    <t xml:space="preserve">SABANALARGA </t>
  </si>
  <si>
    <t>JHOONFREYSROLONGDELATORRE@GMAIL.COM</t>
  </si>
  <si>
    <t>CHAVES MIRANDA WILMER ANDRES</t>
  </si>
  <si>
    <t>9Y88V0XV</t>
  </si>
  <si>
    <t>CALLE 79 # 9 SUR 102</t>
  </si>
  <si>
    <t xml:space="preserve"> sairjosepuasanchez@gmail.com </t>
  </si>
  <si>
    <t xml:space="preserve">PADILLA DE LA HOZ JUAN CARLOS </t>
  </si>
  <si>
    <t>3123467784</t>
  </si>
  <si>
    <t>CALLE 3 N 58 -28</t>
  </si>
  <si>
    <t>wilmerchavez2409@gmail.com</t>
  </si>
  <si>
    <t xml:space="preserve">CARRERA 33C #15 BLOQUE 4 </t>
  </si>
  <si>
    <t xml:space="preserve">SOLEDAD </t>
  </si>
  <si>
    <t xml:space="preserve">MANUELA BELTRAN </t>
  </si>
  <si>
    <t>JUANCAPADILLA89@GMAIL.COM</t>
  </si>
  <si>
    <t>5N79SV61</t>
  </si>
  <si>
    <t>CAJACOPIEPS S.A.S</t>
  </si>
  <si>
    <t xml:space="preserve">ACOSTA SOLANO GREGORIO ENRIQUE </t>
  </si>
  <si>
    <t>3V4XYY8Y</t>
  </si>
  <si>
    <t>CALLE 97 CASA 754</t>
  </si>
  <si>
    <t>LAS MALVINAS</t>
  </si>
  <si>
    <t>GREGORIOSOLANO444@GMAIL.COM</t>
  </si>
  <si>
    <t>8600003752</t>
  </si>
  <si>
    <t>08600005208</t>
  </si>
  <si>
    <t xml:space="preserve"> SIADO ROA LUIS ANGEL</t>
  </si>
  <si>
    <t>JARAMILLO MUNOZ GUILLERMO LEON</t>
  </si>
  <si>
    <t>CARRERA 20 # 19-99</t>
  </si>
  <si>
    <t>CORDIALIDAD</t>
  </si>
  <si>
    <t>LUISSIADO@GMAIL.COM</t>
  </si>
  <si>
    <t>FNA</t>
  </si>
  <si>
    <t xml:space="preserve">PRETELL GONZALEZ JAVIER EDUARDO </t>
  </si>
  <si>
    <t>CALLE 18 ·36-68</t>
  </si>
  <si>
    <t>LAS AMERICAS</t>
  </si>
  <si>
    <t>CARRERA 13A #43-36</t>
  </si>
  <si>
    <t>SOLEDAD 2000</t>
  </si>
  <si>
    <t>JAVIER.PRETELL0102@GMAIL.COM</t>
  </si>
  <si>
    <t>BOLAÑO QUITIAN BREITNER JOSE</t>
  </si>
  <si>
    <t xml:space="preserve">BALDOVINO POLO YAMIL JOSE </t>
  </si>
  <si>
    <t xml:space="preserve">SUPERVISOR DE TRANSPORTE </t>
  </si>
  <si>
    <t>CARRERA 50 B #47-07</t>
  </si>
  <si>
    <t>COBA ARIZA DAYVER JOSE</t>
  </si>
  <si>
    <t xml:space="preserve">BARRIO ABAJO </t>
  </si>
  <si>
    <t>FAK10EON</t>
  </si>
  <si>
    <t>BJBOLANO2018@GMAIL.COM</t>
  </si>
  <si>
    <t>CRA 26 calle 10b Manza 11 casa 2</t>
  </si>
  <si>
    <t>VILLA CAROLINA</t>
  </si>
  <si>
    <t>76992476008</t>
  </si>
  <si>
    <t>yamilpolo@outlook.com</t>
  </si>
  <si>
    <t>JULIO VARGAS JOSE MANUEL</t>
  </si>
  <si>
    <t>FRANCO GUTIERREZ BRAYAN ADOLFO</t>
  </si>
  <si>
    <t>CALLE 4B#56-52</t>
  </si>
  <si>
    <t>MNT7BJRP</t>
  </si>
  <si>
    <t>daivercoba@gmail.com</t>
  </si>
  <si>
    <t>FJS3YVM9</t>
  </si>
  <si>
    <t>CARRERA 28 #16A-21</t>
  </si>
  <si>
    <t>cra 8cN54-11</t>
  </si>
  <si>
    <t>josejuluio1822@hotmail.com</t>
  </si>
  <si>
    <t>BRAYANF94.BF@GMAIL.COM</t>
  </si>
  <si>
    <t>CR 146 C N 4 19 AP 1</t>
  </si>
  <si>
    <t>TETE MELENDREZ ASIR MIGUEL</t>
  </si>
  <si>
    <t>jeancollante2525@hotmail.com</t>
  </si>
  <si>
    <t>OQUENDO NIEBLES RUBEN DARIO</t>
  </si>
  <si>
    <t>CALLE 16 #16-38</t>
  </si>
  <si>
    <t>NLLXTLU5</t>
  </si>
  <si>
    <t>LA VICTORIA</t>
  </si>
  <si>
    <t>atetemelendrez1997@gmail.com</t>
  </si>
  <si>
    <t>CALLE 14 # 9-34</t>
  </si>
  <si>
    <t>Cra10a#39=35</t>
  </si>
  <si>
    <t xml:space="preserve">FUENTES NIETO LUIS ALBERTO </t>
  </si>
  <si>
    <t>CARACOLI</t>
  </si>
  <si>
    <t>Javidenriquecolonalfaro3@gmail.com</t>
  </si>
  <si>
    <t>JESUSDARIO0307@GMAIL.COM</t>
  </si>
  <si>
    <t>3052936206</t>
  </si>
  <si>
    <t xml:space="preserve">CARRERA 26 D # 15-41 </t>
  </si>
  <si>
    <t>COLON CAPDEVILLA LUCIA FERNANDA</t>
  </si>
  <si>
    <t xml:space="preserve">CRUZ DE MAYO </t>
  </si>
  <si>
    <t>CSFTTHIL</t>
  </si>
  <si>
    <t>LUISALBERTOFUENTESNIETO@GMAIL.COM</t>
  </si>
  <si>
    <t>CARRERA 27 #60-31</t>
  </si>
  <si>
    <t xml:space="preserve">JIMENEZ VILLAVIZAR SAITH ANTONIO </t>
  </si>
  <si>
    <t>GUTIERREZ BARRETO JOSE ARISTIDES</t>
  </si>
  <si>
    <t>LÍDER DE JORNADA</t>
  </si>
  <si>
    <t>8X3KCCIE</t>
  </si>
  <si>
    <t xml:space="preserve">TRANSV 1 A 2 74-09 </t>
  </si>
  <si>
    <t>DOM BOSCO IV</t>
  </si>
  <si>
    <t>SAITHJIMENEZ@GMAIL.COM</t>
  </si>
  <si>
    <t>CALLE 131 # 9 - 125</t>
  </si>
  <si>
    <t>josegutierrez0802@hotmail.com</t>
  </si>
  <si>
    <t>TORRES CONTRERAS YAN CARLOS</t>
  </si>
  <si>
    <t>M3484J5Y</t>
  </si>
  <si>
    <t>OSPINO TURIZZO JAVIER ROQUE</t>
  </si>
  <si>
    <t>DIAGONAL 43 # 14 - 99</t>
  </si>
  <si>
    <t>torresyan0812@gmail.com</t>
  </si>
  <si>
    <t>CONTRERAS CADENAS SAUL ANDRES</t>
  </si>
  <si>
    <t>CARRERA 8C # 40-49</t>
  </si>
  <si>
    <t>DD2C8IHS</t>
  </si>
  <si>
    <t xml:space="preserve">ALBORAYA </t>
  </si>
  <si>
    <t>JAVIERROQUE@GMAIL.COM</t>
  </si>
  <si>
    <t>MARIN MOLINA JUAN CARLOS</t>
  </si>
  <si>
    <t>76TWTOVE</t>
  </si>
  <si>
    <t>CALLE 50D # 1A - 153</t>
  </si>
  <si>
    <t>CARRIZAL</t>
  </si>
  <si>
    <t>saul808c@gmail.com</t>
  </si>
  <si>
    <t>NA</t>
  </si>
  <si>
    <t xml:space="preserve">CALLE 4B 4 5 SUR 46 </t>
  </si>
  <si>
    <t>juancarlosmarinmolina@gmail.com</t>
  </si>
  <si>
    <t>3LSON5Z9</t>
  </si>
  <si>
    <t>CALLE 44 #5b -67 APTO 2</t>
  </si>
  <si>
    <t>BUENOS AIRES</t>
  </si>
  <si>
    <t>RAFAELEDUARDO@GMAIL.COM</t>
  </si>
  <si>
    <t>LUNA QUINTERO CINDY MELISSA</t>
  </si>
  <si>
    <t>AUXILIAR DE SERVICIOS GENERALES</t>
  </si>
  <si>
    <t>27L37HTP</t>
  </si>
  <si>
    <t>Calle 1 No 2 23 Aguada de Pablo Atlc.</t>
  </si>
  <si>
    <t>pascualenriquecoronadocarmona@gmail.com</t>
  </si>
  <si>
    <t>CR 6L 101 67</t>
  </si>
  <si>
    <t>cindy057@gmail.com</t>
  </si>
  <si>
    <t>CORREA ARELLANA MAURICIO ANDRES</t>
  </si>
  <si>
    <t>3UQG9MQ6</t>
  </si>
  <si>
    <t>JOSELUISTOVAR@GMAIL.COM</t>
  </si>
  <si>
    <t>CARRERA 4C # 92 - 70</t>
  </si>
  <si>
    <t xml:space="preserve">CAMARGO DE LA ROSA MARIO JAVIER </t>
  </si>
  <si>
    <t>CARRERA 30 NO. 51-49</t>
  </si>
  <si>
    <t>SAN ISIDRO</t>
  </si>
  <si>
    <t>MAJACA88@HOTMAIL.COM</t>
  </si>
  <si>
    <t xml:space="preserve">REALES ORTEGA DAVID ENRIQUE </t>
  </si>
  <si>
    <t xml:space="preserve">URIBE VESGA JANNER JAIR </t>
  </si>
  <si>
    <t xml:space="preserve">COORDINADOR DE FLOTA </t>
  </si>
  <si>
    <t>CARRERA 48 #55-17</t>
  </si>
  <si>
    <t>VILLA SEVERA</t>
  </si>
  <si>
    <t>CARRERA 14A #15-20</t>
  </si>
  <si>
    <t>JAIRURIBEVESGA@HOTMAIL.COM</t>
  </si>
  <si>
    <t>LA PLAYA</t>
  </si>
  <si>
    <t>BANCO BOGOTA</t>
  </si>
  <si>
    <t>DAVIDREALEs28@HOTMAIl.COM</t>
  </si>
  <si>
    <t>Mama</t>
  </si>
  <si>
    <t xml:space="preserve">ROA CERVANTES UBALDO </t>
  </si>
  <si>
    <t>PACHECO MUÑOZ JESUS DAVID</t>
  </si>
  <si>
    <t xml:space="preserve">CARRERA 25 B #18B-45 </t>
  </si>
  <si>
    <t xml:space="preserve">VILLA ESTADIO </t>
  </si>
  <si>
    <t>UBALDOROSCERVANTEZ@GMAIL.COM</t>
  </si>
  <si>
    <t>ST1ZIJUH</t>
  </si>
  <si>
    <t xml:space="preserve">CARRERA 10 #1-43 APTO 2 </t>
  </si>
  <si>
    <t>2 DDE MARZO</t>
  </si>
  <si>
    <t>CRA 4D#23-07</t>
  </si>
  <si>
    <t>PACHECOMUÑOZJESUDAVID290@HOTMAIL.COM</t>
  </si>
  <si>
    <t>jeancarloscortes36@gmail.com</t>
  </si>
  <si>
    <t>PATRON AYOLA KEVIN JESUS</t>
  </si>
  <si>
    <t>CUELLAR JOYAR ERIC YOVANNI</t>
  </si>
  <si>
    <t>CARRERA 12B #104-08</t>
  </si>
  <si>
    <t>ZYHN79T3</t>
  </si>
  <si>
    <t xml:space="preserve">PACHECO RODRIGUEZ JOSE LUIS </t>
  </si>
  <si>
    <t>LA PAZ</t>
  </si>
  <si>
    <t>CARRERA 9B SUR #160-203</t>
  </si>
  <si>
    <t xml:space="preserve">CABALLERO MURILLO EDUARDO </t>
  </si>
  <si>
    <t>VILLA ATLANTICO</t>
  </si>
  <si>
    <t>0G2DFPDC</t>
  </si>
  <si>
    <t>DERIANPACHECO415@GMAIL.COM</t>
  </si>
  <si>
    <t>CALLE 66·34-08</t>
  </si>
  <si>
    <t>CARRERA 19 NUMERO 80-42</t>
  </si>
  <si>
    <t>LOS ALMENDROS</t>
  </si>
  <si>
    <t>EDUARDOMURILLOCABALLERO@GMAIL.COM</t>
  </si>
  <si>
    <t xml:space="preserve">CUELLO BARRAZA STEFANNY </t>
  </si>
  <si>
    <t xml:space="preserve">DIAZ CORDERO LEYDER SEBASTIAN </t>
  </si>
  <si>
    <t>R02SS34G</t>
  </si>
  <si>
    <t>JIMENEZ VILLA ALVARO DE JESUS</t>
  </si>
  <si>
    <t>DIAGONAL (54D  TRANSVERSAL 1C-36)</t>
  </si>
  <si>
    <t>SANTO DOMINGO DE GUZMAN</t>
  </si>
  <si>
    <t>DIAZLEYDER325@GMAIL.COM</t>
  </si>
  <si>
    <t>calle 45d 1f 03</t>
  </si>
  <si>
    <t>CARRERA  3A #55 B-69</t>
  </si>
  <si>
    <t>alvarovilla654@gmail.com</t>
  </si>
  <si>
    <t xml:space="preserve">Papa </t>
  </si>
  <si>
    <t xml:space="preserve">CARRERA 29 A #143 C - 58 </t>
  </si>
  <si>
    <t>VILLA SAN PABLO</t>
  </si>
  <si>
    <t>vasquezamayajavier76@gmail.com</t>
  </si>
  <si>
    <t xml:space="preserve">POTES HERNANDEZ MILTON JAVIER </t>
  </si>
  <si>
    <t>PALACIO ARROYO LUIS FELIPE</t>
  </si>
  <si>
    <t>CALLE 4 # 37-42</t>
  </si>
  <si>
    <t>NESOLANDIA</t>
  </si>
  <si>
    <t>miltonpotes750@gmail.com.</t>
  </si>
  <si>
    <t>Familiar</t>
  </si>
  <si>
    <t>CALLE 67 #21-03</t>
  </si>
  <si>
    <t>LOS LEONES</t>
  </si>
  <si>
    <t>PALACIOARROYOLUISFELIPE4GMAIL.COM</t>
  </si>
  <si>
    <t>BARRIOS GUTIERREZ CARLOS ANTONIO</t>
  </si>
  <si>
    <t>CALLE 13C 3E-03</t>
  </si>
  <si>
    <t>LOS CARRUAJES</t>
  </si>
  <si>
    <t>carlosantoniobarrios5@gmail.com</t>
  </si>
  <si>
    <t>DE ALBA FONTALVO INGRID SARAY</t>
  </si>
  <si>
    <t>Esposa</t>
  </si>
  <si>
    <t>8TZKIIG7</t>
  </si>
  <si>
    <t xml:space="preserve">OLIVEROS CHAVEZ VICTOR MANUEL </t>
  </si>
  <si>
    <t>Kr 14B #45B - 18</t>
  </si>
  <si>
    <t>JIMENEZ PEÑALOZA KEVIS EDUARDO</t>
  </si>
  <si>
    <t>ingridde792@gmail.com</t>
  </si>
  <si>
    <t>5O7L94R0</t>
  </si>
  <si>
    <t>TRANSV 205 #52- 46</t>
  </si>
  <si>
    <t>DE ALBA RODRIGUEZ CAMILO ESTEBAN</t>
  </si>
  <si>
    <t>4JPEWCTL</t>
  </si>
  <si>
    <t>CARRERA 6 BIS # 36 - 39</t>
  </si>
  <si>
    <t>victormanuel05oliveros@gmail.com</t>
  </si>
  <si>
    <t>SARA BANDA</t>
  </si>
  <si>
    <t>kevisjimenez5@gmail.com</t>
  </si>
  <si>
    <t>3042854490</t>
  </si>
  <si>
    <t>KRA 16#5-11</t>
  </si>
  <si>
    <t>dealbacamilo7@gmail.com</t>
  </si>
  <si>
    <t>TAPIAS PAZ CARLOS AUGUSTO</t>
  </si>
  <si>
    <t xml:space="preserve">LIDER DE DISTRIBUCION </t>
  </si>
  <si>
    <t xml:space="preserve">RODRIGUEZ MORENO JESUS DANIEL </t>
  </si>
  <si>
    <t>CARRERA 4A #76F-18</t>
  </si>
  <si>
    <t>CARRERA 26B #68-23</t>
  </si>
  <si>
    <t>JDRODRIGUEZ0501@GMAIL.COM</t>
  </si>
  <si>
    <t>OLAYA</t>
  </si>
  <si>
    <t>CAY-T-O@HOTMAIL.COM</t>
  </si>
  <si>
    <t>GUTIERREZ CONTRERAS CRISTIAN DAVID</t>
  </si>
  <si>
    <t>CTB7832L</t>
  </si>
  <si>
    <t xml:space="preserve">REBOLLEDO CERA EDGAR DE JESUS </t>
  </si>
  <si>
    <t>cristiangutierrez1997.09.c@gmail.com</t>
  </si>
  <si>
    <t>4894450098804345</t>
  </si>
  <si>
    <t>BANCO CAJA SOCIAL</t>
  </si>
  <si>
    <t xml:space="preserve">Calle 72a # 2 27 </t>
  </si>
  <si>
    <t>GONZALEZ CABALLERO JOSE ALFONSO</t>
  </si>
  <si>
    <t>Rebolledoceraedgardejesus@gmail.com</t>
  </si>
  <si>
    <t>SALUS TOTAL</t>
  </si>
  <si>
    <t>SIN AFP</t>
  </si>
  <si>
    <t>I3PFEIBT</t>
  </si>
  <si>
    <t>CALLE 54E NUM 47-49</t>
  </si>
  <si>
    <t>gonzalezcaballerojosealfonso@gmail.com</t>
  </si>
  <si>
    <t>CONTRERAS CADENA SAUL ANDRES</t>
  </si>
  <si>
    <t xml:space="preserve">DESARROLADOR SOFWARE JUNIOR </t>
  </si>
  <si>
    <t>DE LA CRUZ SANTANA JOSE DANIEL</t>
  </si>
  <si>
    <t>HAXJLDQU</t>
  </si>
  <si>
    <t>RICARDO CASTRO BRAYAN ANDRES</t>
  </si>
  <si>
    <t>N5J5E683</t>
  </si>
  <si>
    <t>CALLE 50D #1A -153</t>
  </si>
  <si>
    <t>CARRERA 11·17-50</t>
  </si>
  <si>
    <r>
      <rPr>
        <u/>
        <sz val="11"/>
        <color rgb="FF1155CC"/>
        <rFont val="Calibri"/>
        <family val="2"/>
      </rPr>
      <t>SAMUELDELACRUZ0509@GMAIL.COM</t>
    </r>
  </si>
  <si>
    <t>CR 9E N 95-17</t>
  </si>
  <si>
    <t xml:space="preserve">CARDENAS CHAMORRO DANIEL SALVADOR </t>
  </si>
  <si>
    <t>MARTINEZ LARA LUIS ALBERTO</t>
  </si>
  <si>
    <t>N9POR0GF</t>
  </si>
  <si>
    <t>carrera 2b#34-26</t>
  </si>
  <si>
    <t>UNIVERSAL</t>
  </si>
  <si>
    <t>JNWCPBB2</t>
  </si>
  <si>
    <t xml:space="preserve">danielscardenas22@gmail.com </t>
  </si>
  <si>
    <t>DIAGONAL 52 D - TRANSV 1D -32 APTO 1</t>
  </si>
  <si>
    <t>oswaldluis2730@gmail.com</t>
  </si>
  <si>
    <t>DE LA HOZ  LAGUNA ADALBERTO JOSE</t>
  </si>
  <si>
    <t>CR 17 N 12 65</t>
  </si>
  <si>
    <t>kenydelahoz09@gmail.com</t>
  </si>
  <si>
    <t>DE LAHOZ CORONADO BREINER MIGUEL</t>
  </si>
  <si>
    <t>7N95UKAB</t>
  </si>
  <si>
    <t>CALLE 8B #15-85</t>
  </si>
  <si>
    <t>ATLANTICO</t>
  </si>
  <si>
    <t>USIACURI</t>
  </si>
  <si>
    <t>ADALBERTODELAHOZ5@GMAIL.COM</t>
  </si>
  <si>
    <t>CARRERA 2·14-17</t>
  </si>
  <si>
    <t>Hermana</t>
  </si>
  <si>
    <t xml:space="preserve">MOLINA ORTEGA ERNESTO ANTONIO </t>
  </si>
  <si>
    <t xml:space="preserve">ARIZA CUENTAS BALDOMERO JOSE </t>
  </si>
  <si>
    <t>R7HLWKI1</t>
  </si>
  <si>
    <t xml:space="preserve">CALLE 98 #9E-27 </t>
  </si>
  <si>
    <t>SOURDIS</t>
  </si>
  <si>
    <t>ERNESTOMOLINA@GMAIL.COM</t>
  </si>
  <si>
    <t>CARRERA 2 #43-41</t>
  </si>
  <si>
    <t>VILLA BLANCA</t>
  </si>
  <si>
    <t>CR 14 N16 54</t>
  </si>
  <si>
    <t xml:space="preserve">GUERRERO BOLAÑO HEYDER ARUD </t>
  </si>
  <si>
    <t>joserafael72047@gmail.com</t>
  </si>
  <si>
    <t xml:space="preserve">RODRIGUEZ HERRERA LEONARDO ENRIQUE </t>
  </si>
  <si>
    <t xml:space="preserve">CARRERA 13 #116 B 11 </t>
  </si>
  <si>
    <t xml:space="preserve">LOS ANGELES TRES </t>
  </si>
  <si>
    <t>HEYDERARUB@GMAIL.COM</t>
  </si>
  <si>
    <t>3003041088</t>
  </si>
  <si>
    <t>CERMEÑO BLANCO LUIS CARLOS</t>
  </si>
  <si>
    <t>Calle 60b#4-75</t>
  </si>
  <si>
    <t>CALLE 60B #4-75</t>
  </si>
  <si>
    <t>Leonardorodriguezf.0331@gmail.com</t>
  </si>
  <si>
    <t>LVSMWW9R</t>
  </si>
  <si>
    <t>CARRERA 6N # 102- 81</t>
  </si>
  <si>
    <t xml:space="preserve">VILLA SAN PEDRO </t>
  </si>
  <si>
    <t>LUISCARLOSCERMEÑO@GMAIL.COM</t>
  </si>
  <si>
    <t>URRUCHURTO ANGULO ARTURO</t>
  </si>
  <si>
    <t>CALLE 20#11-27</t>
  </si>
  <si>
    <t>stivendemoya01@gmail.com</t>
  </si>
  <si>
    <t>MENDOZA SALCEDO GUSTAVO</t>
  </si>
  <si>
    <t>GATBFMXE</t>
  </si>
  <si>
    <t>CARRERA 12B # 75 - 58</t>
  </si>
  <si>
    <t>mendoza01ahiasth1116@gmail.com</t>
  </si>
  <si>
    <t>CARRERA 1F #52B-31</t>
  </si>
  <si>
    <t>DEIBER FABIAN YANCY GUTIERREZ</t>
  </si>
  <si>
    <t>ARTUROURRUCHURTO@GMAIL.COM</t>
  </si>
  <si>
    <t>TED71XXE</t>
  </si>
  <si>
    <t>PACHECO ROMERO CARLOS JAVIER</t>
  </si>
  <si>
    <t>EMC0JC0W</t>
  </si>
  <si>
    <t>CRA 20 C # 17 - 5 2 BARRIO LAS NIEVES</t>
  </si>
  <si>
    <t>CRA 7SUR #98C-54</t>
  </si>
  <si>
    <t>yancydeiber@hotmail.com</t>
  </si>
  <si>
    <t>adolfojunior481@gmail.com</t>
  </si>
  <si>
    <t xml:space="preserve">BARBOSA MONTAÑO NOEL </t>
  </si>
  <si>
    <t>CARRERA 6 E2 #97-10</t>
  </si>
  <si>
    <t xml:space="preserve">VILLA SANPEDRO </t>
  </si>
  <si>
    <t>MOEL.BARBO@GMAIL.COM</t>
  </si>
  <si>
    <t>SIN EPS</t>
  </si>
  <si>
    <t>0N735JQ2</t>
  </si>
  <si>
    <t xml:space="preserve">Hermana </t>
  </si>
  <si>
    <t xml:space="preserve">DE BRIGARD CANTILLO JEISON ALEXANDER </t>
  </si>
  <si>
    <t>CL 13 16 A 70</t>
  </si>
  <si>
    <t>CARRERA 19 # 25</t>
  </si>
  <si>
    <t xml:space="preserve">VILLA MARCELA </t>
  </si>
  <si>
    <t>muñozmedinaluiseduardo55@gmail.com</t>
  </si>
  <si>
    <t>DEYBI RAFAEL URBIÑA PARDO</t>
  </si>
  <si>
    <t>79S04U7L</t>
  </si>
  <si>
    <t>CALLE 73 #11-34  SUR</t>
  </si>
  <si>
    <t>S4XQRCAB</t>
  </si>
  <si>
    <t>03/10/1887</t>
  </si>
  <si>
    <t>Jeisondebrigrad385@gmail.com</t>
  </si>
  <si>
    <t>CALLE 38 # 11C-08</t>
  </si>
  <si>
    <t>CALLE 71 # 9B - 109</t>
  </si>
  <si>
    <t>EL BOSQUE</t>
  </si>
  <si>
    <t>Deidj2016@gmail.com</t>
  </si>
  <si>
    <t>tonijimenezprimera@gmail.com</t>
  </si>
  <si>
    <t xml:space="preserve">SANCHEZ GARCIA TOMAS EMILIO </t>
  </si>
  <si>
    <t xml:space="preserve">MEJIA VALENCIA JERSON MIGUEL </t>
  </si>
  <si>
    <t xml:space="preserve">CARRERA 7C # 43 BBB </t>
  </si>
  <si>
    <t xml:space="preserve">CALLE 13 / 8G CADA 161 </t>
  </si>
  <si>
    <t xml:space="preserve">BARRANQUILLA </t>
  </si>
  <si>
    <t>VILLA ADELA</t>
  </si>
  <si>
    <t xml:space="preserve">CARIVE VERDE </t>
  </si>
  <si>
    <t xml:space="preserve">TOMASEMILIOSANCHEZ@GMAIL.COM </t>
  </si>
  <si>
    <t xml:space="preserve">Sandra </t>
  </si>
  <si>
    <t xml:space="preserve">TAPIAS ALVAREZ  JHONATAN DAVID </t>
  </si>
  <si>
    <t>TQ9RELDY</t>
  </si>
  <si>
    <t>CALLE 24 NUMERO 11-54</t>
  </si>
  <si>
    <t xml:space="preserve">SAN SEBASTIAN </t>
  </si>
  <si>
    <t xml:space="preserve">Alvarezjhonatan739@gmail.com </t>
  </si>
  <si>
    <t>DIAZ CANTILLO WENDY PAOLA</t>
  </si>
  <si>
    <t>PROFESIONAL HSEQ</t>
  </si>
  <si>
    <t>60CECW87</t>
  </si>
  <si>
    <t>CALLE 18 # 18 -21</t>
  </si>
  <si>
    <t>QPMH4I52</t>
  </si>
  <si>
    <t>wdiazcantillo@gmail.com</t>
  </si>
  <si>
    <t>3234375099</t>
  </si>
  <si>
    <t>Denis</t>
  </si>
  <si>
    <t>COlombiano</t>
  </si>
  <si>
    <t>CALLE 14 # IA-126</t>
  </si>
  <si>
    <t>EL CARMEN</t>
  </si>
  <si>
    <t xml:space="preserve"> everguerrerojerez0403@gmail.com</t>
  </si>
  <si>
    <t>PRORECCION</t>
  </si>
  <si>
    <t xml:space="preserve">URARIYU URARIYU ELIAS JOSE </t>
  </si>
  <si>
    <t>73-10-76</t>
  </si>
  <si>
    <t xml:space="preserve">7 DE ABRIL </t>
  </si>
  <si>
    <t>47700098351</t>
  </si>
  <si>
    <t>ELIASJOSEURARIYU@GMAIL.COM</t>
  </si>
  <si>
    <t>GOW73A7N</t>
  </si>
  <si>
    <t>INVOLUNTARIO</t>
  </si>
  <si>
    <t xml:space="preserve">hermana </t>
  </si>
  <si>
    <t>BARRIOS GARZON ALFREDO ENRIQUE</t>
  </si>
  <si>
    <t>KRA 4F1#56C 71</t>
  </si>
  <si>
    <t xml:space="preserve">GONZALEZ RODRIGUEZ ANGEL LUIS </t>
  </si>
  <si>
    <t>1D36RM1U</t>
  </si>
  <si>
    <t>eneldodiaz28@gmail.com</t>
  </si>
  <si>
    <t xml:space="preserve">TRNSVERSAL 1 DIAGONAL 44E 45 </t>
  </si>
  <si>
    <t xml:space="preserve"> carreloco4124@gmail.com</t>
  </si>
  <si>
    <t>3017893808</t>
  </si>
  <si>
    <t>CALLE 21 # 26 - 179</t>
  </si>
  <si>
    <t>21/05/2026</t>
  </si>
  <si>
    <t xml:space="preserve">Edith Barrios </t>
  </si>
  <si>
    <t>W4Q774A8</t>
  </si>
  <si>
    <t>DIAGONAL 76G # 5C - 28</t>
  </si>
  <si>
    <t>salasedwin237@gmail.com</t>
  </si>
  <si>
    <t>GARRIDO MENDEZ JOSE CARLOS</t>
  </si>
  <si>
    <t xml:space="preserve">F1U8TS7G
</t>
  </si>
  <si>
    <t>8U6WFV4W</t>
  </si>
  <si>
    <t>Miladis</t>
  </si>
  <si>
    <t>garridomendez@gmail.com</t>
  </si>
  <si>
    <t>3217154288</t>
  </si>
  <si>
    <t xml:space="preserve">HERNANDEZ LOZANO HERNAN HERNANDO </t>
  </si>
  <si>
    <t>CR 38 N 12 52</t>
  </si>
  <si>
    <t>ydiaz100599@gmail.com</t>
  </si>
  <si>
    <t>H1KNUOC5</t>
  </si>
  <si>
    <t>CARRERA 27 #24-S6</t>
  </si>
  <si>
    <t>CONCONDE</t>
  </si>
  <si>
    <t>DIAZ PEREZ FRANCISCO JAVIER</t>
  </si>
  <si>
    <t>HERNANHERNANDEZ99@GMAIL.COM</t>
  </si>
  <si>
    <t>2FIDBTHC</t>
  </si>
  <si>
    <t>CARRERA 16 B # 51 - 14</t>
  </si>
  <si>
    <t>NO VIVE CON NADIE</t>
  </si>
  <si>
    <t>RAFA PELAEZ LUIS ANGEL</t>
  </si>
  <si>
    <t>I1S4V5WL</t>
  </si>
  <si>
    <t>BANCO DE BOGOTA</t>
  </si>
  <si>
    <t>Kra15F#52-22</t>
  </si>
  <si>
    <t>jcaro3973@gmail.com</t>
  </si>
  <si>
    <t>SALUZ TOTAL</t>
  </si>
  <si>
    <t>CARRERA 5I 16A 67</t>
  </si>
  <si>
    <t>65600019311</t>
  </si>
  <si>
    <t>1 DE MAYO</t>
  </si>
  <si>
    <t>LUISANGEL98@GMAIL.COM</t>
  </si>
  <si>
    <t>OXU18129</t>
  </si>
  <si>
    <t>Luis Lberto papa</t>
  </si>
  <si>
    <t xml:space="preserve">DE LOS REYES RUIZ LEONEL RICARDO </t>
  </si>
  <si>
    <t>CR 47 N 790</t>
  </si>
  <si>
    <t>CALLE 7 56-60</t>
  </si>
  <si>
    <t>LEONELRICARDO1456@GMAIL.COM</t>
  </si>
  <si>
    <t>DOMINGUEZ MARTINEZ LEIDYS</t>
  </si>
  <si>
    <t>AUXILIAR P&amp;H</t>
  </si>
  <si>
    <t>V8PFJEPR</t>
  </si>
  <si>
    <t>Zenitt Ruiz</t>
  </si>
  <si>
    <t xml:space="preserve">MERCADO HERNANDEZ PEDRO LUIS </t>
  </si>
  <si>
    <t xml:space="preserve">CRA 6 # 134- 80 VILLAS DE LA CORDIALIDAD </t>
  </si>
  <si>
    <t>martinezleydys29@gmail.com</t>
  </si>
  <si>
    <t>CARRERA 17B #19-53</t>
  </si>
  <si>
    <t xml:space="preserve">SAN ANTONIO </t>
  </si>
  <si>
    <t>SIN JUSTA CAUSA</t>
  </si>
  <si>
    <t>PEDROMERCADO@GMAIL.COM</t>
  </si>
  <si>
    <t xml:space="preserve">Sista- hermana </t>
  </si>
  <si>
    <t>DURAN ALVAREZ JORGE ELIECER</t>
  </si>
  <si>
    <t>SUPERVISOR DE FLOTA</t>
  </si>
  <si>
    <t>XP15KE39</t>
  </si>
  <si>
    <t xml:space="preserve">RODRIGUEZ FONSECA JOHNATAN SANTIAGO </t>
  </si>
  <si>
    <t xml:space="preserve">CALLE 8 A #2 SUR 18 </t>
  </si>
  <si>
    <t>JHONATANRODRIGUEZFONSECA37@GMAIL.COM</t>
  </si>
  <si>
    <t xml:space="preserve">CONFONDOS </t>
  </si>
  <si>
    <t>3022092958</t>
  </si>
  <si>
    <t>3243478329</t>
  </si>
  <si>
    <t xml:space="preserve">SALGUEDO ORLANDO MIGUEL </t>
  </si>
  <si>
    <t>CALLE 27C#33-70</t>
  </si>
  <si>
    <t>jorgeduranalvarez88@gmail.com</t>
  </si>
  <si>
    <t xml:space="preserve">CARRERA 62 CALLE 32-45D </t>
  </si>
  <si>
    <t xml:space="preserve">LUGO CARO LUIS VICTOR </t>
  </si>
  <si>
    <t>orlandoruasalguedo6@gmail.com</t>
  </si>
  <si>
    <t>FONVQ9K7</t>
  </si>
  <si>
    <t xml:space="preserve">LOPEZ SALCEDO DIANA CAROLINA </t>
  </si>
  <si>
    <t>SZUI5JAS</t>
  </si>
  <si>
    <t>CARRERA 23C #74-51</t>
  </si>
  <si>
    <t>CARLOS MEICEL</t>
  </si>
  <si>
    <t>LUISVICTORLUGOCARO@GMAIL.COM</t>
  </si>
  <si>
    <t>TRANSVERSAL 1B SUR NUMERO 66-192</t>
  </si>
  <si>
    <t xml:space="preserve">CIUDAD SALITRE </t>
  </si>
  <si>
    <t>CL 34 B N 25</t>
  </si>
  <si>
    <t>DIANACAROLINA2797@outlook.ES</t>
  </si>
  <si>
    <t>488452953711</t>
  </si>
  <si>
    <t>2/06/2026</t>
  </si>
  <si>
    <t>BLANCO PEREZ MICHAEL SAID</t>
  </si>
  <si>
    <t xml:space="preserve">APRENDIZ SENA </t>
  </si>
  <si>
    <t xml:space="preserve">GOMEZ RIOS NICOLAS </t>
  </si>
  <si>
    <t>calle 74 #12-25</t>
  </si>
  <si>
    <t>MAIKOLSAIDBLANCOPEREZ@GMAIL.COM</t>
  </si>
  <si>
    <t>CARRERA 1H #48-110</t>
  </si>
  <si>
    <t>NICOLAS9113@GMAIL.COM</t>
  </si>
  <si>
    <t>Primo</t>
  </si>
  <si>
    <t xml:space="preserve">FONTALVO MORALES HARWI ALFARO </t>
  </si>
  <si>
    <t>BALLESTEROS POLO EDILVER</t>
  </si>
  <si>
    <t>5UBOMDYO</t>
  </si>
  <si>
    <t xml:space="preserve">CALLE 17B 43 </t>
  </si>
  <si>
    <t>edilverballesteros4@gmail.com</t>
  </si>
  <si>
    <t>CARRERA 2 # 50 B 12</t>
  </si>
  <si>
    <t>hawialfarofontalvo@hotmail.com</t>
  </si>
  <si>
    <t xml:space="preserve"> MUTUAL SER</t>
  </si>
  <si>
    <t xml:space="preserve">COLPENSIONES </t>
  </si>
  <si>
    <t xml:space="preserve">PACHECO JIMENEZ JORGE ROMARIO </t>
  </si>
  <si>
    <t xml:space="preserve">CARRERA 15 · 3_39 </t>
  </si>
  <si>
    <t xml:space="preserve">MANGA PITAR </t>
  </si>
  <si>
    <t xml:space="preserve">albeiron1996@gmail.com 
</t>
  </si>
  <si>
    <t>EMMANUEL DE JESUS PAEZ HERRERA</t>
  </si>
  <si>
    <t>CARRERA 1E 89-62</t>
  </si>
  <si>
    <t>5TJ4IRX0</t>
  </si>
  <si>
    <t>SANTA MARIA</t>
  </si>
  <si>
    <t xml:space="preserve">MEUCCI BUELVAS JOSEPH DAVID </t>
  </si>
  <si>
    <t xml:space="preserve">ANALISTA DE FLOTA </t>
  </si>
  <si>
    <t>Brendis</t>
  </si>
  <si>
    <t>CRA 44 No. 22 - 07</t>
  </si>
  <si>
    <t>CARRERA 73 #88-27 APTO 401</t>
  </si>
  <si>
    <t>jesusmaximoherrera@gmail.com </t>
  </si>
  <si>
    <t>JDMCCB21@GMAIL.COM</t>
  </si>
  <si>
    <t>PATIÑO RUIZ JEANPOLL</t>
  </si>
  <si>
    <t>EZYPR64E</t>
  </si>
  <si>
    <t>CALLE 76 65-16</t>
  </si>
  <si>
    <t>LA CONCEPCION</t>
  </si>
  <si>
    <t>JEANPOLLPATIÑO@GMAIL.COM</t>
  </si>
  <si>
    <t>CALLE 17 27A 10</t>
  </si>
  <si>
    <t xml:space="preserve">CABARCAS GUERRERO RANDYS ENRIQUE </t>
  </si>
  <si>
    <t>COLPAS RODRIGUEZ ALFONSO CRISTIAN</t>
  </si>
  <si>
    <t>COODINADOR DE FLOTA</t>
  </si>
  <si>
    <t>johanaortizmendez1@gmail.com</t>
  </si>
  <si>
    <t>CARRERA 2C · 49B 55</t>
  </si>
  <si>
    <t>CALLE 61G #3C - 58</t>
  </si>
  <si>
    <t>VILLA CARMEN</t>
  </si>
  <si>
    <t xml:space="preserve">LIBERTI </t>
  </si>
  <si>
    <t>cristian.colpas2018@gmail.com</t>
  </si>
  <si>
    <t>hermanO</t>
  </si>
  <si>
    <t xml:space="preserve">SARMIENTO FONTALVO CALIXTO CESAR </t>
  </si>
  <si>
    <t>CAPAI PALLARES KEILA LINNETH</t>
  </si>
  <si>
    <t>CALLE 13 #16-31</t>
  </si>
  <si>
    <t xml:space="preserve">Calixtocesar18@gmail.com </t>
  </si>
  <si>
    <t>CALLE 74B #3C-62</t>
  </si>
  <si>
    <t>jkcaipa07@gmail.com</t>
  </si>
  <si>
    <t xml:space="preserve">MARTINEZ BUZON MIGUEL DARIO </t>
  </si>
  <si>
    <t>Cr 37A 5A 31</t>
  </si>
  <si>
    <t>K 10D A12-19</t>
  </si>
  <si>
    <t xml:space="preserve">MUÑOZ CARABALLO ARIANA </t>
  </si>
  <si>
    <t>MESOLANDIA</t>
  </si>
  <si>
    <t>miguelmartinez8827@gmail.com</t>
  </si>
  <si>
    <t>jaiderpico1018@gmail.com</t>
  </si>
  <si>
    <t>CALLE 68 B #13-16</t>
  </si>
  <si>
    <t>EL MANANTIAL</t>
  </si>
  <si>
    <t>ARIANAAMC@HOTMAIL.COM</t>
  </si>
  <si>
    <t>Esposo</t>
  </si>
  <si>
    <t>JIMENEZ TABORDA RONALD JOSE</t>
  </si>
  <si>
    <t xml:space="preserve">SANCHEZ PRETEL LUIS ALBERTO </t>
  </si>
  <si>
    <t>CALLE 12 #24-27</t>
  </si>
  <si>
    <t xml:space="preserve">SAN FRANCISCO </t>
  </si>
  <si>
    <t>RONALDJOSE@GMAIL.COM</t>
  </si>
  <si>
    <t>PROTEGER SA</t>
  </si>
  <si>
    <t>CARRERA 7E 98D-59</t>
  </si>
  <si>
    <t>luisalbertosanchezpretel119@gmail.com</t>
  </si>
  <si>
    <t xml:space="preserve">Amigo </t>
  </si>
  <si>
    <t>FERNANDEZ BORJA STEVIN ENRIQUE</t>
  </si>
  <si>
    <t>ROJAS GIOVANETTY DAVID HUMBERTO</t>
  </si>
  <si>
    <t>ESCOBAR MANJARRES GERARDO ENRIQUE</t>
  </si>
  <si>
    <t>7T1RC11C</t>
  </si>
  <si>
    <t>CARRERA 2C #50-87</t>
  </si>
  <si>
    <t>FERNANDEZSTIVEN290@GMAI.COM</t>
  </si>
  <si>
    <t>CALLE 24A #18-04</t>
  </si>
  <si>
    <t>CARNERO</t>
  </si>
  <si>
    <t>DAVIDROJAS@GMAIL.COM</t>
  </si>
  <si>
    <t>CL 15 A 28 A 97</t>
  </si>
  <si>
    <t>gescob0305@gmail.com</t>
  </si>
  <si>
    <t>POSADA MARTINEZ NILSON AUGUSTO</t>
  </si>
  <si>
    <t xml:space="preserve">POLO DE LA ROSA DEIVIS ARMANDO </t>
  </si>
  <si>
    <t>CALLE 3B #36B-46</t>
  </si>
  <si>
    <t>D5I5RBG7</t>
  </si>
  <si>
    <t>NILSONAUGUSTOP@GMAIL.COM</t>
  </si>
  <si>
    <t>CALLE 18 #20C-80</t>
  </si>
  <si>
    <t>LAS NIEVES</t>
  </si>
  <si>
    <t>DEIVISPOLO603@GMAIL.COM</t>
  </si>
  <si>
    <t>CL 33C 15 04</t>
  </si>
  <si>
    <t>Escorciafernandezfernando@gmail.com</t>
  </si>
  <si>
    <t>286410733</t>
  </si>
  <si>
    <t xml:space="preserve">RAMOS LAMBRAÑO YESID </t>
  </si>
  <si>
    <t>DIAGONAL 46A #33-03</t>
  </si>
  <si>
    <t xml:space="preserve">RIO AGUAS VIVAS </t>
  </si>
  <si>
    <t>YESIDRAMOS95086@GMAIL.COM</t>
  </si>
  <si>
    <t>CALLE 19 52</t>
  </si>
  <si>
    <t>SAN JOSE</t>
  </si>
  <si>
    <t xml:space="preserve">DAVIVIENDA </t>
  </si>
  <si>
    <t>SOLANO MORENO ELIO</t>
  </si>
  <si>
    <t xml:space="preserve">FIGUEROA TORRES BLADIMIR JUNIOR </t>
  </si>
  <si>
    <t>diagonal 78d # 7-18</t>
  </si>
  <si>
    <t>ELIOSOLANO@GMAIL.COM</t>
  </si>
  <si>
    <t>315 4713492</t>
  </si>
  <si>
    <t>Hijo</t>
  </si>
  <si>
    <t>CARRERA 21 , CALLE 50-26</t>
  </si>
  <si>
    <t xml:space="preserve">EL CARMEN </t>
  </si>
  <si>
    <t>BLADIMIRJUNIOR2006@HOTMAIL.COM</t>
  </si>
  <si>
    <t>LEON NIÑO OLGA MARCELA</t>
  </si>
  <si>
    <t>KR. 26#3A-272 Torre 5 Apto 1404</t>
  </si>
  <si>
    <t>VILLA CAMPESTRE</t>
  </si>
  <si>
    <t>leonmarcela116@gmail.com</t>
  </si>
  <si>
    <t xml:space="preserve">CORTES ARGOTE JESUS ANTONIO </t>
  </si>
  <si>
    <t xml:space="preserve">MORALES RIVERA OSWALDO </t>
  </si>
  <si>
    <t>CARRERA 15 VILLA 12 APTO 1</t>
  </si>
  <si>
    <t>jesus.arg.cortes.@gmail.com</t>
  </si>
  <si>
    <t xml:space="preserve">PROTEGER </t>
  </si>
  <si>
    <t>24WYIAU1</t>
  </si>
  <si>
    <t>calle 4 # 55 - 29</t>
  </si>
  <si>
    <t>Ormorales1127@gmail.com</t>
  </si>
  <si>
    <t>GARCIA BLANCO ARTURO JUNIOR</t>
  </si>
  <si>
    <t>CL 46C 06 110</t>
  </si>
  <si>
    <t>ademirlobo0120@gmail.com</t>
  </si>
  <si>
    <t xml:space="preserve">FERNANDEZ FLOREZ FRANKLIN ENRIQUE </t>
  </si>
  <si>
    <t>CARRERA 19 #15 A-50</t>
  </si>
  <si>
    <t>TURO-GARCIA@HOTMAIL.COM</t>
  </si>
  <si>
    <t xml:space="preserve">Viudo </t>
  </si>
  <si>
    <t>Carrera 10 26-89</t>
  </si>
  <si>
    <t xml:space="preserve">LAS NIEVES </t>
  </si>
  <si>
    <t xml:space="preserve">franklinferflo@gmail.com </t>
  </si>
  <si>
    <t xml:space="preserve">CANTILLO LLANOS FELIX CLEMENTE </t>
  </si>
  <si>
    <t>CALLE 10 #12-130</t>
  </si>
  <si>
    <r>
      <rPr>
        <u/>
        <sz val="11"/>
        <color rgb="FF1155CC"/>
        <rFont val="Calibri"/>
        <family val="2"/>
      </rPr>
      <t>escorciafavio@gmail.com</t>
    </r>
  </si>
  <si>
    <t xml:space="preserve">SAN LUIS </t>
  </si>
  <si>
    <t>FELIXCLEMENTE@GMAIL.COM</t>
  </si>
  <si>
    <t>PALACIOS OJEDA LUIS JOSE</t>
  </si>
  <si>
    <t>CALLE 11 #13-61</t>
  </si>
  <si>
    <t xml:space="preserve">RIOS AMAYA ESNEIDER </t>
  </si>
  <si>
    <t>ARRIBA</t>
  </si>
  <si>
    <t>MAREN05@HOTMAIL.ES</t>
  </si>
  <si>
    <t>NH474CTG</t>
  </si>
  <si>
    <t>calle 73sur#10_62</t>
  </si>
  <si>
    <t xml:space="preserve">BERDUGO ARIZA JUAN CARLOS </t>
  </si>
  <si>
    <t>esneiderios11@gmail.com</t>
  </si>
  <si>
    <t xml:space="preserve">BARRIOS RUIZ CRISTHIAN AGUSTIN </t>
  </si>
  <si>
    <t>CALLE 45F NUMERO 18-86</t>
  </si>
  <si>
    <t>juma002505@gmail.com</t>
  </si>
  <si>
    <t>CL 73 6E 54</t>
  </si>
  <si>
    <t>Cll 73 #10-62</t>
  </si>
  <si>
    <t>jhonathanespana1992@gmail.com</t>
  </si>
  <si>
    <t xml:space="preserve">neybarriosmarbello@gmail.com </t>
  </si>
  <si>
    <t>SERNA OROZCO ELIOT ANTONIO</t>
  </si>
  <si>
    <t>ESPAÑA MONTERO SAMUEL DAVID</t>
  </si>
  <si>
    <t xml:space="preserve">GUTIERREZ BADEL HEYSEL DE JESUS </t>
  </si>
  <si>
    <t>V35A32F2</t>
  </si>
  <si>
    <t>BPL01VEV</t>
  </si>
  <si>
    <t>CALLE 64C # 9L- 144</t>
  </si>
  <si>
    <t xml:space="preserve">Carrera 6l #100_39 </t>
  </si>
  <si>
    <t>CRA 9 #124- 1484</t>
  </si>
  <si>
    <t>BOSQUE</t>
  </si>
  <si>
    <t>301 5482941</t>
  </si>
  <si>
    <t>GUTIERREZBADELH@GMAIL.COM</t>
  </si>
  <si>
    <t xml:space="preserve">CARIBE VERDE </t>
  </si>
  <si>
    <t>espanasamuel0207@gmail.com</t>
  </si>
  <si>
    <t>Helioserna04@gmail.com</t>
  </si>
  <si>
    <t>30/06(2026</t>
  </si>
  <si>
    <t>OSORIO ANAYA YURIS CRISTINA</t>
  </si>
  <si>
    <t>ESTRADA BELLO ERICK ALBERTO</t>
  </si>
  <si>
    <t>CD5RCSXJ</t>
  </si>
  <si>
    <t>PEREZ MONZON MARIBEL</t>
  </si>
  <si>
    <t>AO15AB9L</t>
  </si>
  <si>
    <t>CARRERA 24- 48</t>
  </si>
  <si>
    <t>NORMANDIA</t>
  </si>
  <si>
    <t>CRISTINANAYA27@GMAIL.COM</t>
  </si>
  <si>
    <t>CARRERA 1D # 4A2 - 03</t>
  </si>
  <si>
    <t>CRA 12#14A-05</t>
  </si>
  <si>
    <t>OSORIO SANTOS GARY JAVIER</t>
  </si>
  <si>
    <t>eb6473829@gmail.com</t>
  </si>
  <si>
    <t xml:space="preserve">Calle 72 #10sur84 </t>
  </si>
  <si>
    <t xml:space="preserve">gariosoriosantos@gmail.com </t>
  </si>
  <si>
    <t xml:space="preserve">ROJANO RAMIREZ OSCAR FABIAN </t>
  </si>
  <si>
    <t xml:space="preserve">ALARCON CAMARGO JEISON JAVIER </t>
  </si>
  <si>
    <t>cll 74 número 25 sur. 35</t>
  </si>
  <si>
    <t>oscarrojano19@gmail.com</t>
  </si>
  <si>
    <t>FABREGA VILLAFAÑE ARNOLD FELIPE</t>
  </si>
  <si>
    <t>0WO30TYX</t>
  </si>
  <si>
    <t xml:space="preserve">CARRERA 17 E # 50A -21 </t>
  </si>
  <si>
    <t xml:space="preserve">FUNDADORES </t>
  </si>
  <si>
    <t>JEISONALARCON2001@GMAIL.COM</t>
  </si>
  <si>
    <t xml:space="preserve">LOPEZ BERRIO ROGELIO ARTURO </t>
  </si>
  <si>
    <t>3052593660</t>
  </si>
  <si>
    <t xml:space="preserve">CANO DIAZ YESID </t>
  </si>
  <si>
    <t>DIAGONAL 53 TR · 1C-17</t>
  </si>
  <si>
    <t>SANTODOMINGO</t>
  </si>
  <si>
    <t xml:space="preserve">Correolopezberrio22@gmail.com </t>
  </si>
  <si>
    <t>CRA 22 33-81</t>
  </si>
  <si>
    <t>fabregavillafanearnoldfelipe@gmail.com</t>
  </si>
  <si>
    <t>Cuñada</t>
  </si>
  <si>
    <t xml:space="preserve">CALLE # 14-03 </t>
  </si>
  <si>
    <t>CARRUAJES</t>
  </si>
  <si>
    <t>FANDIÑO THOMAS JUNIOR JAIR</t>
  </si>
  <si>
    <t>FOK9FRKO</t>
  </si>
  <si>
    <t>CORDERO AYALA KENIGGER</t>
  </si>
  <si>
    <t>CARRERA 31#117-46</t>
  </si>
  <si>
    <t>LA PROVENZA</t>
  </si>
  <si>
    <t>SPAYNAL@HOTMAIL.COM</t>
  </si>
  <si>
    <t>CARRERA 3G NUM 17H-37</t>
  </si>
  <si>
    <t xml:space="preserve">MARTINEZ SANTIAGO RICARDO JOSE </t>
  </si>
  <si>
    <t xml:space="preserve">Arturo ayala </t>
  </si>
  <si>
    <t>jr1924@gmail.com</t>
  </si>
  <si>
    <t>SEPULVEDA SALGADO ISAAC ANTONIO</t>
  </si>
  <si>
    <t>CALLE 6 # 14-19</t>
  </si>
  <si>
    <t>VDKVL7SM</t>
  </si>
  <si>
    <t>RICARDOMARTINEZ@GMAIL.COM</t>
  </si>
  <si>
    <t>Diagonal52D #1e 68</t>
  </si>
  <si>
    <t>sepulvedaisaacantonio@gmail.com</t>
  </si>
  <si>
    <t>Jennifer berrio</t>
  </si>
  <si>
    <t>LONDOÑO FLOREZ ANDRES JULIAN</t>
  </si>
  <si>
    <t>MANZANA D CASA 7</t>
  </si>
  <si>
    <t>ANGEL GUETTE FRAY LUIS</t>
  </si>
  <si>
    <t>wilintongfernandezsarmiento@gmail.com</t>
  </si>
  <si>
    <t>CALLE 56B # 13- 39</t>
  </si>
  <si>
    <t xml:space="preserve">LA CEIBA </t>
  </si>
  <si>
    <t>ANDRESJULIANLONDOÑO@GMAIL.COM</t>
  </si>
  <si>
    <t>Cra 2 a2 # 38b-61</t>
  </si>
  <si>
    <t>GALAN</t>
  </si>
  <si>
    <t>Angelguettefrayluis9@gmail.com</t>
  </si>
  <si>
    <t>301 344 4001</t>
  </si>
  <si>
    <t xml:space="preserve">Juliette de avila </t>
  </si>
  <si>
    <t xml:space="preserve">DOMINGUEZ MARTINEZ LEYDYS </t>
  </si>
  <si>
    <t>carrera 6 #134-80</t>
  </si>
  <si>
    <t>VILLA COORDIALIDAD</t>
  </si>
  <si>
    <t>MARTINEZLEYDYS29@GMAIL.COM</t>
  </si>
  <si>
    <t>CALLE 2D #60-27</t>
  </si>
  <si>
    <t>WILMERCHAVEZ2409@GMAIL.COM</t>
  </si>
  <si>
    <t>3246356659</t>
  </si>
  <si>
    <t>2MERWSOD</t>
  </si>
  <si>
    <t xml:space="preserve">MERCADO HERNANDEZ MARIA FERNANDA </t>
  </si>
  <si>
    <t xml:space="preserve">ASISTENTE ADMINISTRATIVA </t>
  </si>
  <si>
    <t>CALLE 5#10-39</t>
  </si>
  <si>
    <t>Calle 9a #27-77</t>
  </si>
  <si>
    <t>RICO CHAVEZ DONALDO ALFONSO</t>
  </si>
  <si>
    <t xml:space="preserve">CANDELARIA 2 </t>
  </si>
  <si>
    <t>figueroafrancisco742@gmail.com</t>
  </si>
  <si>
    <t>mercadomf@uninorte.edu.co</t>
  </si>
  <si>
    <t>Roomie</t>
  </si>
  <si>
    <t>FIGUEROA VILLA ANDRES FELIPE</t>
  </si>
  <si>
    <t>NYFH1UOY</t>
  </si>
  <si>
    <t>Calle 35 # 2b_102</t>
  </si>
  <si>
    <t>fayede19@gmail.com</t>
  </si>
  <si>
    <t>CR 39B N 6-18</t>
  </si>
  <si>
    <t>82496165_5</t>
  </si>
  <si>
    <t>AV VILLA</t>
  </si>
  <si>
    <t>SALAS OROZCO JESUS DAVID</t>
  </si>
  <si>
    <t>RJRR3BH2</t>
  </si>
  <si>
    <t>0LP2F6E4</t>
  </si>
  <si>
    <t>salasojesusd5@gmail.com</t>
  </si>
  <si>
    <t>48122897608</t>
  </si>
  <si>
    <t>RIVERA CARPINTERO RAMON ANTONIO</t>
  </si>
  <si>
    <t>CL 24 N 23 B 36</t>
  </si>
  <si>
    <t xml:space="preserve">AUXILIAR DE LIQUIDACION </t>
  </si>
  <si>
    <t>floresjuankamilo051@gmail.com</t>
  </si>
  <si>
    <t>PENDIENTE</t>
  </si>
  <si>
    <t xml:space="preserve">RUIS SEÑOR </t>
  </si>
  <si>
    <t>Rrivera.76@outlllook.com</t>
  </si>
  <si>
    <t xml:space="preserve">GUTIERREZ MARTINEZ RAFAEL ALEJANDRO </t>
  </si>
  <si>
    <t>GZ9F4EKV</t>
  </si>
  <si>
    <t>CALLE 12.6 67 #74</t>
  </si>
  <si>
    <t>CR 12A SUR 47 C 21</t>
  </si>
  <si>
    <t>manuelfontalvo28@gmail.com</t>
  </si>
  <si>
    <t>ALEJANDROGUTI987@GMAIL.COM</t>
  </si>
  <si>
    <t>7Y0MQ8L4</t>
  </si>
  <si>
    <t>CR 13 N 108 16</t>
  </si>
  <si>
    <t>antonio85fontalvo@gmail.com</t>
  </si>
  <si>
    <t>53356586189</t>
  </si>
  <si>
    <t>MIRANDA ROSALES DONNY KEY</t>
  </si>
  <si>
    <t xml:space="preserve">CARRERA 6C #99C -75 </t>
  </si>
  <si>
    <t>DONKEYLINKMC@GMAIL.COM</t>
  </si>
  <si>
    <t>9PIKX7AH</t>
  </si>
  <si>
    <t>3016224234</t>
  </si>
  <si>
    <t>CR 8A 6 49</t>
  </si>
  <si>
    <t>lewis18fontalvo@gmail.com</t>
  </si>
  <si>
    <t>GUTIERREZ SALTARIN LUIS ALBERTO</t>
  </si>
  <si>
    <t>PFKWYOGR</t>
  </si>
  <si>
    <t>77336535665</t>
  </si>
  <si>
    <t>ACEVEDO ARRIETA RAFAEL ENRIQUE</t>
  </si>
  <si>
    <t>CARRERA 24A #76-126</t>
  </si>
  <si>
    <t xml:space="preserve">LA LIBERTAD </t>
  </si>
  <si>
    <t>RAFAIJUNIOR82@HOTMAIL.COM</t>
  </si>
  <si>
    <t xml:space="preserve">CONRADO SUAREZ JAIRO JOSE </t>
  </si>
  <si>
    <t>PBM63OMJ</t>
  </si>
  <si>
    <t xml:space="preserve">Carrera 15 # 14 44 </t>
  </si>
  <si>
    <t xml:space="preserve">LA POPA </t>
  </si>
  <si>
    <t>jairoconrado2020@gmail.com</t>
  </si>
  <si>
    <t>3VTUN05I</t>
  </si>
  <si>
    <t>Cra6B num 57B45</t>
  </si>
  <si>
    <t>melvindavidfontalvoviloria@gmail.com</t>
  </si>
  <si>
    <t>CL 9 N 11 97</t>
  </si>
  <si>
    <t>kokypala@hotmail.com</t>
  </si>
  <si>
    <t>8600003715</t>
  </si>
  <si>
    <t>O95XOT7E</t>
  </si>
  <si>
    <t>LEON VILCHEZ ROINETH ALEJANDRO</t>
  </si>
  <si>
    <t>UU3LNYK9</t>
  </si>
  <si>
    <t>CRA 15A#5-170</t>
  </si>
  <si>
    <t>fabiofidelfrancozambrano@gmail.com</t>
  </si>
  <si>
    <t>CARRERA 8 SUR # 89 - 17</t>
  </si>
  <si>
    <t>FRUTOS CHARRIS CAROLINA</t>
  </si>
  <si>
    <t>TY4FSETU</t>
  </si>
  <si>
    <t>roinethleon2021@gmail.com</t>
  </si>
  <si>
    <t>293577003</t>
  </si>
  <si>
    <t>FALSO</t>
  </si>
  <si>
    <t>CALLE 37D8-23</t>
  </si>
  <si>
    <t>carofrucharris12@outlook.es</t>
  </si>
  <si>
    <t>0ZR3Z4QT</t>
  </si>
  <si>
    <t>48683662642</t>
  </si>
  <si>
    <t>CALLE 33A#18-62</t>
  </si>
  <si>
    <t>CARTAGENA</t>
  </si>
  <si>
    <t>ricardo.rf285@gmail.com</t>
  </si>
  <si>
    <t>69Q98WZX</t>
  </si>
  <si>
    <t>CR 17 N 25 24</t>
  </si>
  <si>
    <t>williamernestogalindorocha@gmail.com</t>
  </si>
  <si>
    <t>IC7BI2P2</t>
  </si>
  <si>
    <t>CR 78 D 88 30</t>
  </si>
  <si>
    <t xml:space="preserve">GARAVIZ DIAZ HUBER ANTONIO </t>
  </si>
  <si>
    <t>BHL25F6K</t>
  </si>
  <si>
    <t>CARRERA 73 C No. 15 D - 65</t>
  </si>
  <si>
    <t>huberantoniogaraviz05@gmail.com</t>
  </si>
  <si>
    <t>L3LY2SG3</t>
  </si>
  <si>
    <t>CRA 29#15-105</t>
  </si>
  <si>
    <t>garciaorozcoedierenrique@gmail.com</t>
  </si>
  <si>
    <t>GARIZABALO MARTINEZ SERGIO LUIS</t>
  </si>
  <si>
    <t>LNLSSFJB</t>
  </si>
  <si>
    <t xml:space="preserve">CALLE 26 # 26-25  HIPODROMO </t>
  </si>
  <si>
    <t>sergiogarizabalo26@gmail.com</t>
  </si>
  <si>
    <t>GARIZABALO PEREZ LUIS DAVID</t>
  </si>
  <si>
    <t>0ALKB9YU</t>
  </si>
  <si>
    <t>TRANVERSAL 2B11 #54B 56</t>
  </si>
  <si>
    <t>garizabaloperezluisdavid@gmail.com</t>
  </si>
  <si>
    <t>4R78TYBC</t>
  </si>
  <si>
    <t>GOMEZ ESTEVEZ AURA VANESSA</t>
  </si>
  <si>
    <t>KXV1EO6C</t>
  </si>
  <si>
    <t>CRA 15#66-03</t>
  </si>
  <si>
    <t>auragomezestevez135@gmail.com</t>
  </si>
  <si>
    <t>KSI0AF3J</t>
  </si>
  <si>
    <t>CR 22 75 11</t>
  </si>
  <si>
    <t>leito34gomez@hotmail.com</t>
  </si>
  <si>
    <t>GFWGTSNI</t>
  </si>
  <si>
    <t>TRANSVERSAL 6#54A-150 APTO 1</t>
  </si>
  <si>
    <t>salingomezmorales@gmail.com</t>
  </si>
  <si>
    <t>GOMEZ MORALES SALIM ARQUIMIDES</t>
  </si>
  <si>
    <t>CRA 6 # 54 A - 150 LA SIERRITA</t>
  </si>
  <si>
    <t>salimgomezmorales@gmail.com</t>
  </si>
  <si>
    <t>GOMEZ ROMERO GUSTAVO ANDREZ</t>
  </si>
  <si>
    <t>3TQZB561</t>
  </si>
  <si>
    <t>CALLE 6 L N 96-79</t>
  </si>
  <si>
    <t>paolaalcala1305@gmail.com</t>
  </si>
  <si>
    <t>CLAR6DUA</t>
  </si>
  <si>
    <t>324 4933551</t>
  </si>
  <si>
    <t>GONZALEZ CUELLO LUIS ALBERTO</t>
  </si>
  <si>
    <t>6SRWUPC0</t>
  </si>
  <si>
    <t>TRANSVERSAL 1 DIAG 54E 25</t>
  </si>
  <si>
    <t>edrguerrero42@gmail.com</t>
  </si>
  <si>
    <t>GONZALEZ ESCORCIA JOSE DAVID</t>
  </si>
  <si>
    <t>O5YR6TAY</t>
  </si>
  <si>
    <t>CALLE 16#13 64</t>
  </si>
  <si>
    <t>CAMPO DE LA CRUZ</t>
  </si>
  <si>
    <t>joladasa96@gmail.com</t>
  </si>
  <si>
    <t>2V7DN4C3</t>
  </si>
  <si>
    <t>CALLE 90B 10SUR-173</t>
  </si>
  <si>
    <t>elmergonzalezf@gmail.com</t>
  </si>
  <si>
    <t>GONZALEZ HAMBURGER JADER</t>
  </si>
  <si>
    <t>O37LFLLK</t>
  </si>
  <si>
    <t>CALLE 12#24-10</t>
  </si>
  <si>
    <t>jadergonzalez438@gmail.com</t>
  </si>
  <si>
    <t>11/06/ 2024</t>
  </si>
  <si>
    <t xml:space="preserve">GONZALEZ RIVAS NEIDER MANUEL </t>
  </si>
  <si>
    <t>6FIU0FD3</t>
  </si>
  <si>
    <t>CARRERA 22 # 99E - 15</t>
  </si>
  <si>
    <t>LOS OLIVOS ETP 1</t>
  </si>
  <si>
    <t>neidergonzalez1410@gmail.com</t>
  </si>
  <si>
    <t>W4K5O8E0</t>
  </si>
  <si>
    <t>CALLE 19#19-136</t>
  </si>
  <si>
    <t>ewinenriquegonzalezsiado@gmail.com</t>
  </si>
  <si>
    <t>GRANADOS LLINAS JOSE CARLOS</t>
  </si>
  <si>
    <t>BVADQYE6</t>
  </si>
  <si>
    <t>CL 38 22 50</t>
  </si>
  <si>
    <t>jcgranados84@hotmail.com</t>
  </si>
  <si>
    <t>CL 14 1A 126</t>
  </si>
  <si>
    <t>everguerrerojerez0403@gmail.com</t>
  </si>
  <si>
    <t>789BHH7T</t>
  </si>
  <si>
    <t>calle 23 23a57</t>
  </si>
  <si>
    <t>lemayuley1029@gmail.com</t>
  </si>
  <si>
    <t>HTXIH5PV</t>
  </si>
  <si>
    <t>GUTIERREZ DONADO LUIS RAFAEL</t>
  </si>
  <si>
    <t>47F8AU09</t>
  </si>
  <si>
    <t>CALLE 69 A- 13 SUR</t>
  </si>
  <si>
    <t>luragu94@gmail.com</t>
  </si>
  <si>
    <r>
      <rPr>
        <u/>
        <sz val="11"/>
        <color rgb="FF1155CC"/>
        <rFont val="Calibri"/>
        <family val="2"/>
      </rPr>
      <t>danielagutierrezg03@gmail.com</t>
    </r>
  </si>
  <si>
    <t>YDTJWPBM</t>
  </si>
  <si>
    <t>KRA 3 CALLE 27B-47</t>
  </si>
  <si>
    <t>wg3982508@gmail.com</t>
  </si>
  <si>
    <t>GUTIERREZ LOPEZ O´NEIL JOSE</t>
  </si>
  <si>
    <t>CG76WIFY</t>
  </si>
  <si>
    <t>CRA 4 SUR 18 19</t>
  </si>
  <si>
    <t>gutierrezoneil98@gmail.com</t>
  </si>
  <si>
    <t>NY68H70I</t>
  </si>
  <si>
    <t>CRA 14D#46C3</t>
  </si>
  <si>
    <t>gutierreznaisir@gmail.com</t>
  </si>
  <si>
    <t>GUTIERREZ OLARTE TONY STIVEN</t>
  </si>
  <si>
    <t>COORDINADOR DE OPERACIONES</t>
  </si>
  <si>
    <t>32A5ZGZH</t>
  </si>
  <si>
    <t xml:space="preserve">CRA 14 # 43- 24 LAS NUBES </t>
  </si>
  <si>
    <t>tego.gut@gmail.com</t>
  </si>
  <si>
    <t>GUTIERREZ SALTARIN LUIS</t>
  </si>
  <si>
    <t>PTCN0VLI</t>
  </si>
  <si>
    <t>GUZMAN ROMO WISTON JAVIER</t>
  </si>
  <si>
    <t>BJCQ66Z3</t>
  </si>
  <si>
    <t>CALLE 6#60-44</t>
  </si>
  <si>
    <t>wistonguzman123@gmail.com</t>
  </si>
  <si>
    <t>HAYDAR REYES ANA SOFIA</t>
  </si>
  <si>
    <t>EL8QGUX2</t>
  </si>
  <si>
    <t>CR 18 40B 06</t>
  </si>
  <si>
    <t>anahaydarr28@gmail.com</t>
  </si>
  <si>
    <t>HEIDY SHARITH URQUIJO PEREZ</t>
  </si>
  <si>
    <t>VAQFW47M</t>
  </si>
  <si>
    <t>CALLE 76 N 32 -304 LAS MERCEDES</t>
  </si>
  <si>
    <t>3054084727 3052619808</t>
  </si>
  <si>
    <t>urguijoheidy@gmail.com</t>
  </si>
  <si>
    <t>HEINER DE JESUS ORTIZ CALVO</t>
  </si>
  <si>
    <t>SAC93A4A</t>
  </si>
  <si>
    <t>CRA 38 B No. 32 - 67</t>
  </si>
  <si>
    <r>
      <rPr>
        <u/>
        <sz val="11"/>
        <color rgb="FF1155CC"/>
        <rFont val="Calibri"/>
        <family val="2"/>
      </rPr>
      <t>heinerneoc15@gmail.com</t>
    </r>
  </si>
  <si>
    <t>HERNANDEZ ACUÑA CRISTIAN DAVID</t>
  </si>
  <si>
    <t>Q51E0HYZ</t>
  </si>
  <si>
    <t>CALLE 59A NUM 26-42</t>
  </si>
  <si>
    <t>crisdha1826@gmail.com</t>
  </si>
  <si>
    <t>HERNANDEZ MARBELLO FRANK JOSE</t>
  </si>
  <si>
    <t>DOKM0S8Z</t>
  </si>
  <si>
    <t>Trv 1B sur # 68 B – 121 Conjunto Ceiba casa 144 Ciudad Salitre</t>
  </si>
  <si>
    <t>sistemfrank32@gmail.com</t>
  </si>
  <si>
    <t>GVBSINVZ</t>
  </si>
  <si>
    <t>CRA 12C14A 35</t>
  </si>
  <si>
    <t>jaimehernandez0800@gmail.com</t>
  </si>
  <si>
    <t xml:space="preserve">HERNÁNDEZ PESTANA DOUGLAS DE JESÚS </t>
  </si>
  <si>
    <t>THG30SM6</t>
  </si>
  <si>
    <t>HIDALGO OCHOA ANA MILENA</t>
  </si>
  <si>
    <t>ANALISTA P&amp;H</t>
  </si>
  <si>
    <t>R4BKUUVX</t>
  </si>
  <si>
    <t>CL 47 10 B 03</t>
  </si>
  <si>
    <t>ahidalgo@anava.com</t>
  </si>
  <si>
    <t>ZUBT3XZU</t>
  </si>
  <si>
    <t>CRA 4 SUR 99-75</t>
  </si>
  <si>
    <t>hoyosmunozjonathan816@gmail.com</t>
  </si>
  <si>
    <t>ISJI6HH1</t>
  </si>
  <si>
    <t>CRA 23 19-94 LURUACO</t>
  </si>
  <si>
    <t>dayamaria0518@gmail.com</t>
  </si>
  <si>
    <t>IGUARAN RICAURTE GUILLERMO MIGUEL</t>
  </si>
  <si>
    <t>FIHPDFCO</t>
  </si>
  <si>
    <t>CRA 56C 5C-33</t>
  </si>
  <si>
    <t>iguaranricaurteguillermo@gmail.com</t>
  </si>
  <si>
    <t>5IHQ5UYA</t>
  </si>
  <si>
    <t>CL 11 30B 20</t>
  </si>
  <si>
    <t>Janer.m.jaime1962@gmail.com</t>
  </si>
  <si>
    <t>JEISON PACHECO LOPEZ</t>
  </si>
  <si>
    <t>XAE9OS6I</t>
  </si>
  <si>
    <t>CRA 7 SUR 98C54</t>
  </si>
  <si>
    <t>jeisonpacheco1922@gmail.com</t>
  </si>
  <si>
    <t>JESUS DAVID ALVIZ SORIA</t>
  </si>
  <si>
    <t>61ZYCAT7</t>
  </si>
  <si>
    <t>CALLE 5B#27A-17</t>
  </si>
  <si>
    <t>jesusalvoz22@gmail.com</t>
  </si>
  <si>
    <t>JHONATAN ARLEN MENDOZA MANGA</t>
  </si>
  <si>
    <t>NO5VCUJN</t>
  </si>
  <si>
    <t>CALLE 9N 3A 13</t>
  </si>
  <si>
    <t>mendozajhonatan249@gmail.com</t>
  </si>
  <si>
    <t xml:space="preserve">JIMENEZ ACOSTA GERMAN OLARDO
</t>
  </si>
  <si>
    <t>UA3Y4MTV</t>
  </si>
  <si>
    <t>CALLE 14B #11-63</t>
  </si>
  <si>
    <r>
      <rPr>
        <u/>
        <sz val="11"/>
        <color rgb="FF1155CC"/>
        <rFont val="Calibri"/>
        <family val="2"/>
      </rPr>
      <t>orlandogerman022@gmail.com</t>
    </r>
  </si>
  <si>
    <t>SANISTAS</t>
  </si>
  <si>
    <t>U4FHQ0D7</t>
  </si>
  <si>
    <t>CRA 6 # 54 - 87 LA SIERRITA</t>
  </si>
  <si>
    <t>300 1344225</t>
  </si>
  <si>
    <t>juniorjimenezcarrillo@gmail.com</t>
  </si>
  <si>
    <t>TLPMU1CQ</t>
  </si>
  <si>
    <t>CRA 47 26B86</t>
  </si>
  <si>
    <t>eligioj14@gmail.com</t>
  </si>
  <si>
    <t>30FHUSTE</t>
  </si>
  <si>
    <t>CL 98C KR 3C MZ 3 AP 403</t>
  </si>
  <si>
    <t>adrianjimenezsenior@gmail.com</t>
  </si>
  <si>
    <t>W5E0598E</t>
  </si>
  <si>
    <t>CR 12 56</t>
  </si>
  <si>
    <t>jimenezzapata52@gmail.com</t>
  </si>
  <si>
    <t>JIMENEZ MUENTES RICHARD EDUARDO</t>
  </si>
  <si>
    <t>JX3JHIHB</t>
  </si>
  <si>
    <t>CALLE 52#26 16</t>
  </si>
  <si>
    <t>deydisloracardenas@gmail.com</t>
  </si>
  <si>
    <t>JIMENEZ OTEGA DAVINSON JOSE</t>
  </si>
  <si>
    <t>J0EWW72Q</t>
  </si>
  <si>
    <t>CRA 8 # 8-64</t>
  </si>
  <si>
    <t>jimenezortegaadavison@gmail.com</t>
  </si>
  <si>
    <t>38B47UIL</t>
  </si>
  <si>
    <t>CL 63 B 8C 40</t>
  </si>
  <si>
    <t>Antoniojimenez12341@outlook.es</t>
  </si>
  <si>
    <t>JIMENEZ TORRES YACIR ALEJANDRO</t>
  </si>
  <si>
    <t>WU6Q4X22</t>
  </si>
  <si>
    <t>CALLE 83B # 12 - 76</t>
  </si>
  <si>
    <t>yaciralejandro12@gmail.com</t>
  </si>
  <si>
    <t>20ASU7F6</t>
  </si>
  <si>
    <t>CRA 6F#47-92</t>
  </si>
  <si>
    <t>carlojimenezvillarreal32@gmail.com</t>
  </si>
  <si>
    <t>JOSE GREGORIO MENDOZA GOMEZ</t>
  </si>
  <si>
    <t>0LJY6BJH</t>
  </si>
  <si>
    <t>CALLE 6A 7A 7-28</t>
  </si>
  <si>
    <t>josemendozagomez648@gmail.com</t>
  </si>
  <si>
    <t>JUAN PABLO FERNÁNDEZ DE CASTRO MONTERO</t>
  </si>
  <si>
    <t>AD6JNWXU</t>
  </si>
  <si>
    <t>CALLE 73 No. 12 - 11</t>
  </si>
  <si>
    <r>
      <rPr>
        <u/>
        <sz val="11"/>
        <color rgb="FF000000"/>
        <rFont val="Calibri"/>
        <family val="2"/>
      </rPr>
      <t>pablofdezdecastro@gmail.com</t>
    </r>
  </si>
  <si>
    <t>JULIO ZAMBRANO LUIS GUILLERMO</t>
  </si>
  <si>
    <t>V0GDPGF1</t>
  </si>
  <si>
    <t>TWDBLOCK</t>
  </si>
  <si>
    <t>CRA 21C#11B-10</t>
  </si>
  <si>
    <t>1048220501cc@gmail.com</t>
  </si>
  <si>
    <t>LEDUIN MOLINA</t>
  </si>
  <si>
    <t>K52L28XN</t>
  </si>
  <si>
    <t>CALLE 13#19-90</t>
  </si>
  <si>
    <t>BUCARAMANGA</t>
  </si>
  <si>
    <t>leduinmolina4@gmail.com</t>
  </si>
  <si>
    <t>SMVO3SHH</t>
  </si>
  <si>
    <t>CARRERA 11H # 40 -1</t>
  </si>
  <si>
    <t>alexander46leon@gmail.com</t>
  </si>
  <si>
    <t>FTIPFDX3</t>
  </si>
  <si>
    <t>Cra 12C 85-53</t>
  </si>
  <si>
    <t>anlondo10@gmail.com</t>
  </si>
  <si>
    <t>928I1UAT</t>
  </si>
  <si>
    <t>CRA 7#97-101</t>
  </si>
  <si>
    <t>CHIRIGUANA</t>
  </si>
  <si>
    <t>arnovislopez1974@gmail.com</t>
  </si>
  <si>
    <t>RJP7BY06</t>
  </si>
  <si>
    <t>CR 13 N39 36</t>
  </si>
  <si>
    <t>lopezberrio22@gmail.com</t>
  </si>
  <si>
    <t>LOPEZ LIDUEÑA DAIRO ALFONSO</t>
  </si>
  <si>
    <t>LA4KM1NB</t>
  </si>
  <si>
    <t>CRA 12D#83 41</t>
  </si>
  <si>
    <t>dairolopez56@hotmail.com</t>
  </si>
  <si>
    <t>LOPEZ RODRIGUEZ YEAN MANUEL</t>
  </si>
  <si>
    <t>VKMTEBF2</t>
  </si>
  <si>
    <t>CALLE 68B#05-33</t>
  </si>
  <si>
    <t>jean92lopez@gmail.com</t>
  </si>
  <si>
    <t>LORA GONZALEZ ELVER DAVID</t>
  </si>
  <si>
    <t>WKWR8FHG</t>
  </si>
  <si>
    <t>CRA 11#49-27</t>
  </si>
  <si>
    <t>everlora2023@hotmail.com</t>
  </si>
  <si>
    <t>LUIS ENRIQUE TORRES MARQUEZ</t>
  </si>
  <si>
    <t>Y8M8ZTL7</t>
  </si>
  <si>
    <t>CRA 4B N 70-28</t>
  </si>
  <si>
    <t>luisetm1995@gmail.com</t>
  </si>
  <si>
    <t>LUIS FERNANDO CORREA CAMPO</t>
  </si>
  <si>
    <t>WKEDZDO7</t>
  </si>
  <si>
    <t>CRA 10#18-79</t>
  </si>
  <si>
    <t>Correacampoluisfernando10@gmail.com</t>
  </si>
  <si>
    <t>LSSS13GK</t>
  </si>
  <si>
    <t>CL 25 # 16 B 33</t>
  </si>
  <si>
    <t>sebasmachacon@gmail.com</t>
  </si>
  <si>
    <t>6Z3PD8NG</t>
  </si>
  <si>
    <t>CL 17 N 3 67</t>
  </si>
  <si>
    <t>deivermachacon25@gmail.com</t>
  </si>
  <si>
    <t>NHGCF97E</t>
  </si>
  <si>
    <t>CR 27 41</t>
  </si>
  <si>
    <t>charitsuarez1@gmail.com</t>
  </si>
  <si>
    <t>LL2A7EKH</t>
  </si>
  <si>
    <t>CRA 11 NUM74-40</t>
  </si>
  <si>
    <t>3116680705/ 3243446473</t>
  </si>
  <si>
    <t>raulmaju96@gmail.com</t>
  </si>
  <si>
    <t>P6LPIIMG</t>
  </si>
  <si>
    <t>WV0Q01EK</t>
  </si>
  <si>
    <t>K 28143-57</t>
  </si>
  <si>
    <t>silvanahernandez1918@gmail.com</t>
  </si>
  <si>
    <t>HZ9MK3ZO</t>
  </si>
  <si>
    <t>CR 22 85 07</t>
  </si>
  <si>
    <t>3S00RL0P</t>
  </si>
  <si>
    <t>VENEZUELA</t>
  </si>
  <si>
    <t>Doble</t>
  </si>
  <si>
    <t>CRA 9E1#136-27</t>
  </si>
  <si>
    <t>wilsonmapari20@gmail.com</t>
  </si>
  <si>
    <t>OSXW6T90</t>
  </si>
  <si>
    <t>CL 19 N 20C 142</t>
  </si>
  <si>
    <t>marchenavictor917@gmail.com</t>
  </si>
  <si>
    <t>MARCO TULIO MORA PADILLA</t>
  </si>
  <si>
    <t>U6RSXRT4</t>
  </si>
  <si>
    <t>CALLE 16 N 19- 63</t>
  </si>
  <si>
    <t>marcosmorap08@gmail.com</t>
  </si>
  <si>
    <t>MARENCO DAVILA CARLOS ANDRES</t>
  </si>
  <si>
    <t>CR 81 N129 36</t>
  </si>
  <si>
    <t>marenco1989@hotmail.com</t>
  </si>
  <si>
    <t>MARENCO RUA SERGIO ENRIQUE</t>
  </si>
  <si>
    <t>TRJF08A9</t>
  </si>
  <si>
    <t>CL 5 57 85</t>
  </si>
  <si>
    <t>semr0102@gmail.com</t>
  </si>
  <si>
    <t xml:space="preserve">MARIN ARISTIZABAL OTONIEL ALBERTO </t>
  </si>
  <si>
    <t>49UXLMY2</t>
  </si>
  <si>
    <t>CALLE 5A#2-120</t>
  </si>
  <si>
    <t>otonielmarin38@gmail.com</t>
  </si>
  <si>
    <t>63L48693</t>
  </si>
  <si>
    <t>CR 69 N 22 E 50</t>
  </si>
  <si>
    <t>dmarin04@gmail.com</t>
  </si>
  <si>
    <t>MARIN JIMENEZ DEYSO DE JESUS</t>
  </si>
  <si>
    <t>Z8DQYB2P</t>
  </si>
  <si>
    <t>CALLE 22#15-09</t>
  </si>
  <si>
    <t>deysomarin2001@gmail.com</t>
  </si>
  <si>
    <t>ZUI7UAN1</t>
  </si>
  <si>
    <t>CR 8 60B 161</t>
  </si>
  <si>
    <t>CPC34YSR</t>
  </si>
  <si>
    <t>CALLE 111B#10-11 LOS ANGELES II</t>
  </si>
  <si>
    <t>leomatapro144@gmail.com</t>
  </si>
  <si>
    <t>QS6CQBUU</t>
  </si>
  <si>
    <t>CR 1 SUR 36 A 11</t>
  </si>
  <si>
    <t>jodam9081@gmail.com</t>
  </si>
  <si>
    <t>NJEP2H37</t>
  </si>
  <si>
    <t>CR 10 N85 B 25</t>
  </si>
  <si>
    <t>CRA 10 # 85 B- 35 BARRIO SURDIS</t>
  </si>
  <si>
    <t>luisalbertomarquezobredor@gmail.com</t>
  </si>
  <si>
    <t>MARTELO RIVERA ALBERTO DE JESUS</t>
  </si>
  <si>
    <t>8APG7U2K</t>
  </si>
  <si>
    <t>transversal 1a2diag 71d28</t>
  </si>
  <si>
    <t>alberto.martelo0522@gmail.com</t>
  </si>
  <si>
    <t>MARTINEZ CAMPO JESUS DANIEL</t>
  </si>
  <si>
    <t>8YATFCGC</t>
  </si>
  <si>
    <t>CALLE 106#13B-40</t>
  </si>
  <si>
    <t>jesusdanielmartinezcampo@gmail.com</t>
  </si>
  <si>
    <t>MARTINEZ JIMENEZ ERLIN EDUARDO</t>
  </si>
  <si>
    <t>K000OECN</t>
  </si>
  <si>
    <t xml:space="preserve">CALLE 9A NUM 41-32 </t>
  </si>
  <si>
    <t>martinezerlin855@gmail.com</t>
  </si>
  <si>
    <t>MARTINEZ NARVAEZ JESUS DAVID</t>
  </si>
  <si>
    <t>KFFADE57</t>
  </si>
  <si>
    <t>TRANSVERSAL 1C 52B51</t>
  </si>
  <si>
    <t>martineznarvaezjesus8@gmail.com</t>
  </si>
  <si>
    <t>MARTINEZ NUÑEZ OSCAR JAVIER</t>
  </si>
  <si>
    <t>7IHTI6V</t>
  </si>
  <si>
    <t>CALLE 14 NUM 18 06</t>
  </si>
  <si>
    <t>oscarmartinez0614@hotmail.com</t>
  </si>
  <si>
    <t>MARTINEZ OROZCO BRAYAN ESTIP</t>
  </si>
  <si>
    <t>HLTO39YL</t>
  </si>
  <si>
    <t>CALLE 5#11-46</t>
  </si>
  <si>
    <t>brayanmartinezorozco12@gmail.com</t>
  </si>
  <si>
    <t>FOWUGTHF</t>
  </si>
  <si>
    <t>CL 14N 25 12 BR LA ESPERENZA GALAPA</t>
  </si>
  <si>
    <t>luismartinezteran1327@hotmail.com</t>
  </si>
  <si>
    <t>MATUTE MADERA ANDRES ENRIQUE</t>
  </si>
  <si>
    <t>CALLE 24A38C-90</t>
  </si>
  <si>
    <t>andresmatute0220@hotmail.com</t>
  </si>
  <si>
    <t>MAYERLIS DEULOFEUT PEREZ</t>
  </si>
  <si>
    <t>PROFESIONAL PEOPLE</t>
  </si>
  <si>
    <t>mayerlisdp26@gmail.com</t>
  </si>
  <si>
    <t xml:space="preserve">MAZA HURTADO WILTON JESUS </t>
  </si>
  <si>
    <t>FBE0979P</t>
  </si>
  <si>
    <t>CALLE 48 # 2E - 39 SOLEDAD</t>
  </si>
  <si>
    <t>mazahurtadowiltonjesus@gmail.com</t>
  </si>
  <si>
    <t>POORVENIR</t>
  </si>
  <si>
    <t>MAZA OCHOA CAMILO ANDRES</t>
  </si>
  <si>
    <t>P4MYPVXF</t>
  </si>
  <si>
    <t>CALLE 48 A N 2 E -39</t>
  </si>
  <si>
    <t>camiloochoamaza@gmail.com</t>
  </si>
  <si>
    <t>MEJIA CRESCENTE JUAN PABLO</t>
  </si>
  <si>
    <t>PROFESIONAL FLOTA</t>
  </si>
  <si>
    <t>K8Y63XE9</t>
  </si>
  <si>
    <t>CRA 10#5-32</t>
  </si>
  <si>
    <t>jmejiacrescente@gmail.com</t>
  </si>
  <si>
    <t>P8PJ6MSF</t>
  </si>
  <si>
    <t>CR 47 N16 22</t>
  </si>
  <si>
    <t>MPV67S4N</t>
  </si>
  <si>
    <t>CR 31 B N 52 B 81</t>
  </si>
  <si>
    <t>hernandojosemendezmontenegro@gmail.com</t>
  </si>
  <si>
    <t>JCS9X9LB</t>
  </si>
  <si>
    <t>CR 3 B 52B 96</t>
  </si>
  <si>
    <t>rogemontenegro61@gmail.com</t>
  </si>
  <si>
    <t>MENDEZ SIMANCA HORACIO</t>
  </si>
  <si>
    <t>ROO4CI2C</t>
  </si>
  <si>
    <t>CR 11 A N 53 33</t>
  </si>
  <si>
    <t>mm8484227@gmail.com</t>
  </si>
  <si>
    <t>MENDOZA CARRILLO KELLY KENDRY</t>
  </si>
  <si>
    <t>ANALISTA HSEQ</t>
  </si>
  <si>
    <t>k0218OEF</t>
  </si>
  <si>
    <t xml:space="preserve">CARRERA 19 # 47-02 SOLEDAD </t>
  </si>
  <si>
    <t>mendozackelly@gmail.com</t>
  </si>
  <si>
    <t>MENDOZA IBAÑEZ JENNIFER EDITH</t>
  </si>
  <si>
    <t>WMLMW8HF</t>
  </si>
  <si>
    <t>CRA 14 N 47A_100 M11 TORRE 4 APT1B</t>
  </si>
  <si>
    <t>jenangel0406@gmail.com</t>
  </si>
  <si>
    <t>MENDOZA LEJADRE EFRAIN ADOLFO</t>
  </si>
  <si>
    <t>F7W8FMZE</t>
  </si>
  <si>
    <t>KRA#18-39</t>
  </si>
  <si>
    <t>mendozaefrainmendoza01@gmail.com</t>
  </si>
  <si>
    <t>MENDOZA QUINTERO JOHN CARLOS</t>
  </si>
  <si>
    <t>VB8CNMCY</t>
  </si>
  <si>
    <t>CALLE 99B N 5 SUR - 48 20 DE JULIO</t>
  </si>
  <si>
    <t>jhonmondozaquintero1308@gmail.com</t>
  </si>
  <si>
    <t>M29KZUCP</t>
  </si>
  <si>
    <t>CR 13 D 70 88</t>
  </si>
  <si>
    <t>ISAJUSTIN29@OUTLOOK.COM</t>
  </si>
  <si>
    <t>J8NG1DDT</t>
  </si>
  <si>
    <t>calle30#72-27</t>
  </si>
  <si>
    <t>mercadojulioaldair@gmail.com</t>
  </si>
  <si>
    <t>4GQB258S</t>
  </si>
  <si>
    <t>CL 16 N 9 37</t>
  </si>
  <si>
    <t>bartolomequick@gmail.com</t>
  </si>
  <si>
    <t>MERCADO PAJARO MARINELA PATRICIA</t>
  </si>
  <si>
    <t>07ZL0OBN</t>
  </si>
  <si>
    <t>CL 41 N19-125 CA 84</t>
  </si>
  <si>
    <t>marinela.mercado@hotmail.com</t>
  </si>
  <si>
    <t>MIRANDA SOLANO BRAYAN JOSE</t>
  </si>
  <si>
    <t>7V8O1JD3</t>
  </si>
  <si>
    <t>CRA 11 # 24-111</t>
  </si>
  <si>
    <t>brayanmiranda0594@gmail.com</t>
  </si>
  <si>
    <t>BKUTX7X9</t>
  </si>
  <si>
    <t>CALLE 76D 11 A 39</t>
  </si>
  <si>
    <t>moher_1983@hotmail.com</t>
  </si>
  <si>
    <t>MOLINA LAURENS LEONILDA ROSA</t>
  </si>
  <si>
    <t>AUXILIAR ADMINISTRATIVO FINANCIERO</t>
  </si>
  <si>
    <t>DXHQMJI8</t>
  </si>
  <si>
    <t>CR 7L N 131 34</t>
  </si>
  <si>
    <t>cartera.hyhdelcaribe26@gmail.com</t>
  </si>
  <si>
    <t>MONTERO ESCALANTE KEVIN DAVID</t>
  </si>
  <si>
    <t>8HW9T51B</t>
  </si>
  <si>
    <t>CALLE 53B#15B15</t>
  </si>
  <si>
    <t>kevindavid032327@gmail.com</t>
  </si>
  <si>
    <t>0FKF8CVO</t>
  </si>
  <si>
    <t>CL 11 17 03</t>
  </si>
  <si>
    <t>daivermonterroza@gmail.com</t>
  </si>
  <si>
    <t>CCC33SWC</t>
  </si>
  <si>
    <t>CR 6 51B 33</t>
  </si>
  <si>
    <t>JESUSDAVIDMORALES30@GMAIL.COM</t>
  </si>
  <si>
    <t>MORALES VARGAS VICTOR EDUARDO</t>
  </si>
  <si>
    <t>7542Q0SO</t>
  </si>
  <si>
    <t>CARRERA 5 SUR No. 3 A - 18</t>
  </si>
  <si>
    <t>vm3083461@gmail.com</t>
  </si>
  <si>
    <t>MORRON CALIXTO DE JESUS</t>
  </si>
  <si>
    <t>EHTN21AI</t>
  </si>
  <si>
    <t>CRA 3#12-72</t>
  </si>
  <si>
    <t>calixtodejesusmorron@gmail.com</t>
  </si>
  <si>
    <t>MUNIVE PEREZ MARIA LUISA</t>
  </si>
  <si>
    <t>RECLUTADOR</t>
  </si>
  <si>
    <t>Colombiana</t>
  </si>
  <si>
    <t>MUÑOZ DOMINGUEZ DAVID</t>
  </si>
  <si>
    <t>CR 16 N 73 50</t>
  </si>
  <si>
    <t>dmuozd@gmail.com</t>
  </si>
  <si>
    <t>4GP5M2UX</t>
  </si>
  <si>
    <t>CL 3 N 160</t>
  </si>
  <si>
    <t>ronymanuelmunozhernandez@gmail.com</t>
  </si>
  <si>
    <t>3JO9IV2O</t>
  </si>
  <si>
    <t>CR 4 # 19 - 25</t>
  </si>
  <si>
    <t>munozmedinaluiseduardo55@gmail.com</t>
  </si>
  <si>
    <t>8NT1W87X</t>
  </si>
  <si>
    <t>DG 75 13E 81</t>
  </si>
  <si>
    <t>1180B89G</t>
  </si>
  <si>
    <t>CRA 16#18-75</t>
  </si>
  <si>
    <t>einermunuz17@gmail.com</t>
  </si>
  <si>
    <t>IMMVHCHZ</t>
  </si>
  <si>
    <t>Calle 56 # 16D – 08 Soledad</t>
  </si>
  <si>
    <t>Jorgeluisnarvaez285@gmail.com</t>
  </si>
  <si>
    <t>NIETO VIZCAINO JORGE LUIS</t>
  </si>
  <si>
    <t>YK7ZVJ5H</t>
  </si>
  <si>
    <t>CALLE 6H # 12 - 27</t>
  </si>
  <si>
    <t>nietovizcainojorge@gmail.com</t>
  </si>
  <si>
    <t>OW2JIK34</t>
  </si>
  <si>
    <t>CR 13 C N 69</t>
  </si>
  <si>
    <t>carlosnino0012800@gmail.com</t>
  </si>
  <si>
    <t>NOVA ARENAS FRANK MANUEL</t>
  </si>
  <si>
    <t>MGLGIOML</t>
  </si>
  <si>
    <t xml:space="preserve">CRA49 BUM 26-33 </t>
  </si>
  <si>
    <t>franknovaarenas89@gmail.com</t>
  </si>
  <si>
    <t>088LUKNW</t>
  </si>
  <si>
    <t>CRA 1E#52d-60</t>
  </si>
  <si>
    <t>victorochoa09@gmail.com</t>
  </si>
  <si>
    <t>NU347BZN</t>
  </si>
  <si>
    <t>CR 26 24 A 37</t>
  </si>
  <si>
    <t>jhonnydejesu88@gmail.com</t>
  </si>
  <si>
    <t>KG8KR4SW</t>
  </si>
  <si>
    <t>MZ 73 40 69</t>
  </si>
  <si>
    <t>ZRP85G3I</t>
  </si>
  <si>
    <t>CL 414 N 20 54</t>
  </si>
  <si>
    <t>OROZCO JIMENEZ MARI NELLY</t>
  </si>
  <si>
    <t>1VA87Z74</t>
  </si>
  <si>
    <t>BR PUERTA DORADA</t>
  </si>
  <si>
    <t>Marinellyorozco@gmail.com</t>
  </si>
  <si>
    <t>BCOY7VTN</t>
  </si>
  <si>
    <t>DIAGONAL 76B#5C-28</t>
  </si>
  <si>
    <t>merkisorozco22@gmail.com</t>
  </si>
  <si>
    <t>ORTEGA ESCOBAR NICOLAS ANTONIO</t>
  </si>
  <si>
    <t>ARCBGP39</t>
  </si>
  <si>
    <t>Carrera 21 N° 15-19</t>
  </si>
  <si>
    <t>roblesjosefa012@gmail.com</t>
  </si>
  <si>
    <t>ORTEGA OTERO KAROL TATIANA</t>
  </si>
  <si>
    <t>CRA 7#60B-125 APTO1</t>
  </si>
  <si>
    <r>
      <rPr>
        <u/>
        <sz val="11"/>
        <color rgb="FF1155CC"/>
        <rFont val="Calibri"/>
        <family val="2"/>
      </rPr>
      <t>karoltatianao39@gmail.com</t>
    </r>
  </si>
  <si>
    <t xml:space="preserve">ORTIZ SANTOS LEONARDO ALFONSO </t>
  </si>
  <si>
    <t>OYK0I9F3</t>
  </si>
  <si>
    <t>CRA 32#4D 07</t>
  </si>
  <si>
    <t>leorsan33ortiz@gmail.com</t>
  </si>
  <si>
    <t>YA754XN3</t>
  </si>
  <si>
    <t>CR 12 SUR 47 04</t>
  </si>
  <si>
    <t>OSORIO COMAS WILLIAN GUILLERMO</t>
  </si>
  <si>
    <t>LL8FXVPW</t>
  </si>
  <si>
    <t>KRA 13 N 29-31</t>
  </si>
  <si>
    <t>wosoriocomas12345@gmail.com</t>
  </si>
  <si>
    <t>Q13FKNPU</t>
  </si>
  <si>
    <t>CL 17 N 33 24</t>
  </si>
  <si>
    <t>osorioyole@gmail.com</t>
  </si>
  <si>
    <t xml:space="preserve">OSPINO BOVEA LEYDIS PAOLA </t>
  </si>
  <si>
    <t>ONOYC0YN</t>
  </si>
  <si>
    <t>CALLE 48 # 9D-113</t>
  </si>
  <si>
    <t>ospinoleydis245@gmail.com</t>
  </si>
  <si>
    <t>RSIV6B8E</t>
  </si>
  <si>
    <t>CR 32A 26-53</t>
  </si>
  <si>
    <t>Arismelospinocon@gmail.com</t>
  </si>
  <si>
    <t>TKJXTJGL</t>
  </si>
  <si>
    <t>CR 34 N 26 63</t>
  </si>
  <si>
    <t>OTERO URUETA JASSIR ANDRES</t>
  </si>
  <si>
    <t>HKM49I9N</t>
  </si>
  <si>
    <t>cra 18 #52-109</t>
  </si>
  <si>
    <t>RD8LS8CN</t>
  </si>
  <si>
    <t>MZ 12 LT 16</t>
  </si>
  <si>
    <t>robertocarloxpacheco@hotmail.com</t>
  </si>
  <si>
    <t>NGG6P46Q</t>
  </si>
  <si>
    <t>Calle 1 - 748 palmar de varela</t>
  </si>
  <si>
    <t>PALMAR DE VARELA</t>
  </si>
  <si>
    <t>pacheco20james@gamail.com</t>
  </si>
  <si>
    <t>PACHECO LOPEZ ADOLFO DE JESUS</t>
  </si>
  <si>
    <t>OKA08YH4</t>
  </si>
  <si>
    <t>CRA 7 SUR 98C 54</t>
  </si>
  <si>
    <t>PADILLA BARRAZA JOSE DAVIS</t>
  </si>
  <si>
    <t>3X278T0Q</t>
  </si>
  <si>
    <t>CALLE 8 # 21 - 36 SOLEDAD</t>
  </si>
  <si>
    <t>josedavid24@gmail.com</t>
  </si>
  <si>
    <t>EMYZGVEH</t>
  </si>
  <si>
    <t>CL 10 32 69</t>
  </si>
  <si>
    <t>Orlandopadilla129@gmail.com</t>
  </si>
  <si>
    <t>D8NTUW2U</t>
  </si>
  <si>
    <t>CL 99B 5 SUR 33</t>
  </si>
  <si>
    <t>Jpadillaiglesia@gmail.com</t>
  </si>
  <si>
    <t>HJEXAVN9</t>
  </si>
  <si>
    <t>CR 8 7A 04</t>
  </si>
  <si>
    <t>9VVLDPYB</t>
  </si>
  <si>
    <t>Cara 41 13 15</t>
  </si>
  <si>
    <t>damianpadillapardo33@gmail.com</t>
  </si>
  <si>
    <t>7Q4J4YPR</t>
  </si>
  <si>
    <t>CR 11B 17 15</t>
  </si>
  <si>
    <t>Yimypadilla029@gmail.com</t>
  </si>
  <si>
    <t>Y37VTVQJ</t>
  </si>
  <si>
    <t>CALLE 10·32-69</t>
  </si>
  <si>
    <t>fernandopdilla129@gmail.com</t>
  </si>
  <si>
    <t>3HH0UEI8</t>
  </si>
  <si>
    <t>CR 89 19 65</t>
  </si>
  <si>
    <t>alanpadilla167@gmail.com</t>
  </si>
  <si>
    <t>OAK33NPT</t>
  </si>
  <si>
    <t>CR 16B N 51 14</t>
  </si>
  <si>
    <t>carlosmariopalacio27@gmail.com</t>
  </si>
  <si>
    <t>PALMA MENDOZA JOSSIE ESTEBAN</t>
  </si>
  <si>
    <t>CALLE 36 No. 12 A - 09</t>
  </si>
  <si>
    <t>3214656087 - 3053652837</t>
  </si>
  <si>
    <r>
      <rPr>
        <u/>
        <sz val="11"/>
        <color rgb="FF1155CC"/>
        <rFont val="Calibri"/>
        <family val="2"/>
      </rPr>
      <t>jossie_palma@hotmail.com</t>
    </r>
  </si>
  <si>
    <t>PALMERA MANCILLA EDWIN JUNIOR</t>
  </si>
  <si>
    <t>Z3VJ4661</t>
  </si>
  <si>
    <t>CRA 28#17-28</t>
  </si>
  <si>
    <t>ejpm1109@gmail.com</t>
  </si>
  <si>
    <t>PAREJA REALES JONATHAN</t>
  </si>
  <si>
    <t>XGYZPMOOK</t>
  </si>
  <si>
    <t>O+</t>
  </si>
  <si>
    <t>T2SKU19K</t>
  </si>
  <si>
    <t>TRANS 2D7 52 - 59</t>
  </si>
  <si>
    <t>cristiandp02@gmail.com</t>
  </si>
  <si>
    <t>9ZVWLRMS</t>
  </si>
  <si>
    <t>CALLE 10#16A-24</t>
  </si>
  <si>
    <t>jhonnyp0914@gmail.com</t>
  </si>
  <si>
    <t xml:space="preserve">PEÑA RODRIGUEZ PETERSON ANTONIO </t>
  </si>
  <si>
    <t>HDOFRB5W</t>
  </si>
  <si>
    <t>CRA 9A 17A-10</t>
  </si>
  <si>
    <r>
      <rPr>
        <u/>
        <sz val="11"/>
        <color rgb="FF1155CC"/>
        <rFont val="Calibri"/>
        <family val="2"/>
      </rPr>
      <t>peterson1981@live.com</t>
    </r>
  </si>
  <si>
    <t>F635ASOR</t>
  </si>
  <si>
    <t>CR 29 A N 21 29</t>
  </si>
  <si>
    <t>rafaelperaltacandanoza@gmail.com</t>
  </si>
  <si>
    <t>4H9Z5OR4</t>
  </si>
  <si>
    <t>CL 51 C 2D 51</t>
  </si>
  <si>
    <t xml:space="preserve">PEREZ GARCIA LUIS PEREZ </t>
  </si>
  <si>
    <t>1XP861CO</t>
  </si>
  <si>
    <t>CRA 23D#48-34</t>
  </si>
  <si>
    <t>luisferpg1617@gmail.com</t>
  </si>
  <si>
    <t>PEREZ PULIDO EDWIN JOSE</t>
  </si>
  <si>
    <t>RZJ3PE5Q</t>
  </si>
  <si>
    <t>KRA 12 A N 39-41</t>
  </si>
  <si>
    <t>perezedwin0813@gmail.com</t>
  </si>
  <si>
    <t>7OIH50MA</t>
  </si>
  <si>
    <t>CR 21 N 6B 18</t>
  </si>
  <si>
    <t>erwinperez1022@gmail.com</t>
  </si>
  <si>
    <t xml:space="preserve">PERTUZ MIRANDA KEVIN DOMINGO </t>
  </si>
  <si>
    <t>YIUBDAVI</t>
  </si>
  <si>
    <t>CARRERA 33 No. 17 - 54</t>
  </si>
  <si>
    <t>3206832459 - 3217206462</t>
  </si>
  <si>
    <t>yayopertuz1227@gmail.com</t>
  </si>
  <si>
    <t>SURAMERICANA</t>
  </si>
  <si>
    <t>PESTANA GUERRERO ALEX MANUEL</t>
  </si>
  <si>
    <t>X9RV99OZ</t>
  </si>
  <si>
    <t>alexispestanaguerrero@gmail.com</t>
  </si>
  <si>
    <t>1ONMT4WG</t>
  </si>
  <si>
    <t>SECTOR LOS TAMARINDOS MZ 4 LT6</t>
  </si>
  <si>
    <t>nilispaolaAF569tobiazea@gmail.com</t>
  </si>
  <si>
    <t>2CDC428K</t>
  </si>
  <si>
    <t>alonsopestanaguerrero.mo@gmail.com</t>
  </si>
  <si>
    <t xml:space="preserve">PESTANA GUERRERO ANDRES RICARDO </t>
  </si>
  <si>
    <t>D9EWQ3DD</t>
  </si>
  <si>
    <t>CRA 14 -84-51</t>
  </si>
  <si>
    <t>toscanoyair12@gmail.com</t>
  </si>
  <si>
    <t>4FARJVGV</t>
  </si>
  <si>
    <t>argepestana610@gmail.com</t>
  </si>
  <si>
    <t>PETERSON ARMESTO JAINER ANDRES</t>
  </si>
  <si>
    <t>8LEDBES2</t>
  </si>
  <si>
    <t>CALLE 14A # 15 - 22</t>
  </si>
  <si>
    <t>jainerpeterson03@gmail.com</t>
  </si>
  <si>
    <t>PINTO TEJEDA WILMER ANTONIO</t>
  </si>
  <si>
    <t>BEV58PEY</t>
  </si>
  <si>
    <t>Call 13CR40 12 63</t>
  </si>
  <si>
    <t>pintotejedawilmer@gmail.com</t>
  </si>
  <si>
    <t>PLATA RAMIREZ JAIR ALEXANDER</t>
  </si>
  <si>
    <t>ECC2DNJ1</t>
  </si>
  <si>
    <t>CALLE 11 E 1 125 APTO 3</t>
  </si>
  <si>
    <t>platajair159@gmail.com</t>
  </si>
  <si>
    <t xml:space="preserve">PLATA RAMIREZ JAIR ALEXANDER </t>
  </si>
  <si>
    <t>CALLE 11 A 5 CRA 3 A SUR - 17</t>
  </si>
  <si>
    <t>3044282217 - 3015784283</t>
  </si>
  <si>
    <t>POLO DOMINGUEZ HERNAN ENRIQUE</t>
  </si>
  <si>
    <t>2A0QE3BC</t>
  </si>
  <si>
    <t>MANZANA K CASA #6</t>
  </si>
  <si>
    <t>LOS CRISTALES</t>
  </si>
  <si>
    <t>estefanypolo23@hotmail.com</t>
  </si>
  <si>
    <t>A2TYG7XI</t>
  </si>
  <si>
    <t>CL 44 B 10C 08</t>
  </si>
  <si>
    <t>andrespolo056@gmail.com</t>
  </si>
  <si>
    <t>POLO VERGARA CARLOS ADOLFO</t>
  </si>
  <si>
    <t>Z1AB0NKU</t>
  </si>
  <si>
    <t>02/06/1877</t>
  </si>
  <si>
    <t>CALLE34 NUM11B-36</t>
  </si>
  <si>
    <t>SANTOTOMAS</t>
  </si>
  <si>
    <t>carlospolovergara@gmail.com</t>
  </si>
  <si>
    <t>POSADA PADILLA LITSY CAROLINA</t>
  </si>
  <si>
    <t>R3TALHHT</t>
  </si>
  <si>
    <t>CRA 14 #45B 05 SOLEDAD ATLANTICO</t>
  </si>
  <si>
    <t>lposadapadilla@gmail.com</t>
  </si>
  <si>
    <t>3RP2TFYW</t>
  </si>
  <si>
    <t>CALLE 14 # 1- 26</t>
  </si>
  <si>
    <t>300 3789601</t>
  </si>
  <si>
    <t>williamprentt24@hotmail.com</t>
  </si>
  <si>
    <t>ZP4FIBPU</t>
  </si>
  <si>
    <t>CL 17 N 5 SUR 04 BR LA MILAGROSA</t>
  </si>
  <si>
    <t>primeraricardo297@gmail.com</t>
  </si>
  <si>
    <t>A4XZXTYG</t>
  </si>
  <si>
    <t>CR 1 B 3 21 27</t>
  </si>
  <si>
    <t>omarpua0716@gmail.com</t>
  </si>
  <si>
    <t>CL 79 9 SUR 102</t>
  </si>
  <si>
    <t>psairjose@gmail.com</t>
  </si>
  <si>
    <t>CRA 3F#53-117</t>
  </si>
  <si>
    <t>f7518896@gmail.com</t>
  </si>
  <si>
    <t>79VMTW0Q</t>
  </si>
  <si>
    <t>CL 34 7 A 93</t>
  </si>
  <si>
    <t>Quinteroh343@gmail.com</t>
  </si>
  <si>
    <t>AJL2K9VZ</t>
  </si>
  <si>
    <t>CL 46 23 44</t>
  </si>
  <si>
    <t>Coste.25@hotmail.com</t>
  </si>
  <si>
    <t>RAMIREZ NAVARRO DAYAN ENRIQUE</t>
  </si>
  <si>
    <t>S7V13V3X</t>
  </si>
  <si>
    <t>CALLE 25 N24-45</t>
  </si>
  <si>
    <t>RAMIREZ VASQUEZ ANA ISABEL</t>
  </si>
  <si>
    <t>CDQFF1KA</t>
  </si>
  <si>
    <t>CALLE 52 14-37</t>
  </si>
  <si>
    <t>anitaisabelramirez12@gmail.com</t>
  </si>
  <si>
    <t>RAMON ANTONIO GONZALEZ RIVALDO</t>
  </si>
  <si>
    <t>BJ49OP9F</t>
  </si>
  <si>
    <t>xilenavidal@outlook.com</t>
  </si>
  <si>
    <t>1FRW5MQT</t>
  </si>
  <si>
    <t>DG 46 A 33 03</t>
  </si>
  <si>
    <t>yesidramos950886@gmail.com</t>
  </si>
  <si>
    <t>46H1JB1Y</t>
  </si>
  <si>
    <t>CR 15 A 44 C 15</t>
  </si>
  <si>
    <t>jr.davidperez2020@gmail.com</t>
  </si>
  <si>
    <t>REALES HERNANDEZ JORGE ARMANDO</t>
  </si>
  <si>
    <t>S0SR59KH</t>
  </si>
  <si>
    <t>CR 27 N 12 64</t>
  </si>
  <si>
    <t>jorgereales19983@gmail.com</t>
  </si>
  <si>
    <t>REBOLLEDO CERA EDGAR DE  JESUS</t>
  </si>
  <si>
    <t>BN6Z85ZE</t>
  </si>
  <si>
    <t>CALLE 98C K1E N 210</t>
  </si>
  <si>
    <t>rebolledoceraedgardejesus@gmail.com</t>
  </si>
  <si>
    <t>OFCAYJ0D</t>
  </si>
  <si>
    <t>CL 45D N 5b 78 BR BUENOS AIRES</t>
  </si>
  <si>
    <t>retamozohernan3@gmail.com</t>
  </si>
  <si>
    <t>3RXBMRAH</t>
  </si>
  <si>
    <t>CL 108 23 A 06</t>
  </si>
  <si>
    <t>Jairalbertoreyesmoreno33@hotmail.com</t>
  </si>
  <si>
    <t>RADA CABALLERO MARIA DEL SOCORRO</t>
  </si>
  <si>
    <t>A5UHRJO5</t>
  </si>
  <si>
    <t>CL 21 26 133</t>
  </si>
  <si>
    <t>maria_rada03@hotmail.com</t>
  </si>
  <si>
    <t>CR 1E 89 62</t>
  </si>
  <si>
    <t>carlosandresricopalencia@gmail.com</t>
  </si>
  <si>
    <t>RIVERA MARCHENA FRANCISCO JOSE</t>
  </si>
  <si>
    <t>CRA 9C1CALLE 77 66</t>
  </si>
  <si>
    <t>franciscomarchena26@gmail.com</t>
  </si>
  <si>
    <t>RIVERA SOLANO JAIME LUIS</t>
  </si>
  <si>
    <t>CRA 10A#40-58</t>
  </si>
  <si>
    <t>jrivera1209@outlook.com</t>
  </si>
  <si>
    <t>ROA CERVANTES UBALDO</t>
  </si>
  <si>
    <t>8AEMMC6T</t>
  </si>
  <si>
    <t>CR 26 B</t>
  </si>
  <si>
    <t>ubaldoroscervantez@gmail.com</t>
  </si>
  <si>
    <t>ROBERT ANTONIO VARELA PADILLA</t>
  </si>
  <si>
    <t>5RUKL1YP</t>
  </si>
  <si>
    <t>CALLE 11#6A SUR -09</t>
  </si>
  <si>
    <t>robertvarela2506@gmail.com</t>
  </si>
  <si>
    <t>ROBLES HILL NATHALIA MARIA</t>
  </si>
  <si>
    <t>8EBC67O2</t>
  </si>
  <si>
    <t>CALLE 41 17C-45</t>
  </si>
  <si>
    <t>nrobleshillhill1990@gmail.com</t>
  </si>
  <si>
    <t>HAXYP0L4</t>
  </si>
  <si>
    <t>CRA 12 C 9 A 28</t>
  </si>
  <si>
    <t>jhonborrero1979@gmail.com</t>
  </si>
  <si>
    <t>RODRIGUEZ CASTILLO JOSE AIMER</t>
  </si>
  <si>
    <t>AIW21KMV</t>
  </si>
  <si>
    <t>CALLE 6122-E47</t>
  </si>
  <si>
    <t>joseaimerr@gmail.com</t>
  </si>
  <si>
    <t>RODRIGUEZ ESCALANTE GERARDO</t>
  </si>
  <si>
    <t>ANALISTA DE DPO Y KPIS</t>
  </si>
  <si>
    <t>6WMIPHJP</t>
  </si>
  <si>
    <t>G4C7P547</t>
  </si>
  <si>
    <t>CL 13 1 D 80</t>
  </si>
  <si>
    <t>Alexanderrferrer1976@gmail.com</t>
  </si>
  <si>
    <t>HECDOGNN</t>
  </si>
  <si>
    <t>DIAGONAL 5210-29</t>
  </si>
  <si>
    <t>ismaelrojano8@gmail.com</t>
  </si>
  <si>
    <t>ROJAS MANGONES JOLBERT JOAN</t>
  </si>
  <si>
    <t>CALLE 4438-18</t>
  </si>
  <si>
    <t>rojasjolbert31@gmail.com</t>
  </si>
  <si>
    <t>QYJQGKBS</t>
  </si>
  <si>
    <t>CR 76 CL 10 SUR N 61</t>
  </si>
  <si>
    <t>ROLONG DE LA TORRE JHOON FREYS</t>
  </si>
  <si>
    <t>WS2XR72M</t>
  </si>
  <si>
    <t>Calle 31 N° 21ª 02</t>
  </si>
  <si>
    <t>3013898739-300942919</t>
  </si>
  <si>
    <t>jhoonfreysrolongdelatorre@gmail.com</t>
  </si>
  <si>
    <t>CALLE 31 NUM21A 02</t>
  </si>
  <si>
    <t>rolongdelatorrejhon@gmail.com</t>
  </si>
  <si>
    <t>COOLPENSIONES</t>
  </si>
  <si>
    <t>15P0H9FR</t>
  </si>
  <si>
    <t>CR 2 N 78 37</t>
  </si>
  <si>
    <t>neris2017ariza@gmail.com</t>
  </si>
  <si>
    <t>ROPERO NIÑO GEOVANNY</t>
  </si>
  <si>
    <t>ZP3YNR1I</t>
  </si>
  <si>
    <t>calle 147#31-65</t>
  </si>
  <si>
    <t>ropero_1980@hotmail.com</t>
  </si>
  <si>
    <t>QNR3IWQM</t>
  </si>
  <si>
    <t>CRA 9L#84-202</t>
  </si>
  <si>
    <t>jorgerosas949@gmail.com</t>
  </si>
  <si>
    <t>ROYMAN STEWAR CEPEDA RUBIANO</t>
  </si>
  <si>
    <t xml:space="preserve">RUIZ BERDUGO JORDY </t>
  </si>
  <si>
    <t>AX7UFKNC</t>
  </si>
  <si>
    <t xml:space="preserve">CRA 25 # 28 A 04 BARRIO LOS ROBLES </t>
  </si>
  <si>
    <t xml:space="preserve">RUIZ RUIZ JAVIER DAVID </t>
  </si>
  <si>
    <t>8ERYKKCP</t>
  </si>
  <si>
    <t>CARRERA 34 A # 143 - 69</t>
  </si>
  <si>
    <t>PINAL DEL RIO</t>
  </si>
  <si>
    <t>davidruiz2120615@gmail.com</t>
  </si>
  <si>
    <t>9UN6ZF4W</t>
  </si>
  <si>
    <t>DG 76 G N 5C 28</t>
  </si>
  <si>
    <t>9N2QMNFI</t>
  </si>
  <si>
    <t>CRA 13C N 94-91</t>
  </si>
  <si>
    <t>salcedoricardo339@gmail.com</t>
  </si>
  <si>
    <t>6FA5PFWU</t>
  </si>
  <si>
    <t>CRA 30B#7-04 REBOLO</t>
  </si>
  <si>
    <t>hanjinsonsanchez@gmail.com</t>
  </si>
  <si>
    <t>396SQYDJ</t>
  </si>
  <si>
    <t>CL 99 9 A 41</t>
  </si>
  <si>
    <t>arghes66@hotmail.com</t>
  </si>
  <si>
    <t>M9ZT9RXO</t>
  </si>
  <si>
    <t>CL 97 CR 7 27</t>
  </si>
  <si>
    <t>IMNB8UKC</t>
  </si>
  <si>
    <t>CALLE 13A#26-137</t>
  </si>
  <si>
    <t>juniordavidsandovaldiaz@gmail.com</t>
  </si>
  <si>
    <t xml:space="preserve">SALAS ORTIZ LAURA VANESA </t>
  </si>
  <si>
    <t>PPKMJV50</t>
  </si>
  <si>
    <t>CRA 4D 57D 33</t>
  </si>
  <si>
    <t>laurasalas883@gmail.com</t>
  </si>
  <si>
    <t>SANDOVAL NIETO DANNYS ALBERTO</t>
  </si>
  <si>
    <t>J9MRLJB4</t>
  </si>
  <si>
    <t>CL 9A N 50 08</t>
  </si>
  <si>
    <t>E2HO6RDF</t>
  </si>
  <si>
    <t>CRA 927-46</t>
  </si>
  <si>
    <t>jhonsanjuan2010@gmail.com</t>
  </si>
  <si>
    <t>DJT0BZS3</t>
  </si>
  <si>
    <t>CR 19 9 14</t>
  </si>
  <si>
    <t>luiseduardosanjuan02@gmail.com</t>
  </si>
  <si>
    <t>MSE91LFA</t>
  </si>
  <si>
    <t>CRA6 54A-154</t>
  </si>
  <si>
    <t>sarmiento.john@hotmail.com</t>
  </si>
  <si>
    <t>ALIANSALUD EPS</t>
  </si>
  <si>
    <t>RKIM5ZY1</t>
  </si>
  <si>
    <t>CALLE 44#5B-67 APTO 2</t>
  </si>
  <si>
    <t>rafaeduardovilla72@hotmail.com</t>
  </si>
  <si>
    <t>SARMIENTOS JIMENEZ ELKIN GREGORIO</t>
  </si>
  <si>
    <t>CL 16 N 17 21</t>
  </si>
  <si>
    <t>elkinsarmiento977@hotmail.com</t>
  </si>
  <si>
    <t>SEGURA FUENTES JHONATAN JOSUE</t>
  </si>
  <si>
    <t>HUH1DCG7</t>
  </si>
  <si>
    <t>CRA 10#11-27</t>
  </si>
  <si>
    <t>jjsegura203@homtail.com</t>
  </si>
  <si>
    <t>SEPULVEDA SALGADO ISACC ANTONIO</t>
  </si>
  <si>
    <t>36JP3OS3</t>
  </si>
  <si>
    <t>isaacsepulveda9011@gmail.com</t>
  </si>
  <si>
    <t>EL479JVJ</t>
  </si>
  <si>
    <t>CALLE 50B 16C-43</t>
  </si>
  <si>
    <t>aass66serranoserrano@gmail.com</t>
  </si>
  <si>
    <t>88ZJWD7T</t>
  </si>
  <si>
    <t>CR 12 52 32</t>
  </si>
  <si>
    <t>sharllotte0820@gmail.com</t>
  </si>
  <si>
    <t>WQGEHR38</t>
  </si>
  <si>
    <t>DIAGONAL 52#1D-20</t>
  </si>
  <si>
    <t>yoselinsolano202022@gmail.com</t>
  </si>
  <si>
    <t>SOTO DEL ALBA KEILLYN DANIELA</t>
  </si>
  <si>
    <t>CARRERA 4 SUR # 5A - 15</t>
  </si>
  <si>
    <t>keillyndaniekasotodealba@gmail.com</t>
  </si>
  <si>
    <t>CRMMTF4Q</t>
  </si>
  <si>
    <t>CL 69 15D 26</t>
  </si>
  <si>
    <t>polsc18@hotmail.com</t>
  </si>
  <si>
    <t>9QG88RG3</t>
  </si>
  <si>
    <t>CL 27A 15 33</t>
  </si>
  <si>
    <t>anibal.suarezorozco@gmail.com</t>
  </si>
  <si>
    <t>TABORDA CARO DANIEL ENRIQUE</t>
  </si>
  <si>
    <t>SZTNB3KT</t>
  </si>
  <si>
    <t>CALLE 5B # 13 - 39</t>
  </si>
  <si>
    <t>juandilantaboadacaro9@gmail.com</t>
  </si>
  <si>
    <t>SUDAMERICANA S.A.</t>
  </si>
  <si>
    <t>ZD7X489F</t>
  </si>
  <si>
    <t>CL 104 12A 31</t>
  </si>
  <si>
    <t>TERAN BERDUGO JOSE EUGENIO</t>
  </si>
  <si>
    <t>PHQ9SW38</t>
  </si>
  <si>
    <t>TINOCO E LA ROSA JHON DAVID</t>
  </si>
  <si>
    <t>ANYCQ7C5</t>
  </si>
  <si>
    <t>26J8XMK7</t>
  </si>
  <si>
    <t>CRA 7#44B 16</t>
  </si>
  <si>
    <t>leidertorrecillavillanueva1998@gmail.com</t>
  </si>
  <si>
    <t xml:space="preserve">TORRES ANDRADE  CARLOS DANIEL </t>
  </si>
  <si>
    <t>H32GF0WV</t>
  </si>
  <si>
    <t xml:space="preserve">CALLE 48 B# 6 SUR 03 SANTO DOMINGO </t>
  </si>
  <si>
    <t>AUXILIAR DE OPERACIONES</t>
  </si>
  <si>
    <t>CARRERA 36# 107 - 15</t>
  </si>
  <si>
    <t>CADATOAN118@GMAIL.COM</t>
  </si>
  <si>
    <t>VVUYI2F1</t>
  </si>
  <si>
    <t>Calle 37D 1F1-03</t>
  </si>
  <si>
    <t>franciscotapia123gar@gmail.com</t>
  </si>
  <si>
    <t>TORRES MANJARRES DANIEL EUGENIO</t>
  </si>
  <si>
    <t>QCIMVQCM</t>
  </si>
  <si>
    <t>CRA 64#21A-36</t>
  </si>
  <si>
    <t>danieltorresmanjarrez@gmail.com</t>
  </si>
  <si>
    <t xml:space="preserve">TOSCANO DIAZ YORMAN YAIR </t>
  </si>
  <si>
    <t>6V6PRLI8</t>
  </si>
  <si>
    <t>TOVAR CUENTAS JULIO MARIO</t>
  </si>
  <si>
    <t>OPDTFYCR</t>
  </si>
  <si>
    <t>CALLE 20 A·8-03</t>
  </si>
  <si>
    <t>O6NIX8RH</t>
  </si>
  <si>
    <t>TRANSVERSAL 6#55A-184</t>
  </si>
  <si>
    <t>btovarmaldonado@gmail.com</t>
  </si>
  <si>
    <t>TRUYOL CALDERIN ALEXANDER</t>
  </si>
  <si>
    <t>R0ESEOV6</t>
  </si>
  <si>
    <t>CALLE 13A  NUM 3-123</t>
  </si>
  <si>
    <t>alexandertruyol15@gmail.com</t>
  </si>
  <si>
    <t>URREGO JIMENEZ JOSE MIGUEL</t>
  </si>
  <si>
    <t>CARRERA 35 # 55 - 46</t>
  </si>
  <si>
    <t>josemiguelurregojimeneznuevo@gmail.com</t>
  </si>
  <si>
    <t>0OZIAFDN</t>
  </si>
  <si>
    <t>CRA 3A N 53 94</t>
  </si>
  <si>
    <t>lilibethbarrancomi@gmail.com</t>
  </si>
  <si>
    <t>VALLE NARVAEZ CARLOS ALBERTO</t>
  </si>
  <si>
    <t>W87IZ26R</t>
  </si>
  <si>
    <t>CRA 2 91 85</t>
  </si>
  <si>
    <t>carlosvalle1102@gmail.com</t>
  </si>
  <si>
    <t>YJJH4WLW</t>
  </si>
  <si>
    <t>Kra 9g 131 30</t>
  </si>
  <si>
    <t>carlosvanegas27@hotmail.com</t>
  </si>
  <si>
    <t>JL31GCZF</t>
  </si>
  <si>
    <t>CR 9G 131 30</t>
  </si>
  <si>
    <t>Vanegasjaider204@gmail.com</t>
  </si>
  <si>
    <t>HQYQ9JAU</t>
  </si>
  <si>
    <t>CRA 2985A 52</t>
  </si>
  <si>
    <t>jvanegameza2a@gmail.com</t>
  </si>
  <si>
    <t>B88FN0OO</t>
  </si>
  <si>
    <t>CR 19 B N 51 23</t>
  </si>
  <si>
    <t>jjvl67@hotmail.com</t>
  </si>
  <si>
    <t>W2D8BQQW</t>
  </si>
  <si>
    <t>CR 6C 28 1 35</t>
  </si>
  <si>
    <t>opquickwilliamv@gmail.com</t>
  </si>
  <si>
    <t>VARGAS PEREZ HAROLD ALFONSO</t>
  </si>
  <si>
    <t>OJTVPAG0</t>
  </si>
  <si>
    <t>CR 10 N 26 23</t>
  </si>
  <si>
    <t>haroldvargas@hotmail.com</t>
  </si>
  <si>
    <t>VASQUEZ BOLIVAR MIGUEL ANGEL</t>
  </si>
  <si>
    <t>SJKM662U</t>
  </si>
  <si>
    <t xml:space="preserve">CALLE 54 N 6-10 </t>
  </si>
  <si>
    <t xml:space="preserve">XFSZIQGY
</t>
  </si>
  <si>
    <t>CL 18 N 9-23</t>
  </si>
  <si>
    <t>vasquezmirandaluis.26@gmail.com</t>
  </si>
  <si>
    <t>0/03/2024</t>
  </si>
  <si>
    <t>E23K2019</t>
  </si>
  <si>
    <t>CL 19 44 1 35</t>
  </si>
  <si>
    <t>Ayleendelahoz1012@gmail.com</t>
  </si>
  <si>
    <t>VEGA DE ALBA HUGO RAFAEL</t>
  </si>
  <si>
    <t>AUXILIAR DE TORRE DE CONTROL KA</t>
  </si>
  <si>
    <t>EOGFZP0V</t>
  </si>
  <si>
    <t>CR 1 E 88 28</t>
  </si>
  <si>
    <t>vegahugo189@gmail.com</t>
  </si>
  <si>
    <t>VEGA DE ALBA MILTON JAVIER</t>
  </si>
  <si>
    <t>VAXHVAD9</t>
  </si>
  <si>
    <t>CR 1 E N 88 28</t>
  </si>
  <si>
    <t>miltonvegadealba@gmail.com</t>
  </si>
  <si>
    <t>4YEWONVP</t>
  </si>
  <si>
    <t>CR 4C 50A 40</t>
  </si>
  <si>
    <t>jonarvela0323@gmail.com</t>
  </si>
  <si>
    <t>VELASQUEZ RANGEL LEONEL DE JESUS</t>
  </si>
  <si>
    <t>QQM98LM6</t>
  </si>
  <si>
    <t>leonelvelasquez1995@gmail.com</t>
  </si>
  <si>
    <t>XFUYT7WB</t>
  </si>
  <si>
    <t>CL 34 N 34 08</t>
  </si>
  <si>
    <t>samirvergaravergara@gmail.com</t>
  </si>
  <si>
    <t>VESGA CASTRO RICARDO ANTONIO</t>
  </si>
  <si>
    <t>ZIW67X8W</t>
  </si>
  <si>
    <t>CALLE 18 # 42 - 213</t>
  </si>
  <si>
    <t>vesgacastro16@gmail.com</t>
  </si>
  <si>
    <t>VICTOR JOSUE SILVERA SALAZAR</t>
  </si>
  <si>
    <t>2PVC98ZC</t>
  </si>
  <si>
    <t>CRA 44 No. 22 - 51</t>
  </si>
  <si>
    <t>jossuesilvera812@gmail.com</t>
  </si>
  <si>
    <t>VIDAL SANTOS ARNOLD YAIR</t>
  </si>
  <si>
    <t>Z63AVRPF</t>
  </si>
  <si>
    <t>DIAGONAL 76F #6C-24</t>
  </si>
  <si>
    <t>orozco1508martha@gmail.com</t>
  </si>
  <si>
    <t>VIDAL TRUJILLO XILENA MARIA</t>
  </si>
  <si>
    <t>CR 10 # 50 - 26</t>
  </si>
  <si>
    <t>bARRANQUILLA</t>
  </si>
  <si>
    <t>VILLA CARREÑO YOSIMAR JOSE</t>
  </si>
  <si>
    <t>EB56B220</t>
  </si>
  <si>
    <t>Calle 9 #11-59</t>
  </si>
  <si>
    <t>MANATI</t>
  </si>
  <si>
    <t>3013144640 - 3218517227</t>
  </si>
  <si>
    <t>yosimarvilla08@gmail.com</t>
  </si>
  <si>
    <t>GN9R1QWY</t>
  </si>
  <si>
    <t>CRA 32#15-69</t>
  </si>
  <si>
    <t>mv1814325@gmail.com</t>
  </si>
  <si>
    <t>DPNBNP7O</t>
  </si>
  <si>
    <t>CR 19 N 15 B 03</t>
  </si>
  <si>
    <t>aldairvm999@hotmail.com</t>
  </si>
  <si>
    <t>ADCKXPMB</t>
  </si>
  <si>
    <t>CRA 1A1#15-49</t>
  </si>
  <si>
    <t>joseluisvillarrealorozco@hotmail.com</t>
  </si>
  <si>
    <t>5MSGE2AE</t>
  </si>
  <si>
    <t>calle 54#34-28</t>
  </si>
  <si>
    <t>Jesusvillarreal359@gmail.com</t>
  </si>
  <si>
    <t>H7T0H6SC</t>
  </si>
  <si>
    <t>CR 1 1N 15 34</t>
  </si>
  <si>
    <t>robertovillarealmov@gmail.com</t>
  </si>
  <si>
    <t>VILLARROEL URRUETA JULIANNY VALERIA</t>
  </si>
  <si>
    <t>UFK4FYV2</t>
  </si>
  <si>
    <t>calle 78 1b-57</t>
  </si>
  <si>
    <t>N/A</t>
  </si>
  <si>
    <t>I3JVHXMW</t>
  </si>
  <si>
    <t>CR 26</t>
  </si>
  <si>
    <t>WELL  DE LAS SALAS NILSON RAFAEL</t>
  </si>
  <si>
    <t>CRA 43A 33-39</t>
  </si>
  <si>
    <t>nilsonwell@hotmail.com</t>
  </si>
  <si>
    <t>YARLIS GUZMAN</t>
  </si>
  <si>
    <t>3119268T</t>
  </si>
  <si>
    <t>CALLE 71 #41 - 194</t>
  </si>
  <si>
    <t>yarlisgr1510@gmail.com</t>
  </si>
  <si>
    <t>CAJACOPI EPS S.A.S</t>
  </si>
  <si>
    <t>EYP8267J</t>
  </si>
  <si>
    <t>COUNTA of NÚMERO DE DOCUMENTO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</si>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</sst>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\-m\-yyyy"/>
    <numFmt numFmtId="166" formatCode="d/m/yyyy"/>
    <numFmt numFmtId="167" formatCode="dd\-mm\-yyyy"/>
    <numFmt numFmtId="168" formatCode="mm/dd/yyyy"/>
  </numFmts>
  <fonts count="29" x14ac:knownFonts="1">
    <font>
      <sz val="10"/>
      <color rgb="FF000000"/>
      <name val="Arial"/>
      <scheme val="minor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D0D0D"/>
      <name val="Calibri"/>
      <family val="2"/>
    </font>
    <font>
      <u/>
      <sz val="11"/>
      <color rgb="FF467886"/>
      <name val="Calibri"/>
      <family val="2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1"/>
      <color rgb="FF1155CC"/>
      <name val="Calibri"/>
      <family val="2"/>
    </font>
    <font>
      <u/>
      <sz val="11"/>
      <color rgb="FF467886"/>
      <name val="Calibri"/>
      <family val="2"/>
    </font>
    <font>
      <u/>
      <sz val="11"/>
      <color rgb="FF1155CC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</font>
    <font>
      <sz val="11"/>
      <color rgb="FF467886"/>
      <name val="Calibri"/>
      <family val="2"/>
    </font>
    <font>
      <b/>
      <sz val="11"/>
      <color rgb="FF0D0D0D"/>
      <name val="Calibri"/>
      <family val="2"/>
    </font>
    <font>
      <u/>
      <sz val="11"/>
      <color rgb="FF0000FF"/>
      <name val="Calibri"/>
      <family val="2"/>
    </font>
    <font>
      <sz val="10"/>
      <color theme="1"/>
      <name val="Calibri"/>
      <family val="2"/>
    </font>
    <font>
      <u/>
      <sz val="11"/>
      <color rgb="FF1155CC"/>
      <name val="Calibri"/>
      <family val="2"/>
    </font>
    <font>
      <sz val="11"/>
      <color rgb="FF1F1F1F"/>
      <name val="Calibri"/>
      <family val="2"/>
    </font>
    <font>
      <sz val="11"/>
      <name val="Calibri"/>
      <family val="2"/>
    </font>
    <font>
      <u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EAFF1D"/>
        <bgColor rgb="FFEAFF1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F9ED5"/>
      </left>
      <right style="thin">
        <color rgb="FF0F9ED5"/>
      </right>
      <top style="thin">
        <color rgb="FF0F9ED5"/>
      </top>
      <bottom style="thin">
        <color rgb="FF0F9ED5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5" borderId="1" xfId="0" applyFont="1" applyFill="1" applyBorder="1"/>
    <xf numFmtId="164" fontId="5" fillId="0" borderId="1" xfId="0" applyNumberFormat="1" applyFont="1" applyBorder="1"/>
    <xf numFmtId="0" fontId="3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5" borderId="1" xfId="0" applyFont="1" applyFill="1" applyBorder="1"/>
    <xf numFmtId="164" fontId="5" fillId="5" borderId="1" xfId="0" applyNumberFormat="1" applyFont="1" applyFill="1" applyBorder="1"/>
    <xf numFmtId="0" fontId="7" fillId="6" borderId="1" xfId="0" applyFont="1" applyFill="1" applyBorder="1" applyAlignment="1">
      <alignment horizontal="left"/>
    </xf>
    <xf numFmtId="165" fontId="7" fillId="5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166" fontId="5" fillId="0" borderId="1" xfId="0" applyNumberFormat="1" applyFont="1" applyBorder="1"/>
    <xf numFmtId="164" fontId="7" fillId="0" borderId="0" xfId="0" applyNumberFormat="1" applyFont="1" applyAlignment="1">
      <alignment horizontal="center"/>
    </xf>
    <xf numFmtId="166" fontId="5" fillId="8" borderId="1" xfId="0" applyNumberFormat="1" applyFont="1" applyFill="1" applyBorder="1"/>
    <xf numFmtId="49" fontId="7" fillId="0" borderId="1" xfId="0" applyNumberFormat="1" applyFont="1" applyBorder="1" applyAlignment="1">
      <alignment horizontal="center"/>
    </xf>
    <xf numFmtId="166" fontId="7" fillId="8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164" fontId="7" fillId="5" borderId="0" xfId="0" applyNumberFormat="1" applyFont="1" applyFill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1" fillId="5" borderId="1" xfId="0" applyFont="1" applyFill="1" applyBorder="1"/>
    <xf numFmtId="164" fontId="5" fillId="5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/>
    <xf numFmtId="0" fontId="11" fillId="5" borderId="1" xfId="0" applyFont="1" applyFill="1" applyBorder="1" applyAlignment="1">
      <alignment horizontal="center"/>
    </xf>
    <xf numFmtId="49" fontId="5" fillId="0" borderId="1" xfId="0" applyNumberFormat="1" applyFont="1" applyBorder="1"/>
    <xf numFmtId="0" fontId="12" fillId="0" borderId="1" xfId="0" applyFont="1" applyBorder="1"/>
    <xf numFmtId="167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14" fontId="7" fillId="5" borderId="1" xfId="0" applyNumberFormat="1" applyFont="1" applyFill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5" fontId="5" fillId="0" borderId="1" xfId="0" applyNumberFormat="1" applyFont="1" applyBorder="1"/>
    <xf numFmtId="165" fontId="7" fillId="0" borderId="1" xfId="0" applyNumberFormat="1" applyFont="1" applyBorder="1" applyAlignment="1">
      <alignment horizontal="center"/>
    </xf>
    <xf numFmtId="165" fontId="5" fillId="0" borderId="0" xfId="0" applyNumberFormat="1" applyFont="1"/>
    <xf numFmtId="0" fontId="13" fillId="5" borderId="1" xfId="0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166" fontId="5" fillId="5" borderId="1" xfId="0" applyNumberFormat="1" applyFont="1" applyFill="1" applyBorder="1"/>
    <xf numFmtId="166" fontId="7" fillId="5" borderId="0" xfId="0" applyNumberFormat="1" applyFont="1" applyFill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0" fontId="7" fillId="0" borderId="3" xfId="0" applyFont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0" fontId="5" fillId="5" borderId="0" xfId="0" applyFont="1" applyFill="1"/>
    <xf numFmtId="0" fontId="7" fillId="6" borderId="4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164" fontId="7" fillId="5" borderId="1" xfId="0" applyNumberFormat="1" applyFont="1" applyFill="1" applyBorder="1"/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5" borderId="1" xfId="0" applyFont="1" applyFill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6" fontId="7" fillId="6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left"/>
    </xf>
    <xf numFmtId="0" fontId="19" fillId="0" borderId="1" xfId="0" applyFont="1" applyBorder="1" applyAlignment="1">
      <alignment horizontal="center"/>
    </xf>
    <xf numFmtId="164" fontId="7" fillId="5" borderId="6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4" fontId="5" fillId="5" borderId="0" xfId="0" applyNumberFormat="1" applyFont="1" applyFill="1"/>
    <xf numFmtId="14" fontId="5" fillId="5" borderId="1" xfId="0" applyNumberFormat="1" applyFont="1" applyFill="1" applyBorder="1"/>
    <xf numFmtId="0" fontId="21" fillId="5" borderId="1" xfId="0" applyFont="1" applyFill="1" applyBorder="1" applyAlignment="1">
      <alignment horizontal="center"/>
    </xf>
    <xf numFmtId="0" fontId="22" fillId="5" borderId="1" xfId="0" applyFont="1" applyFill="1" applyBorder="1"/>
    <xf numFmtId="0" fontId="18" fillId="5" borderId="1" xfId="0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/>
    </xf>
    <xf numFmtId="164" fontId="5" fillId="6" borderId="0" xfId="0" applyNumberFormat="1" applyFont="1" applyFill="1"/>
    <xf numFmtId="0" fontId="5" fillId="6" borderId="0" xfId="0" applyFont="1" applyFill="1"/>
    <xf numFmtId="168" fontId="7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1" xfId="0" quotePrefix="1" applyFont="1" applyFill="1" applyBorder="1" applyAlignment="1">
      <alignment horizontal="center"/>
    </xf>
    <xf numFmtId="0" fontId="12" fillId="6" borderId="0" xfId="0" applyFont="1" applyFill="1"/>
    <xf numFmtId="167" fontId="7" fillId="5" borderId="1" xfId="0" applyNumberFormat="1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165" fontId="5" fillId="5" borderId="1" xfId="0" applyNumberFormat="1" applyFont="1" applyFill="1" applyBorder="1"/>
    <xf numFmtId="0" fontId="7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4" fontId="5" fillId="5" borderId="5" xfId="0" applyNumberFormat="1" applyFont="1" applyFill="1" applyBorder="1"/>
    <xf numFmtId="0" fontId="7" fillId="0" borderId="3" xfId="0" applyFont="1" applyBorder="1"/>
    <xf numFmtId="164" fontId="7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164" fontId="5" fillId="0" borderId="4" xfId="0" applyNumberFormat="1" applyFont="1" applyBorder="1"/>
    <xf numFmtId="0" fontId="7" fillId="5" borderId="3" xfId="0" applyFont="1" applyFill="1" applyBorder="1"/>
    <xf numFmtId="0" fontId="7" fillId="7" borderId="3" xfId="0" applyFont="1" applyFill="1" applyBorder="1" applyAlignment="1">
      <alignment horizontal="center"/>
    </xf>
    <xf numFmtId="164" fontId="5" fillId="5" borderId="4" xfId="0" applyNumberFormat="1" applyFont="1" applyFill="1" applyBorder="1"/>
    <xf numFmtId="164" fontId="7" fillId="5" borderId="4" xfId="0" applyNumberFormat="1" applyFont="1" applyFill="1" applyBorder="1" applyAlignment="1">
      <alignment horizontal="center"/>
    </xf>
    <xf numFmtId="0" fontId="7" fillId="5" borderId="5" xfId="0" applyFont="1" applyFill="1" applyBorder="1"/>
    <xf numFmtId="164" fontId="5" fillId="5" borderId="3" xfId="0" applyNumberFormat="1" applyFont="1" applyFill="1" applyBorder="1"/>
    <xf numFmtId="166" fontId="7" fillId="0" borderId="3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6" fontId="5" fillId="8" borderId="3" xfId="0" applyNumberFormat="1" applyFont="1" applyFill="1" applyBorder="1"/>
    <xf numFmtId="0" fontId="7" fillId="5" borderId="9" xfId="0" applyFont="1" applyFill="1" applyBorder="1" applyAlignment="1">
      <alignment horizontal="center"/>
    </xf>
    <xf numFmtId="0" fontId="7" fillId="0" borderId="4" xfId="0" applyFont="1" applyBorder="1"/>
    <xf numFmtId="0" fontId="7" fillId="5" borderId="10" xfId="0" applyFont="1" applyFill="1" applyBorder="1"/>
    <xf numFmtId="0" fontId="7" fillId="5" borderId="4" xfId="0" applyFont="1" applyFill="1" applyBorder="1"/>
    <xf numFmtId="0" fontId="26" fillId="5" borderId="1" xfId="0" applyFont="1" applyFill="1" applyBorder="1" applyAlignment="1">
      <alignment horizontal="center"/>
    </xf>
    <xf numFmtId="0" fontId="7" fillId="5" borderId="0" xfId="0" applyFont="1" applyFill="1"/>
    <xf numFmtId="166" fontId="5" fillId="5" borderId="0" xfId="0" applyNumberFormat="1" applyFont="1" applyFill="1"/>
    <xf numFmtId="0" fontId="11" fillId="0" borderId="1" xfId="0" applyFont="1" applyBorder="1"/>
    <xf numFmtId="0" fontId="7" fillId="0" borderId="0" xfId="0" applyFont="1" applyAlignment="1">
      <alignment horizontal="left"/>
    </xf>
    <xf numFmtId="0" fontId="0" fillId="0" borderId="11" xfId="0" pivotButton="1" applyBorder="1"/>
    <xf numFmtId="0" fontId="0" fillId="0" borderId="12" xfId="0" applyBorder="1"/>
    <xf numFmtId="0" fontId="0" fillId="0" borderId="11" xfId="0" applyBorder="1"/>
    <xf numFmtId="0" fontId="0" fillId="0" borderId="12" xfId="0" applyNumberFormat="1" applyBorder="1"/>
    <xf numFmtId="0" fontId="0" fillId="0" borderId="13" xfId="0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0" fillId="0" borderId="16" xfId="0" pivotButton="1" applyBorder="1"/>
    <xf numFmtId="0" fontId="0" fillId="0" borderId="16" xfId="0" applyBorder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60.556115277781" refreshedVersion="8" recordCount="132" xr:uid="{00000000-000A-0000-FFFF-FFFF00000000}">
  <cacheSource type="worksheet">
    <worksheetSource ref="A1:AG133" sheet="ACTIVOS"/>
  </cacheSource>
  <cacheFields count="33">
    <cacheField name="TIPO DE PERSONAL" numFmtId="0">
      <sharedItems count="2">
        <s v="OPERATIVO"/>
        <s v="ADMINISTRATIVO"/>
      </sharedItems>
    </cacheField>
    <cacheField name="ESTADO" numFmtId="0">
      <sharedItems/>
    </cacheField>
    <cacheField name="GEOVICTORIA" numFmtId="0">
      <sharedItems/>
    </cacheField>
    <cacheField name="TIPO DE DOCUMENTO" numFmtId="0">
      <sharedItems/>
    </cacheField>
    <cacheField name="NÚMERO DE DOCUMENTO" numFmtId="0">
      <sharedItems containsSemiMixedTypes="0" containsString="0" containsNumber="1" containsInteger="1" minValue="1480603" maxValue="1221973541"/>
    </cacheField>
    <cacheField name="APELLIDOS Y NOMBRES" numFmtId="0">
      <sharedItems/>
    </cacheField>
    <cacheField name="CARGO" numFmtId="0">
      <sharedItems count="23">
        <s v="CONDUCTOR"/>
        <s v="AUXILIAR DE REPARTO"/>
        <s v="RESPONSABLE DE RUTA "/>
        <s v="AUXILIAR DE TALENTO HUMANO"/>
        <s v="CONDUCTOR "/>
        <s v="JORNADA LABORAL"/>
        <s v="SUPERVISOR DE SEGURIDAD"/>
        <s v="OFICIOS VARIOS"/>
        <s v="COORDINADOR SST"/>
        <s v="LÍDER DE DISTRIBUCIÓN"/>
        <s v="CONDUCTOR RR"/>
        <s v="GERENTE JUNIOR"/>
        <s v="AUXILIAR DE LIQUIDACION"/>
        <s v="COORDINADORA DE TALENTO HUMANO "/>
        <s v="COORDINADOR ADMINISTRATIVO"/>
        <s v="TORRE DE CONTROL"/>
        <s v="CONCTAC CENTER "/>
        <s v="SUPERVISOR DE DISTRIBUCION "/>
        <s v="MOVILIZADOR"/>
        <s v="COORDINADOR DPO"/>
        <s v="AUXILIAR SAC "/>
        <s v="AUXILIAR SST"/>
        <s v="SUPERVISOR DE TRANSPORTE "/>
      </sharedItems>
    </cacheField>
    <cacheField name="QR SAFETY" numFmtId="0">
      <sharedItems containsBlank="1"/>
    </cacheField>
    <cacheField name="FECHA DE INGRESO" numFmtId="0">
      <sharedItems containsSemiMixedTypes="0" containsNonDate="0" containsDate="1" containsString="0" minDate="2025-06-23T00:00:00" maxDate="2026-05-24T00:00:00"/>
    </cacheField>
    <cacheField name="PAIS DE NACIMIENTO" numFmtId="0">
      <sharedItems/>
    </cacheField>
    <cacheField name="FECHA DE NACIMIENTO" numFmtId="0">
      <sharedItems containsSemiMixedTypes="0" containsNonDate="0" containsDate="1" containsString="0" minDate="1955-05-13T00:00:00" maxDate="2005-06-03T00:00:00"/>
    </cacheField>
    <cacheField name="AÑOS" numFmtId="0">
      <sharedItems containsSemiMixedTypes="0" containsString="0" containsNumber="1" containsInteger="1" minValue="21" maxValue="71"/>
    </cacheField>
    <cacheField name="GENERO" numFmtId="0">
      <sharedItems/>
    </cacheField>
    <cacheField name="ESTADO CIVIL" numFmtId="0">
      <sharedItems/>
    </cacheField>
    <cacheField name="GRUPO SANGUINEO" numFmtId="0">
      <sharedItems/>
    </cacheField>
    <cacheField name="FACTOR RH" numFmtId="0">
      <sharedItems/>
    </cacheField>
    <cacheField name="NACIONALIDAD" numFmtId="0">
      <sharedItems/>
    </cacheField>
    <cacheField name="DIRECCION RESIDENCIA" numFmtId="0">
      <sharedItems containsBlank="1"/>
    </cacheField>
    <cacheField name="CIUDAD DE RESIDENCIA" numFmtId="0">
      <sharedItems containsBlank="1"/>
    </cacheField>
    <cacheField name="BARRIO" numFmtId="0">
      <sharedItems containsBlank="1"/>
    </cacheField>
    <cacheField name="CELULAR" numFmtId="0">
      <sharedItems containsBlank="1" containsMixedTypes="1" containsNumber="1" containsInteger="1" minValue="3001644994" maxValue="30053009504"/>
    </cacheField>
    <cacheField name="E MAIL" numFmtId="0">
      <sharedItems containsBlank="1"/>
    </cacheField>
    <cacheField name="EPS" numFmtId="0">
      <sharedItems containsBlank="1"/>
    </cacheField>
    <cacheField name="AFP" numFmtId="0">
      <sharedItems containsBlank="1"/>
    </cacheField>
    <cacheField name="NUMERO DE CUENTA" numFmtId="0">
      <sharedItems containsMixedTypes="1" containsNumber="1" containsInteger="1" minValue="3008366045" maxValue="550029700105645"/>
    </cacheField>
    <cacheField name="BANCO" numFmtId="0">
      <sharedItems/>
    </cacheField>
    <cacheField name="NUMERO DE TELEFONO DE EMERGENCIA " numFmtId="0">
      <sharedItems containsDate="1" containsBlank="1" containsMixedTypes="1" minDate="2026-03-24T00:00:00" maxDate="1900-01-01T13:53:05"/>
    </cacheField>
    <cacheField name="PARIENTE EN CASO DE EMERGENCIA " numFmtId="0">
      <sharedItems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s v="ACTIVO"/>
    <s v="SIN GEOVICTORIA"/>
    <s v="Cédula de Ciudadania"/>
    <n v="1001878271"/>
    <s v="ACOSTA MORENO YEINER JESUS"/>
    <x v="0"/>
    <s v="8WV5WGZT"/>
    <d v="2026-05-14T00:00:00"/>
    <s v="COLOMBIA"/>
    <d v="2000-10-09T00:00:00"/>
    <n v="25"/>
    <s v="Masculino"/>
    <s v="Unión Libre"/>
    <s v="O"/>
    <s v="POSITIVO"/>
    <s v="Colombiano"/>
    <s v="DIAGONAL 81 # 62 - 6P 34"/>
    <s v="SOLEDAD"/>
    <s v="NUEVA ESPERANZA"/>
    <n v="3245996665"/>
    <s v="yeiner09jusus@gmail.com"/>
    <s v="SALUD TOTAL"/>
    <s v="CONLFONDOS"/>
    <n v="77084343709"/>
    <s v="Bancolombia"/>
    <d v="2026-03-24T00:00:00"/>
    <m/>
    <m/>
    <m/>
    <m/>
    <m/>
    <m/>
  </r>
  <r>
    <x v="0"/>
    <s v="ACTIVO"/>
    <s v="CON GEOVICTORIA"/>
    <s v="Cédula de Ciudadania"/>
    <n v="1043014004"/>
    <s v="ACUÑA CARMONA OSCAR EDUARDO"/>
    <x v="0"/>
    <s v="OP5DOEXR"/>
    <d v="2025-09-13T00:00:00"/>
    <s v="COLOMBIA"/>
    <d v="1993-12-09T00:00:00"/>
    <n v="32"/>
    <s v="Masculino"/>
    <s v="Unión Libre"/>
    <s v="A"/>
    <s v="POSITIVO"/>
    <s v="Colombiano"/>
    <s v="CALLE4#2-186"/>
    <s v="SABANALARGA"/>
    <s v="EL TEMPLO"/>
    <n v="3022955907"/>
    <s v="OSCARACA09@GMAIL.COM"/>
    <s v="NUEVA EPS"/>
    <s v="PORVENIR"/>
    <s v="48700001106"/>
    <s v="Bancolombia"/>
    <m/>
    <m/>
    <m/>
    <m/>
    <m/>
    <m/>
    <m/>
  </r>
  <r>
    <x v="0"/>
    <s v="ACTIVO"/>
    <s v="CON GEOVICTORIA"/>
    <s v="Cédula de Ciudadania"/>
    <n v="72055821"/>
    <s v="ALVAREZ MEZA WILMER ENRIQUE"/>
    <x v="1"/>
    <s v="ASI7S3PO"/>
    <d v="2025-06-23T00:00:00"/>
    <s v="COLOMBIA"/>
    <d v="1982-09-24T00:00:00"/>
    <n v="43"/>
    <s v="Masculino"/>
    <s v="Unión Libre"/>
    <s v="A"/>
    <s v="POSITIVO"/>
    <s v="Colombiano"/>
    <s v="CR 6K 96B 125"/>
    <s v="BARRANQUILLA"/>
    <m/>
    <n v="3217729488"/>
    <s v="wilmeralvarez275@gmail.com"/>
    <s v="EPS SURA"/>
    <s v="COLFONDOS"/>
    <s v="48143509365"/>
    <s v="Bancolombia"/>
    <m/>
    <m/>
    <m/>
    <m/>
    <m/>
    <m/>
    <m/>
  </r>
  <r>
    <x v="0"/>
    <s v="ACTIVO"/>
    <s v="CON GEOVICTORIA"/>
    <s v="Cédula de Ciudadania"/>
    <n v="1043444477"/>
    <s v="AREVALO RODRIGUEZ RICARDO REY"/>
    <x v="1"/>
    <s v="ZS727AVY"/>
    <d v="2025-08-22T00:00:00"/>
    <s v="COLOMBIA"/>
    <d v="1988-02-19T00:00:00"/>
    <n v="38"/>
    <s v="Masculino"/>
    <s v="Casado(a)"/>
    <s v="O"/>
    <s v="POSITIVO"/>
    <s v="Colombiano"/>
    <s v="CARRERA 15 E # 71 - 52"/>
    <s v="BARRANQUILLA"/>
    <m/>
    <n v="3161667519"/>
    <m/>
    <s v="SALUD TOTAL"/>
    <s v="COLFONDOS"/>
    <s v="3161667519"/>
    <s v="NEQUI"/>
    <m/>
    <m/>
    <m/>
    <m/>
    <m/>
    <m/>
    <m/>
  </r>
  <r>
    <x v="0"/>
    <s v="ACTIVO"/>
    <s v="CON GEOVICTORIA"/>
    <s v="Cédula de Ciudadania"/>
    <n v="1007280257"/>
    <s v="ARIZA BELEÑO LUIS ALEJANDRO"/>
    <x v="2"/>
    <s v="V1VF2B1I"/>
    <d v="2025-06-23T00:00:00"/>
    <s v="COLOMBIA"/>
    <d v="1995-08-19T00:00:00"/>
    <n v="31"/>
    <s v="Masculino"/>
    <s v="Unión Libre"/>
    <s v="O"/>
    <s v="POSITIVO"/>
    <s v="Colombiano"/>
    <s v="CR 118 87"/>
    <s v="BARRANQUILLA"/>
    <m/>
    <n v="3136822365"/>
    <s v="elmellomotog6@gmail.com"/>
    <s v="SALUD TOTAL S.A."/>
    <s v="PORVENIR"/>
    <s v="8600003872"/>
    <s v="Bancolombia"/>
    <m/>
    <m/>
    <m/>
    <m/>
    <m/>
    <m/>
    <m/>
  </r>
  <r>
    <x v="1"/>
    <s v="ACTIVO"/>
    <s v="SIN GEOVICTORIA"/>
    <s v="Cédula de Ciudadania"/>
    <n v="1005627773"/>
    <s v="AYUBB ROHENEZ FABIANA ANDREA"/>
    <x v="3"/>
    <s v="XRT0ZB35"/>
    <d v="2025-07-09T00:00:00"/>
    <s v="COLOMBIA"/>
    <d v="2002-01-03T00:00:00"/>
    <n v="23"/>
    <s v="Femenino"/>
    <s v="Unión Libre"/>
    <s v="O"/>
    <s v="POSITIVO"/>
    <s v="Colombiano"/>
    <s v="CL 14 1A 25"/>
    <s v="BARRANQUILLA"/>
    <m/>
    <n v="3022256443"/>
    <s v="fabiana.ayubb@logisticos.co"/>
    <s v="EPS SURA"/>
    <s v="ADMINISTRADORA COLOMBIANA DE PENSIONES COLPENSIONES"/>
    <s v="3115413585"/>
    <s v="Davivienda"/>
    <m/>
    <m/>
    <m/>
    <m/>
    <m/>
    <m/>
    <m/>
  </r>
  <r>
    <x v="0"/>
    <s v="ACTIVO"/>
    <s v="CON GEOVICTORIA"/>
    <s v="Cédula de Ciudadania"/>
    <n v="4282127"/>
    <s v="AGUIRRE MAURICIO OSWALDO "/>
    <x v="4"/>
    <m/>
    <d v="2026-01-28T00:00:00"/>
    <s v="COLOMBIA"/>
    <d v="1974-05-12T00:00:00"/>
    <n v="52"/>
    <s v="Masculino"/>
    <s v="Unión Libre"/>
    <s v="O"/>
    <s v="POSITIVO"/>
    <s v="Colombiano"/>
    <s v="CARRERA 40 # 12-56 "/>
    <s v="GALAPA "/>
    <s v="MUNDO FELIZ "/>
    <n v="3115000145"/>
    <s v="OSWUAL15@GMAIL.COM "/>
    <s v="SANITAS"/>
    <s v="PORVENIR"/>
    <n v="3115000145"/>
    <s v="Davivienda"/>
    <n v="3023358217"/>
    <m/>
    <m/>
    <m/>
    <m/>
    <m/>
    <m/>
  </r>
  <r>
    <x v="0"/>
    <s v="ACTIVO"/>
    <s v="CON GEOVICTORIA"/>
    <s v="Cédula de Ciudadania"/>
    <n v="1129498997"/>
    <s v="BARRIOS JIMENEZ JAVID ENRIQUE"/>
    <x v="2"/>
    <s v="DDL7VGMY"/>
    <d v="2025-06-23T00:00:00"/>
    <s v="COLOMBIA"/>
    <d v="1984-04-06T00:00:00"/>
    <n v="42"/>
    <s v="Masculino"/>
    <s v="Unión Libre"/>
    <s v="O"/>
    <s v="POSITIVO"/>
    <s v="Colombiano"/>
    <s v="CL 73C 3E 97"/>
    <s v="BARRANQUILLA"/>
    <m/>
    <n v="3246035593"/>
    <s v="javidbarriosjimenez@gmail.com"/>
    <s v="EPS SURA"/>
    <s v="COLFONDOS"/>
    <s v="8600003790"/>
    <s v="Bancolombia"/>
    <m/>
    <m/>
    <m/>
    <m/>
    <m/>
    <m/>
    <m/>
  </r>
  <r>
    <x v="0"/>
    <s v="ACTIVO"/>
    <s v="CON GEOVICTORIA"/>
    <s v="Cédula de Ciudadania"/>
    <n v="1043444332"/>
    <s v="AREVALO RODRIGUEZ LUIS ENRIQUE "/>
    <x v="0"/>
    <m/>
    <d v="2026-02-03T00:00:00"/>
    <s v="COLOMBIA"/>
    <d v="1987-11-29T00:00:00"/>
    <n v="38"/>
    <s v="Masculino"/>
    <s v="Unión Libre"/>
    <s v="B"/>
    <s v="POSITIVO"/>
    <s v="Colombiano"/>
    <s v="CALLE 99 2 SUR 43"/>
    <s v="BARRANQUILLA"/>
    <s v="VILLA SAN CARLOS "/>
    <n v="3011699688"/>
    <s v="LUISENRIQUEAREVALORODRIGUEZ1987@GMAIL.COM "/>
    <s v="MUTUAL SER "/>
    <s v="PORVENIR"/>
    <n v="3011699688"/>
    <s v="Davivienda"/>
    <n v="3003353722"/>
    <m/>
    <m/>
    <m/>
    <m/>
    <m/>
    <m/>
  </r>
  <r>
    <x v="0"/>
    <s v="ACTIVO"/>
    <s v="CON GEOVICTORIA"/>
    <s v="permiso de Protección Temporal"/>
    <n v="5799530"/>
    <s v="BERMUDEZ DIAZ EDUARDO JOSE"/>
    <x v="2"/>
    <s v="MTO4HDYU"/>
    <d v="2025-08-01T00:00:00"/>
    <s v="COLOMBIA"/>
    <d v="1988-08-06T00:00:00"/>
    <n v="38"/>
    <s v="Masculino"/>
    <s v="Unión Libre"/>
    <s v="O"/>
    <s v="POSITIVO"/>
    <s v="Venezolano"/>
    <s v="CARRERA 6B # 96A - 53"/>
    <s v="BARRANQUILLA"/>
    <m/>
    <n v="3002921153"/>
    <m/>
    <m/>
    <m/>
    <s v="3002921153"/>
    <s v="Davivienda"/>
    <m/>
    <m/>
    <m/>
    <m/>
    <m/>
    <m/>
    <m/>
  </r>
  <r>
    <x v="0"/>
    <s v="ACTIVO"/>
    <s v="CON GEOVICTORIA"/>
    <s v="Cédula de Ciudadania"/>
    <n v="1002230833"/>
    <s v="BUELVAS GUZMAN ANDRES DANILO"/>
    <x v="2"/>
    <s v="1VEX9VEX"/>
    <d v="2025-06-23T00:00:00"/>
    <s v="COLOMBIA"/>
    <d v="1997-10-07T00:00:00"/>
    <n v="28"/>
    <s v="Masculino"/>
    <s v="Unión Libre"/>
    <s v="O"/>
    <s v="POSITIVO"/>
    <s v="Colombiano"/>
    <s v="CL 62 A 12 16"/>
    <s v="BARRANQUILLA"/>
    <m/>
    <n v="3113876034"/>
    <s v="andresdanilobuelvas@gmail.com"/>
    <s v="NUEVA EPS"/>
    <s v="PROTECCIÓN"/>
    <s v="8600003771"/>
    <s v="Bancolombia"/>
    <m/>
    <m/>
    <m/>
    <m/>
    <m/>
    <m/>
    <m/>
  </r>
  <r>
    <x v="0"/>
    <s v="ACTIVO"/>
    <s v="CON GEOVICTORIA"/>
    <s v="Cédula de Ciudadania"/>
    <n v="1045734788"/>
    <s v="CABALLERO MURILLO DANIEL STIVEN"/>
    <x v="2"/>
    <s v="XF1K7O91"/>
    <d v="2025-06-23T00:00:00"/>
    <s v="COLOMBIA"/>
    <d v="1995-10-24T00:00:00"/>
    <n v="30"/>
    <s v="Masculino"/>
    <s v="Soltero(a)"/>
    <s v="O"/>
    <s v="POSITIVO"/>
    <s v="Colombiano"/>
    <s v="CARRERA 19 # 80 - 42"/>
    <s v="LOS ALMENDROS "/>
    <m/>
    <n v="3016297596"/>
    <s v="danielstivencaballeromurillo@gmail.com"/>
    <m/>
    <s v=" "/>
    <s v="3016297596"/>
    <s v="NEQUI"/>
    <m/>
    <m/>
    <m/>
    <m/>
    <m/>
    <m/>
    <m/>
  </r>
  <r>
    <x v="0"/>
    <s v="ACTIVO"/>
    <s v="CON GEOVICTORIA"/>
    <s v="Cédula de Ciudadania"/>
    <n v="7592397"/>
    <s v="CABARCAS GARCIA EULOGIO ANTONIO"/>
    <x v="1"/>
    <s v="SYX9IC46"/>
    <d v="2025-06-23T00:00:00"/>
    <s v="COLOMBIA"/>
    <d v="1961-04-15T00:00:00"/>
    <n v="65"/>
    <s v="Masculino"/>
    <s v="Unión Libre"/>
    <s v="O"/>
    <s v="POSITIVO"/>
    <s v="Colombiano"/>
    <s v="CL 10A 3AS 36"/>
    <s v="BARRANQUILLA"/>
    <m/>
    <n v="3215839320"/>
    <s v="Eulogiocabarcas15@gmail.com"/>
    <s v="SALUD TOTAL S.A."/>
    <s v="PORVENIR"/>
    <s v="8600003705"/>
    <s v="Bancolombia"/>
    <m/>
    <m/>
    <m/>
    <m/>
    <m/>
    <m/>
    <m/>
  </r>
  <r>
    <x v="0"/>
    <s v="ACTIVO"/>
    <s v="CON GEOVICTORIA"/>
    <s v="Cédula de Ciudadania"/>
    <n v="8797024"/>
    <s v="CANTILLO DE LA HOZ ALEXIS DE JESUS"/>
    <x v="5"/>
    <s v="PEOY8R57"/>
    <d v="2025-06-23T00:00:00"/>
    <s v="COLOMBIA"/>
    <d v="1978-06-18T00:00:00"/>
    <n v="48"/>
    <s v="Masculino"/>
    <s v="Soltero(a)"/>
    <s v="A"/>
    <s v="POSITIVO"/>
    <s v="Colombiano"/>
    <s v="CALLE 10 NUM 16-35  GALAPA"/>
    <s v="BARRANQUILLA"/>
    <m/>
    <n v="3017456027"/>
    <m/>
    <m/>
    <s v="SALUDTOTAL"/>
    <s v="78700008755"/>
    <s v="Bancolombia"/>
    <m/>
    <m/>
    <m/>
    <m/>
    <m/>
    <m/>
    <m/>
  </r>
  <r>
    <x v="0"/>
    <s v="ACTIVO"/>
    <s v="CON GEOVICTORIA"/>
    <s v="Cédula de Ciudadania"/>
    <n v="8486120"/>
    <s v="CARPIO PEREZ RUBEN ORLANDO"/>
    <x v="1"/>
    <s v="4BR07TS1"/>
    <d v="2025-06-23T00:00:00"/>
    <s v="COLOMBIA"/>
    <d v="1982-04-13T00:00:00"/>
    <n v="44"/>
    <s v="Masculino"/>
    <s v="Unión Libre"/>
    <s v="O"/>
    <s v="POSITIVO"/>
    <s v="Colombiano"/>
    <s v="CL 9H N2 A 29"/>
    <s v="BARRANQUILLA"/>
    <m/>
    <n v="3008264446"/>
    <s v="rubenorlandocarpioperez1982@gmail.com"/>
    <s v="SALUD TOTAL S.A."/>
    <s v="PORVENIR"/>
    <s v="8600003986"/>
    <s v="Bancolombia"/>
    <m/>
    <m/>
    <m/>
    <m/>
    <m/>
    <m/>
    <m/>
  </r>
  <r>
    <x v="0"/>
    <s v="ACTIVO"/>
    <s v="CON GEOVICTORIA"/>
    <s v="Cédula de Ciudadania"/>
    <n v="1048279771"/>
    <s v="CARRILLO MARTINEZ JAVIER ENRIQUE"/>
    <x v="1"/>
    <s v="KP6KC0H8"/>
    <d v="2025-06-23T00:00:00"/>
    <s v="COLOMBIA"/>
    <d v="1989-05-29T00:00:00"/>
    <n v="37"/>
    <s v="Masculino"/>
    <s v="Unión Libre"/>
    <s v="A"/>
    <s v="POSITIVO"/>
    <s v="Colombiano"/>
    <s v="CR 12 N 19 13"/>
    <s v="BARRANQUILLA"/>
    <m/>
    <n v="3136935201"/>
    <s v="arnol.trjillo@gmail.com"/>
    <s v="SALUD TOTAL S.A."/>
    <s v="PORVENIR"/>
    <s v="8600004199"/>
    <s v="Bancolombia"/>
    <m/>
    <m/>
    <m/>
    <m/>
    <m/>
    <m/>
    <m/>
  </r>
  <r>
    <x v="0"/>
    <s v="ACTIVO"/>
    <s v="CON GEOVICTORIA"/>
    <s v="Cédula de Ciudadania"/>
    <n v="1043114814"/>
    <s v="CASTELLANO SANDOVAL PEDRO ANTONIO "/>
    <x v="1"/>
    <s v="V0I9HCLS"/>
    <d v="2025-06-23T00:00:00"/>
    <s v="COLOMBIA"/>
    <d v="2002-12-15T00:00:00"/>
    <n v="23"/>
    <s v="Masculino"/>
    <s v="Soltero(a)"/>
    <s v="O"/>
    <s v="POSITIVO"/>
    <s v="Colombiano"/>
    <s v="CALLE 8 N° 40 - 41"/>
    <s v="BARRANQUILLA"/>
    <m/>
    <n v="3245038025"/>
    <s v="castellanopedro2002@gmail.com"/>
    <s v="CAJACOPI"/>
    <s v="PROTECCION"/>
    <s v="33065094962"/>
    <s v="Bancolombia"/>
    <m/>
    <m/>
    <m/>
    <m/>
    <m/>
    <m/>
    <m/>
  </r>
  <r>
    <x v="0"/>
    <s v="ACTIVO"/>
    <s v="CON GEOVICTORIA"/>
    <s v="Cédula de Ciudadania"/>
    <n v="1048268885"/>
    <s v="CEBALLOS RODRIGUEZ YAIR ENRIQUE"/>
    <x v="2"/>
    <s v="LX3ZBRXV"/>
    <d v="2025-06-23T00:00:00"/>
    <s v="COLOMBIA"/>
    <d v="1985-06-20T00:00:00"/>
    <n v="41"/>
    <s v="Masculino"/>
    <s v="Unión Libre"/>
    <s v="A"/>
    <s v="POSITIVO"/>
    <s v="Colombiano"/>
    <s v="CR 17 19 25 221"/>
    <s v="BARRANQUILLA"/>
    <m/>
    <n v="3225830944"/>
    <s v="yaomela2006@gmail.com"/>
    <s v="SALUD TOTAL S.A."/>
    <s v="PORVENIR"/>
    <s v="8600003873"/>
    <s v="Bancolombia"/>
    <m/>
    <m/>
    <m/>
    <m/>
    <m/>
    <m/>
    <m/>
  </r>
  <r>
    <x v="1"/>
    <s v="ACTIVO"/>
    <s v="SIN GEOVICTORIA"/>
    <s v="Cédula de Ciudadania"/>
    <n v="8781438"/>
    <s v="CHAVEZ TORRES LEONEL SEGUNDO"/>
    <x v="6"/>
    <s v="TE6HQGAN"/>
    <d v="2025-06-23T00:00:00"/>
    <s v="COLOMBIA"/>
    <d v="1976-03-17T00:00:00"/>
    <n v="50"/>
    <s v="Masculino"/>
    <s v="Casado(a)"/>
    <s v="A"/>
    <s v="POSITIVO"/>
    <s v="Colombiano"/>
    <s v="CL 76C N 14B-03"/>
    <s v="BARRANQUILLA"/>
    <m/>
    <n v="3014425566"/>
    <s v="lacosi0309@gmail.com"/>
    <s v="FOSYGA REGIMEN DE EXCEPCIÓN"/>
    <s v="PORVENIR"/>
    <s v="77343553989"/>
    <s v="Bancolombia"/>
    <m/>
    <m/>
    <m/>
    <m/>
    <m/>
    <m/>
    <m/>
  </r>
  <r>
    <x v="0"/>
    <s v="ACTIVO"/>
    <s v="CON GEOVICTORIA"/>
    <s v="Cédula de Ciudadania"/>
    <n v="73544990"/>
    <s v="CONDE MORALES OMAR ALBERTO"/>
    <x v="2"/>
    <s v="CUG5IHQE"/>
    <d v="2025-06-23T00:00:00"/>
    <s v="COLOMBIA"/>
    <d v="1965-12-20T00:00:00"/>
    <n v="60"/>
    <s v="Masculino"/>
    <s v="Unión Libre"/>
    <s v="A"/>
    <s v="POSITIVO"/>
    <s v="Colombiano"/>
    <s v="CL 14 N23 70"/>
    <s v="BARRANQUILLA"/>
    <m/>
    <n v="3023288720"/>
    <s v="omarconde412@gmail.com"/>
    <s v="SALUD TOTAL S.A."/>
    <s v="PROTECCIÓN"/>
    <s v="77043488018"/>
    <s v="Bancolombia"/>
    <m/>
    <m/>
    <m/>
    <m/>
    <m/>
    <m/>
    <m/>
  </r>
  <r>
    <x v="1"/>
    <s v="ACTIVO"/>
    <s v="CON GEOVICTORIA"/>
    <s v="Cédula de Ciudadania"/>
    <n v="1045676625"/>
    <s v="CORREA FERRER EDWIN"/>
    <x v="7"/>
    <s v="ZR0COW6L"/>
    <d v="2025-07-04T00:00:00"/>
    <s v="COLOMBIA"/>
    <d v="1988-11-03T00:00:00"/>
    <n v="37"/>
    <s v="Masculino"/>
    <s v="Unión Libre"/>
    <s v="O"/>
    <s v="POSITIVO"/>
    <s v="Colombiano"/>
    <m/>
    <s v="BARRANQUILLA"/>
    <m/>
    <m/>
    <m/>
    <m/>
    <m/>
    <s v="76987589503"/>
    <s v="Bancolombia"/>
    <m/>
    <m/>
    <m/>
    <m/>
    <m/>
    <m/>
    <m/>
  </r>
  <r>
    <x v="0"/>
    <s v="ACTIVO"/>
    <s v="CON GEOVICTORIA"/>
    <s v="Cédula de Ciudadania"/>
    <n v="1042346134"/>
    <s v="CULMA PACHECO MARIO ANTONIO"/>
    <x v="2"/>
    <s v="6ZG6AOSB"/>
    <d v="2025-07-03T00:00:00"/>
    <s v="COLOMBIA"/>
    <d v="1986-01-25T00:00:00"/>
    <n v="40"/>
    <s v="Masculino"/>
    <s v="Unión Libre"/>
    <s v="O"/>
    <s v="POSITIVO"/>
    <s v="Colombiano"/>
    <s v="CRA 33·38-42"/>
    <s v="SABANAGRANDE"/>
    <m/>
    <n v="3046325657"/>
    <s v="mculmap@hotmail.com"/>
    <s v="SALUD TOTAL"/>
    <s v="PORVENIR"/>
    <s v="8600003677"/>
    <s v="Bancolombia"/>
    <n v="3106755432"/>
    <s v="Melissa"/>
    <m/>
    <m/>
    <m/>
    <m/>
    <m/>
  </r>
  <r>
    <x v="0"/>
    <s v="ACTIVO"/>
    <s v="CON GEOVICTORIA"/>
    <s v="Cédula de Ciudadania"/>
    <n v="1048321622"/>
    <s v="DE LA CRUZ MENDOZA SERGIO ANDRES"/>
    <x v="2"/>
    <s v="360Z04CY"/>
    <d v="2025-07-15T00:00:00"/>
    <s v="COLOMBIA"/>
    <d v="1996-01-14T00:00:00"/>
    <n v="30"/>
    <s v="Masculino"/>
    <s v="Unión Libre"/>
    <s v="O"/>
    <s v="POSITIVO"/>
    <s v="Colombiano"/>
    <s v="CL 17 8 ZUL 46"/>
    <s v="BARRANQUILLA"/>
    <m/>
    <n v="3012093141"/>
    <s v="shaellysergio@gmail.com"/>
    <s v="SALUD TOTAL S.A."/>
    <s v="PORVENIR"/>
    <s v="08600003686"/>
    <s v="Bancolombia"/>
    <m/>
    <m/>
    <m/>
    <m/>
    <m/>
    <m/>
    <m/>
  </r>
  <r>
    <x v="0"/>
    <s v="ACTIVO"/>
    <s v="CON GEOVICTORIA"/>
    <s v="Cédula de Ciudadania"/>
    <n v="72049150"/>
    <s v="DE MOYA CONRADO RAFAEL ANTONIO"/>
    <x v="1"/>
    <s v="EA9TXK3I"/>
    <d v="2025-06-23T00:00:00"/>
    <s v="COLOMBIA"/>
    <d v="1978-05-17T00:00:00"/>
    <n v="48"/>
    <s v="Masculino"/>
    <s v="Unión Libre"/>
    <s v="O"/>
    <s v="POSITIVO"/>
    <s v="Colombiano"/>
    <s v="CL 27 162"/>
    <s v="BARRANQUILLA"/>
    <m/>
    <n v="3005528357"/>
    <s v="rafaeldemoyaconrado@gmail.com"/>
    <s v="SALUD TOTAL S.A."/>
    <s v="PROTECCIÓN"/>
    <s v="8600003692"/>
    <s v="Bancolombia"/>
    <m/>
    <m/>
    <m/>
    <m/>
    <m/>
    <m/>
    <m/>
  </r>
  <r>
    <x v="0"/>
    <s v="ACTIVO"/>
    <s v="CON GEOVICTORIA"/>
    <s v="Cédula de Ciudadania"/>
    <n v="72098478"/>
    <s v="BARRIOS FLORES DEIBIN JAVIER "/>
    <x v="0"/>
    <m/>
    <d v="2026-02-03T00:00:00"/>
    <s v="COLOMBIA"/>
    <d v="1980-01-10T00:00:00"/>
    <n v="46"/>
    <s v="Masculino"/>
    <s v="Casado(a)"/>
    <s v="A"/>
    <s v="POSITIVO"/>
    <s v="Colombiano"/>
    <s v="CALLE 2 A 10-18"/>
    <s v="SABANA GRANDE "/>
    <s v="LIBERTADORES"/>
    <n v="3014152992"/>
    <s v="DEIBINJAVIERBARRIOSFLORES@GMAIL.COM"/>
    <s v="SALUD TOTAL "/>
    <s v="PORVENIR"/>
    <n v="3046646791"/>
    <s v="NEQUI"/>
    <n v="3003353722"/>
    <m/>
    <m/>
    <m/>
    <m/>
    <m/>
    <m/>
  </r>
  <r>
    <x v="0"/>
    <s v="ACTIVO"/>
    <s v="CON GEOVICTORIA"/>
    <s v="Cédula de Ciudadania"/>
    <n v="1042426070"/>
    <s v="DIAZ OROZCO JAIR JESUS"/>
    <x v="1"/>
    <s v="QQFK8SQO"/>
    <d v="2025-06-23T00:00:00"/>
    <s v="COLOMBIA"/>
    <d v="1988-02-17T00:00:00"/>
    <n v="38"/>
    <s v="Masculino"/>
    <s v="Unión Libre"/>
    <s v="O"/>
    <s v="POSITIVO"/>
    <s v="Colombiano"/>
    <s v="CR 16 N 11A 124"/>
    <s v="BARRANQUILLA"/>
    <m/>
    <n v="3217301619"/>
    <s v="diazorozcojair49@gmail.com"/>
    <s v="CAJACOPI EPS"/>
    <s v="PORVENIR"/>
    <s v="8600003696"/>
    <s v="Bancolombia"/>
    <m/>
    <m/>
    <m/>
    <m/>
    <m/>
    <m/>
    <m/>
  </r>
  <r>
    <x v="0"/>
    <s v="ACTIVO"/>
    <s v="CON GEOVICTORIA"/>
    <s v="Cédula de Ciudadania"/>
    <n v="72227729"/>
    <s v="DIAZ ORTIZ CARLOS ENRIQUE"/>
    <x v="1"/>
    <s v="67VX1EIR"/>
    <d v="2025-08-29T00:00:00"/>
    <s v="COLOMBIA"/>
    <d v="1977-03-01T00:00:00"/>
    <n v="49"/>
    <s v="Masculino"/>
    <s v="Unión Libre"/>
    <s v="O"/>
    <s v="POSITIVO"/>
    <s v="Colombiano"/>
    <s v="CARRERA 38 #  12 - 52"/>
    <s v="GALAPA"/>
    <s v="MUNDO FELIZ"/>
    <n v="3245485123"/>
    <s v="ydiaz100599@gmail.com "/>
    <s v="MUTUAL SER"/>
    <s v="PORVENIR"/>
    <s v="08600004173"/>
    <s v="Bancolombia"/>
    <m/>
    <m/>
    <m/>
    <m/>
    <m/>
    <m/>
    <m/>
  </r>
  <r>
    <x v="0"/>
    <s v="ACTIVO"/>
    <s v="CON GEOVICTORIA"/>
    <s v="Cédula de Ciudadania"/>
    <n v="72231335"/>
    <s v="BARRIOS MATUTE ONEY SANTIAGO"/>
    <x v="0"/>
    <s v="YEPENUSG"/>
    <d v="2025-08-11T00:00:00"/>
    <s v="COLOMBIA"/>
    <d v="1976-01-28T00:00:00"/>
    <n v="50"/>
    <s v="Masculino"/>
    <s v="Unión Libre"/>
    <s v="O"/>
    <s v="POSITIVO"/>
    <s v="Colombiano"/>
    <s v="CR 34 B 25 B 11"/>
    <s v="BARRANQUILLA"/>
    <m/>
    <n v="3153165347"/>
    <s v="oneybarrios06@gmail.com"/>
    <s v="SALUD TOTAL S.A."/>
    <s v="COLFONDOS"/>
    <s v="8600003822"/>
    <s v="Bancolombia"/>
    <m/>
    <m/>
    <m/>
    <m/>
    <m/>
    <m/>
    <m/>
  </r>
  <r>
    <x v="0"/>
    <s v="ACTIVO"/>
    <s v="CON GEOVICTORIA"/>
    <s v="Cédula de Ciudadania"/>
    <n v="72267855"/>
    <s v="BARROS GOMEZ ANDY YIN"/>
    <x v="0"/>
    <s v="05MJ1SN2"/>
    <d v="2025-08-25T00:00:00"/>
    <s v="COLOMBIA"/>
    <d v="1982-05-18T00:00:00"/>
    <n v="44"/>
    <s v="Masculino"/>
    <s v="Unión Libre"/>
    <s v="O"/>
    <s v="POSITIVO"/>
    <s v="Colombiano"/>
    <s v="CARRERA 1b 1 # 21 63"/>
    <s v="BARRANQUILLA"/>
    <m/>
    <n v="3234888085"/>
    <m/>
    <s v="SALUD TOTAL"/>
    <m/>
    <s v="12084119511"/>
    <s v="Bancolombia"/>
    <m/>
    <m/>
    <m/>
    <m/>
    <m/>
    <m/>
    <m/>
  </r>
  <r>
    <x v="0"/>
    <s v="ACTIVO"/>
    <s v="CON GEOVICTORIA"/>
    <s v="Cédula de Ciudadania"/>
    <n v="72056722"/>
    <s v="ESCORCIA GONZALEZ JAVIER "/>
    <x v="2"/>
    <s v="LAE7KQRP"/>
    <d v="2025-06-23T00:00:00"/>
    <s v="COLOMBIA"/>
    <d v="1986-02-10T00:00:00"/>
    <n v="40"/>
    <s v="Masculino"/>
    <s v="Unión Libre"/>
    <s v="O"/>
    <s v="POSITIVO"/>
    <s v="Colombiano"/>
    <s v="CALLE 5 17 03 APTO 1"/>
    <s v="MALAMBO"/>
    <m/>
    <n v="3023027275"/>
    <s v="javierescorcia242@gmail.com"/>
    <s v="SURA"/>
    <s v="PORVENIR"/>
    <s v="8600003794"/>
    <s v="Bancolombia"/>
    <m/>
    <m/>
    <m/>
    <m/>
    <m/>
    <m/>
    <m/>
  </r>
  <r>
    <x v="0"/>
    <s v="ACTIVO"/>
    <s v="CON GEOVICTORIA"/>
    <s v="Cédula de Ciudadania"/>
    <n v="1063134418"/>
    <s v="ESCORCIA QUIROZ FAVIO ANTONIO "/>
    <x v="1"/>
    <s v="CBOQQ7C2"/>
    <d v="2025-06-23T00:00:00"/>
    <s v="COLOMBIA"/>
    <d v="2003-11-18T00:00:00"/>
    <n v="22"/>
    <s v="Masculino"/>
    <s v="Soltero(a)"/>
    <s v="O"/>
    <s v="POSITIVO"/>
    <s v="Colombiano"/>
    <s v="CRA 44 No. 23 - 45"/>
    <s v="BARRANQUILLA"/>
    <m/>
    <n v="3243157238"/>
    <s v="escorciafavio@gmail.com"/>
    <s v="NUEVA EPS"/>
    <s v="PORVENIR"/>
    <s v="78700008289"/>
    <s v="Bancolombia"/>
    <m/>
    <m/>
    <m/>
    <m/>
    <m/>
    <m/>
    <m/>
  </r>
  <r>
    <x v="0"/>
    <s v="ACTIVO"/>
    <s v="CON GEOVICTORIA"/>
    <s v="Cédula de Ciudadania"/>
    <n v="1068664013"/>
    <s v="FALON ORTEGA DEIMER MIGUEL"/>
    <x v="2"/>
    <s v="SI77G2UF"/>
    <d v="2025-08-25T00:00:00"/>
    <s v="COLOMBIA"/>
    <d v="1991-10-21T00:00:00"/>
    <n v="34"/>
    <s v="Masculino"/>
    <s v="Unión Libre"/>
    <s v="O"/>
    <s v="POSITIVO"/>
    <s v="Colombiano"/>
    <s v="TRANSVERSAL 2D DIAG 52 - 34"/>
    <s v="SOLEDAD"/>
    <s v="SAN VICENTE"/>
    <n v="3046831884"/>
    <s v="deimer.1@outloook.com"/>
    <s v="MUTUAL SER "/>
    <m/>
    <s v="48190390601"/>
    <s v="Bancolombia"/>
    <m/>
    <m/>
    <m/>
    <m/>
    <m/>
    <m/>
    <m/>
  </r>
  <r>
    <x v="0"/>
    <s v="ACTIVO"/>
    <s v="CON GEOVICTORIA"/>
    <s v="Cédula de Ciudadania"/>
    <n v="5049904"/>
    <s v="FIGUEROA DE LA CRUZ ENUAR RAFAEL"/>
    <x v="1"/>
    <s v="9TCG0HX7"/>
    <d v="2025-06-23T00:00:00"/>
    <s v="COLOMBIA"/>
    <d v="1976-12-05T00:00:00"/>
    <n v="49"/>
    <s v="Masculino"/>
    <s v="Unión Libre"/>
    <s v="B"/>
    <s v="POSITIVO"/>
    <s v="Colombiano"/>
    <s v="CL 36 5A 61"/>
    <s v="BARRANQUILLA"/>
    <m/>
    <n v="3212470737"/>
    <s v="enuarrafael28@gmail.com"/>
    <s v="SALUD TOTAL S.A."/>
    <s v="PORVENIR"/>
    <s v="8600003733"/>
    <s v="Bancolombia"/>
    <m/>
    <m/>
    <m/>
    <m/>
    <m/>
    <m/>
    <m/>
  </r>
  <r>
    <x v="1"/>
    <s v="ACTIVO"/>
    <s v="SIN GEOVICTORIA"/>
    <s v="Cédula de Ciudadania"/>
    <n v="1067291657"/>
    <s v="FLOREZ SALGADO JUAN JOSE"/>
    <x v="8"/>
    <s v="73I8A46U"/>
    <d v="2025-06-23T00:00:00"/>
    <s v="COLOMBIA"/>
    <d v="1997-03-24T00:00:00"/>
    <n v="29"/>
    <s v="Masculino"/>
    <s v="Unión Libre"/>
    <s v="O"/>
    <s v="POSITIVO"/>
    <s v="Colombiano"/>
    <s v="Cr. 16 N°31-195"/>
    <s v="BARRANQUILLA"/>
    <m/>
    <n v="3235244387"/>
    <s v="juan12_21@outlook.com"/>
    <m/>
    <m/>
    <s v="0570488474102503"/>
    <s v="Davivienda"/>
    <m/>
    <m/>
    <m/>
    <m/>
    <m/>
    <m/>
    <m/>
  </r>
  <r>
    <x v="1"/>
    <s v="ACTIVO"/>
    <s v="SIN GEOVICTORIA"/>
    <s v="Cédula de Ciudadania"/>
    <n v="1047338892"/>
    <s v="FONTALVO BOLAÑO ENMANUEL"/>
    <x v="9"/>
    <s v="O4X418R9"/>
    <d v="2025-06-23T00:00:00"/>
    <s v="COLOMBIA"/>
    <d v="1989-06-18T00:00:00"/>
    <n v="37"/>
    <s v="Masculino"/>
    <s v="Casado(a)"/>
    <s v="O"/>
    <s v="POSITIVO"/>
    <s v="Colombiano"/>
    <s v="CR 7 N 6 55"/>
    <s v="SANTO TOMAS"/>
    <m/>
    <n v="3113001409"/>
    <s v="fontalvobolanoe@gmail.com"/>
    <s v="SALUD TOTAL S.A."/>
    <s v="PORVENIR"/>
    <s v="8600003722"/>
    <s v="Bancolombia"/>
    <m/>
    <m/>
    <m/>
    <m/>
    <m/>
    <m/>
    <m/>
  </r>
  <r>
    <x v="0"/>
    <s v="ACTIVO"/>
    <s v="CON GEOVICTORIA"/>
    <s v="Cédula de Ciudadania"/>
    <n v="3746339"/>
    <s v="DIAZ CASTRO MAIKER ESQUIGUAR"/>
    <x v="0"/>
    <s v="PDNIIT8Q"/>
    <d v="2025-06-23T00:00:00"/>
    <s v="COLOMBIA"/>
    <d v="1967-05-12T00:00:00"/>
    <n v="59"/>
    <s v="Masculino"/>
    <s v="Unión Libre"/>
    <s v="O"/>
    <s v="POSITIVO"/>
    <s v="Colombiano"/>
    <s v="CL 81B 26C 18"/>
    <s v="BARRANQUILLA"/>
    <m/>
    <n v="3012640714"/>
    <s v="recibosdepagoanava@gmail.com"/>
    <s v="SALUD TOTAL S.A."/>
    <s v="PROTECCIÓN"/>
    <s v="8600003709"/>
    <s v="Bancolombia"/>
    <s v="3016905316 THERESA NORIEGA "/>
    <m/>
    <m/>
    <m/>
    <m/>
    <m/>
    <m/>
  </r>
  <r>
    <x v="0"/>
    <s v="ACTIVO"/>
    <s v="CON GEOVICTORIA"/>
    <s v="Cédula de Ciudadania"/>
    <n v="72052193"/>
    <s v="GARCIA PACHECO ALVARO LUIS"/>
    <x v="2"/>
    <s v="ABIZVLL6"/>
    <d v="2025-06-23T00:00:00"/>
    <s v="COLOMBIA"/>
    <d v="1981-11-06T00:00:00"/>
    <n v="44"/>
    <s v="Masculino"/>
    <s v="Soltero(a)"/>
    <s v="O"/>
    <s v="POSITIVO"/>
    <s v="Colombiano"/>
    <s v="CALLE 14#1A 02"/>
    <s v="MALAMBO"/>
    <m/>
    <n v="3042757057"/>
    <s v="alvarolgarciapacheco@gmail.com"/>
    <s v="SURA"/>
    <s v="PROTECCION"/>
    <s v="8600003768"/>
    <s v="Bancolombia"/>
    <m/>
    <m/>
    <m/>
    <m/>
    <m/>
    <m/>
    <m/>
  </r>
  <r>
    <x v="0"/>
    <s v="ACTIVO"/>
    <s v="CON GEOVICTORIA"/>
    <s v="Cédula de Ciudadania"/>
    <n v="7959524"/>
    <s v="ELLES VALLE ANDRES FERNANDO"/>
    <x v="0"/>
    <s v="2V1UBLSR"/>
    <d v="2025-06-23T00:00:00"/>
    <s v="COLOMBIA"/>
    <d v="1974-05-23T00:00:00"/>
    <n v="52"/>
    <s v="Masculino"/>
    <s v="Unión Libre"/>
    <s v="A"/>
    <s v="POSITIVO"/>
    <s v="Colombiano"/>
    <s v="CR 23A 99E 37"/>
    <s v="BARRANQUILLA"/>
    <m/>
    <n v="3168179859"/>
    <s v="7959524@gmail.com"/>
    <s v="EPS SURA"/>
    <s v="PROTECCIÓN"/>
    <s v="8600003711"/>
    <s v="Bancolombia"/>
    <m/>
    <m/>
    <m/>
    <m/>
    <m/>
    <m/>
    <m/>
  </r>
  <r>
    <x v="0"/>
    <s v="ACTIVO"/>
    <s v="CON GEOVICTORIA"/>
    <s v="Cédula de Ciudadania"/>
    <n v="1067713819"/>
    <s v="GUERRA PADILLA JAMES JHOAN "/>
    <x v="5"/>
    <s v="MFNEPNTX"/>
    <d v="2025-09-30T00:00:00"/>
    <s v="COLOMBIA"/>
    <d v="1987-03-17T00:00:00"/>
    <n v="39"/>
    <s v="Masculino"/>
    <s v="Soltero(a)"/>
    <s v="O"/>
    <s v="POSITIVO"/>
    <s v="Colombiano"/>
    <s v="CARRERA 44 NUMERO 17-16"/>
    <s v="GALAPA"/>
    <s v="MUNDO FELIZ"/>
    <n v="3244680660"/>
    <s v="JAMESGUERRA1987@GMAIL.COM"/>
    <s v="SALUD TOTAL "/>
    <s v="PORVENIR "/>
    <s v="3244680660"/>
    <s v="Davivienda"/>
    <m/>
    <m/>
    <m/>
    <m/>
    <m/>
    <m/>
    <m/>
  </r>
  <r>
    <x v="0"/>
    <s v="ACTIVO"/>
    <s v="CON GEOVICTORIA"/>
    <s v="Cédula de Ciudadania"/>
    <n v="1143253528"/>
    <s v="GUERRERO AHUMADA SLEIDER"/>
    <x v="1"/>
    <s v="4YHI1IBS"/>
    <d v="2025-06-23T00:00:00"/>
    <s v="COLOMBIA"/>
    <d v="1995-01-14T00:00:00"/>
    <n v="31"/>
    <s v="Masculino"/>
    <s v="Unión Libre"/>
    <s v="B"/>
    <s v="POSITIVO"/>
    <s v="Colombiano"/>
    <s v="CL 63 12 61"/>
    <s v="BARRANQUILLA"/>
    <m/>
    <n v="3157732891"/>
    <s v="sleiderguerreroahumada@gmail.com"/>
    <s v="NUEVA EPS"/>
    <s v="PORVENIR"/>
    <s v="8600003774"/>
    <s v="Bancolombia"/>
    <m/>
    <m/>
    <m/>
    <m/>
    <m/>
    <m/>
    <m/>
  </r>
  <r>
    <x v="0"/>
    <s v="ACTIVO"/>
    <s v="CON GEOVICTORIA"/>
    <s v="Cédula de Ciudadania"/>
    <n v="1045712196"/>
    <s v="GUERRERO CHARRY EDUARDO LUIS"/>
    <x v="1"/>
    <s v="ZD37HIPS"/>
    <d v="2025-06-23T00:00:00"/>
    <s v="COLOMBIA"/>
    <d v="1992-10-18T00:00:00"/>
    <n v="33"/>
    <s v="Masculino"/>
    <s v="Unión Libre"/>
    <s v="O"/>
    <s v="POSITIVO"/>
    <s v="Colombiano"/>
    <s v="DG 52 1 D 14"/>
    <s v="BARRANQUILLA"/>
    <m/>
    <n v="3004435026"/>
    <s v="Yuranismaestreza@outlook.es"/>
    <s v="EPS SURA"/>
    <s v="PORVENIR"/>
    <s v="77343508649"/>
    <s v="Bancolombia"/>
    <m/>
    <m/>
    <m/>
    <m/>
    <m/>
    <m/>
    <m/>
  </r>
  <r>
    <x v="0"/>
    <s v="ACTIVO"/>
    <s v="CON GEOVICTORIA"/>
    <s v="Cédula de Ciudadania"/>
    <n v="72050002"/>
    <s v="GUTIERREZ GUTIERREZ JOSE MIGUEL"/>
    <x v="2"/>
    <s v="R47ZG9BR"/>
    <d v="2025-06-23T00:00:00"/>
    <s v="COLOMBIA"/>
    <d v="1979-08-17T00:00:00"/>
    <n v="47"/>
    <s v="Masculino"/>
    <s v="Unión Libre"/>
    <s v="O"/>
    <s v="POSITIVO"/>
    <s v="Colombiano"/>
    <s v="CR 1 A 2 11D 04"/>
    <s v="BARRANQUILLA"/>
    <m/>
    <n v="3004080709"/>
    <s v="recibosdepagoanava@gmail.com"/>
    <s v="SALUD TOTAL S.A."/>
    <s v="PROTECCIÓN"/>
    <s v="33043703744"/>
    <s v="Bancolombia"/>
    <m/>
    <m/>
    <m/>
    <m/>
    <m/>
    <m/>
    <m/>
  </r>
  <r>
    <x v="0"/>
    <s v="ACTIVO"/>
    <s v="CON GEOVICTORIA"/>
    <s v="Cédula de Ciudadania"/>
    <n v="72121487"/>
    <s v="ESCAMILLA VALENCIA FERNANDO SEGUNDO"/>
    <x v="0"/>
    <s v="AO3Y7XU2"/>
    <d v="2025-06-23T00:00:00"/>
    <s v="COLOMBIA"/>
    <d v="1980-09-27T00:00:00"/>
    <n v="45"/>
    <s v="Masculino"/>
    <s v="Unión Libre"/>
    <s v="O"/>
    <s v="POSITIVO"/>
    <s v="Colombiano"/>
    <s v="CR 16 N 903"/>
    <s v="BARRANQUILLA"/>
    <m/>
    <n v="3246051248"/>
    <s v="Segundovall@hotmail.com"/>
    <s v="SALUD TOTAL S.A."/>
    <s v="PORVENIR"/>
    <s v="95716997228"/>
    <s v="Bancolombia"/>
    <m/>
    <m/>
    <m/>
    <m/>
    <m/>
    <m/>
    <m/>
  </r>
  <r>
    <x v="0"/>
    <s v="ACTIVO"/>
    <s v="CON GEOVICTORIA"/>
    <s v="Cédula de Ciudadania"/>
    <n v="72044918"/>
    <s v="ESCORCIA FERNANDEZ FERNANDO ALBERTO"/>
    <x v="0"/>
    <s v="OSK155B8"/>
    <d v="2025-07-26T00:00:00"/>
    <s v="COLOMBIA"/>
    <d v="1971-01-11T00:00:00"/>
    <n v="55"/>
    <s v="Masculino"/>
    <s v="Casado(a)"/>
    <s v="A"/>
    <s v="POSITIVO"/>
    <s v="Colombiano"/>
    <s v="CALLE 33 C # 15 - 04"/>
    <s v="SOLEDAD"/>
    <m/>
    <n v="3006995045"/>
    <m/>
    <m/>
    <m/>
    <s v="08600003800"/>
    <s v="Bancolombia"/>
    <m/>
    <m/>
    <m/>
    <m/>
    <m/>
    <m/>
    <m/>
  </r>
  <r>
    <x v="0"/>
    <s v="ACTIVO"/>
    <s v="CON GEOVICTORIA"/>
    <s v="Cédula de Ciudadania"/>
    <n v="8768517"/>
    <s v="HERRERA JIMENEZ ANDRES SANTIAGO"/>
    <x v="1"/>
    <s v="VUWRRU26"/>
    <d v="2025-06-23T00:00:00"/>
    <s v="COLOMBIA"/>
    <d v="1968-11-17T00:00:00"/>
    <n v="57"/>
    <s v="Masculino"/>
    <s v="Unión Libre"/>
    <s v="O"/>
    <s v="POSITIVO"/>
    <s v="Colombiano"/>
    <s v="CR 9D 58 04"/>
    <s v="BARRANQUILLA"/>
    <m/>
    <n v="3242362231"/>
    <s v="Asaheji1968@hotmail.com"/>
    <s v="SALUD TOTAL S.A."/>
    <s v="PROTECCIÓN"/>
    <s v="8600003745"/>
    <s v="Bancolombia"/>
    <m/>
    <m/>
    <m/>
    <m/>
    <m/>
    <m/>
    <m/>
  </r>
  <r>
    <x v="0"/>
    <s v="ACTIVO"/>
    <s v="CON GEOVICTORIA"/>
    <s v="Cédula de Ciudadania"/>
    <n v="72256959"/>
    <s v="HERRERA PEREZ ALVARO ANTONIO"/>
    <x v="1"/>
    <s v="9J6YYV8Y"/>
    <d v="2025-06-23T00:00:00"/>
    <s v="COLOMBIA"/>
    <d v="1981-02-17T00:00:00"/>
    <n v="45"/>
    <s v="Masculino"/>
    <s v="Unión Libre"/>
    <s v="O"/>
    <s v="POSITIVO"/>
    <s v="Colombiano"/>
    <s v="CL 48 C 15 22"/>
    <s v="BARRANQUILLA"/>
    <m/>
    <n v="3246823787"/>
    <s v="Alvaroherrera1702@gmail.com"/>
    <s v="SALUD TOTAL S.A."/>
    <s v="PROTECCIÓN"/>
    <s v="3023333538"/>
    <s v="Davivienda"/>
    <m/>
    <m/>
    <m/>
    <m/>
    <m/>
    <m/>
    <m/>
  </r>
  <r>
    <x v="0"/>
    <s v="ACTIVO"/>
    <s v="CON GEOVICTORIA"/>
    <s v="Cédula de Ciudadania"/>
    <n v="1193207885"/>
    <s v="JIMENEZ DE LA CRUZ EDER MANUEL"/>
    <x v="1"/>
    <s v="J59CBPHB"/>
    <d v="2025-07-17T00:00:00"/>
    <s v="COLOMBIA"/>
    <d v="1998-10-04T00:00:00"/>
    <n v="27"/>
    <s v="Masculino"/>
    <s v="Soltero(a)"/>
    <s v="O"/>
    <s v="POSITIVO"/>
    <s v="Colombiano"/>
    <s v="CARRERA 14 # 51 - 29 "/>
    <s v="BARRANQUILLA"/>
    <m/>
    <n v="3003165902"/>
    <s v="manueldelc98@gmail.com"/>
    <m/>
    <m/>
    <s v="91277946101"/>
    <s v="Bancolombia"/>
    <m/>
    <m/>
    <m/>
    <m/>
    <m/>
    <m/>
    <m/>
  </r>
  <r>
    <x v="0"/>
    <s v="ACTIVO"/>
    <s v="CON GEOVICTORIA"/>
    <s v="Cédula de Ciudadania"/>
    <n v="1079658000"/>
    <s v="JIMENEZ MOSQUERA OMAR JOSE"/>
    <x v="10"/>
    <s v="802UDCKL"/>
    <d v="2025-07-01T00:00:00"/>
    <s v="COLOMBIA"/>
    <d v="1991-01-17T00:00:00"/>
    <n v="35"/>
    <s v="Masculino"/>
    <s v="Unión Libre"/>
    <s v="O"/>
    <s v="POSITIVO"/>
    <s v="Colombiano"/>
    <s v="CL 66 14 04"/>
    <s v="BARRANQUILLA"/>
    <m/>
    <n v="3134443017"/>
    <s v="Omarjosejimenezmosquera@gmail.com"/>
    <s v="EPS SURA"/>
    <s v="PORVENIR"/>
    <s v="8600003680"/>
    <s v="Bancolombia"/>
    <m/>
    <m/>
    <m/>
    <m/>
    <m/>
    <m/>
    <m/>
  </r>
  <r>
    <x v="0"/>
    <s v="ACTIVO"/>
    <s v="CON GEOVICTORIA"/>
    <s v="Cédula de Ciudadania"/>
    <n v="1140875023"/>
    <s v="JIMENEZ VILLARREAL LUIS ANGEL"/>
    <x v="2"/>
    <s v="KBEX8DJT"/>
    <d v="2025-06-23T00:00:00"/>
    <s v="COLOMBIA"/>
    <d v="1994-12-26T00:00:00"/>
    <n v="31"/>
    <s v="Masculino"/>
    <s v="Unión Libre"/>
    <s v="B"/>
    <s v="POSITIVO"/>
    <s v="Colombiano"/>
    <s v="CR 6 F 47 92"/>
    <s v="BARRANQUILLA"/>
    <m/>
    <n v="3023090659"/>
    <s v="jimenezbluisnalgel26@gmail.com"/>
    <s v="SALUD TOTAL S.A."/>
    <s v="PORVENIR"/>
    <s v="8600003877"/>
    <s v="Bancolombia"/>
    <m/>
    <m/>
    <m/>
    <m/>
    <m/>
    <m/>
    <m/>
  </r>
  <r>
    <x v="0"/>
    <s v="ACTIVO"/>
    <s v="CON GEOVICTORIA"/>
    <s v="Cédula de Ciudadania"/>
    <n v="10996825"/>
    <s v="FLOREZ FERRER RAFAEL VICENTE "/>
    <x v="0"/>
    <m/>
    <d v="2025-11-15T00:00:00"/>
    <s v="COLOMBIA"/>
    <d v="1969-10-05T00:00:00"/>
    <n v="56"/>
    <s v="Masculino"/>
    <s v="Casado(a)"/>
    <s v="O"/>
    <s v="POSITIVO"/>
    <s v="Colombiano"/>
    <s v="CALLE 25#15-16"/>
    <s v="SOLEDAD"/>
    <s v="SAN ANTONIO"/>
    <n v="3015181690"/>
    <s v=" rafaelvicenteflorezferrer@gmail.com "/>
    <s v="SANITAS"/>
    <s v="PROTECCION"/>
    <s v="48131168694"/>
    <s v="Bancolombia"/>
    <m/>
    <m/>
    <m/>
    <m/>
    <m/>
    <m/>
    <m/>
  </r>
  <r>
    <x v="0"/>
    <s v="ACTIVO"/>
    <s v="CON GEOVICTORIA"/>
    <s v="Cédula de Ciudadania"/>
    <n v="8505606"/>
    <s v="LOPEZ FLORES ISMAEL DAVID"/>
    <x v="10"/>
    <s v="3FJ3UBR1"/>
    <d v="2025-06-23T00:00:00"/>
    <s v="COLOMBIA"/>
    <d v="1979-07-12T00:00:00"/>
    <n v="47"/>
    <s v="Masculino"/>
    <s v="Unión Libre"/>
    <s v="A"/>
    <s v="POSITIVO"/>
    <s v="Colombiano"/>
    <s v="CRA 15#12-04"/>
    <s v="SOLEDAD"/>
    <m/>
    <s v="3022189541/3243213631"/>
    <s v="ismaeldavidlopezflorez@gmail.com"/>
    <s v="MUTUAL SER"/>
    <s v="PROTECCION"/>
    <s v="8600004178"/>
    <s v="Bancolombia"/>
    <m/>
    <m/>
    <m/>
    <m/>
    <m/>
    <m/>
    <m/>
  </r>
  <r>
    <x v="0"/>
    <s v="ACTIVO"/>
    <s v="CON GEOVICTORIA"/>
    <s v="Cédula de Ciudadania"/>
    <n v="1047374350"/>
    <s v="LOPEZ NARVAEZ MILTON DEL CARMEN"/>
    <x v="1"/>
    <s v="M4XHZE7U"/>
    <d v="2025-06-23T00:00:00"/>
    <s v="COLOMBIA"/>
    <d v="1986-02-04T00:00:00"/>
    <n v="40"/>
    <s v="Masculino"/>
    <s v="Unión Libre"/>
    <s v="O"/>
    <s v="POSITIVO"/>
    <s v="Colombiano"/>
    <s v="DG 5D TB1 38C"/>
    <s v="BARRANQUILLA"/>
    <m/>
    <n v="3246796877"/>
    <s v="miltonlopez198604@gmail.com"/>
    <s v="SALUD TOTAL S.A."/>
    <s v="PORVENIR"/>
    <s v="8600003694"/>
    <s v="Bancolombia"/>
    <m/>
    <m/>
    <m/>
    <m/>
    <m/>
    <m/>
    <m/>
  </r>
  <r>
    <x v="1"/>
    <s v="ACTIVO"/>
    <s v="SIN GEOVICTORIA"/>
    <s v="Cédula de Ciudadania"/>
    <n v="1082887017"/>
    <s v="LUNA MURILLO ELKIN JOSE"/>
    <x v="11"/>
    <s v="2TX40NLD"/>
    <d v="2025-07-01T00:00:00"/>
    <s v="COLOMBIA"/>
    <d v="1988-04-12T00:00:00"/>
    <n v="38"/>
    <s v="Masculino"/>
    <s v="Unión Libre"/>
    <s v="A"/>
    <s v="POSITIVO"/>
    <s v="Colombiano"/>
    <s v="CALLE 4A # 11 - 180"/>
    <s v="BARRANQUILLA"/>
    <m/>
    <m/>
    <m/>
    <m/>
    <m/>
    <s v="0819001501"/>
    <s v="BBVA"/>
    <m/>
    <m/>
    <m/>
    <m/>
    <m/>
    <m/>
    <m/>
  </r>
  <r>
    <x v="0"/>
    <s v="ACTIVO"/>
    <s v="CON GEOVICTORIA"/>
    <s v="permiso de Protección Temporal"/>
    <n v="1480603"/>
    <s v="MAPARI GONZALEZ ANDRY DAVID"/>
    <x v="2"/>
    <s v="OJUN26OB"/>
    <d v="2025-07-18T00:00:00"/>
    <s v="COLOMBIA"/>
    <d v="1997-02-02T00:00:00"/>
    <n v="29"/>
    <s v="Masculino"/>
    <s v="Soltero(a)"/>
    <s v="A"/>
    <s v="POSITIVO"/>
    <s v="Venezolano"/>
    <s v="CRA 9E 1 136-27"/>
    <s v="BARRANQUILLA"/>
    <m/>
    <n v="3244973266"/>
    <s v="mgb.davidandry@hotmail.com"/>
    <s v="SALUD TOTAL S.A."/>
    <s v="PORVENIR"/>
    <s v="43400001789"/>
    <s v="Bancolombia"/>
    <m/>
    <m/>
    <m/>
    <m/>
    <m/>
    <m/>
    <m/>
  </r>
  <r>
    <x v="1"/>
    <s v="ACTIVO"/>
    <s v="SIN GEOVICTORIA"/>
    <s v="Cédula de Ciudadania"/>
    <n v="1047238057"/>
    <s v="MARENCO RUA ESTEBAN JOSE"/>
    <x v="12"/>
    <s v="FOYI1C8N"/>
    <d v="2025-07-08T00:00:00"/>
    <s v="COLOMBIA"/>
    <d v="1998-01-16T00:00:00"/>
    <n v="28"/>
    <s v="Masculino"/>
    <s v="Unión Libre"/>
    <s v="O"/>
    <s v="POSITIVO"/>
    <s v="Colombiano"/>
    <m/>
    <s v="GALAPA"/>
    <m/>
    <n v="3166104774"/>
    <m/>
    <s v="SANITAS"/>
    <m/>
    <s v="76900008701"/>
    <s v="Bancolombia"/>
    <m/>
    <m/>
    <m/>
    <m/>
    <m/>
    <m/>
    <m/>
  </r>
  <r>
    <x v="0"/>
    <s v="ACTIVO"/>
    <s v="CON GEOVICTORIA"/>
    <s v="Cédula de Ciudadania"/>
    <n v="1042971540"/>
    <s v="GONZALEZ MEDINA CRISTO JOSE"/>
    <x v="0"/>
    <s v="4BHYHNZP"/>
    <d v="2025-06-23T00:00:00"/>
    <s v="COLOMBIA"/>
    <d v="1990-02-16T00:00:00"/>
    <n v="36"/>
    <s v="Masculino"/>
    <s v="Unión Libre"/>
    <s v="O"/>
    <s v="POSITIVO"/>
    <s v="Colombiano"/>
    <s v="CR 48 18 40 GALAPA"/>
    <s v="BARRANQUILLA"/>
    <m/>
    <n v="3007858292"/>
    <s v="cristogonzalez233@gmail.com"/>
    <s v="NUEVA EPS"/>
    <s v="PORVENIR"/>
    <s v="91200470473"/>
    <s v="Bancolombia"/>
    <m/>
    <m/>
    <m/>
    <m/>
    <m/>
    <m/>
    <m/>
  </r>
  <r>
    <x v="0"/>
    <s v="ACTIVO"/>
    <s v="CON GEOVICTORIA"/>
    <s v="Cédula de Ciudadania"/>
    <n v="1064310445"/>
    <s v="MEDRANO CARDENAS ANGEL MIGUEL"/>
    <x v="2"/>
    <s v="YF8AJVKK"/>
    <d v="2025-06-23T00:00:00"/>
    <s v="COLOMBIA"/>
    <d v="1981-12-15T00:00:00"/>
    <n v="44"/>
    <s v="Masculino"/>
    <s v="Unión Libre"/>
    <s v="O"/>
    <s v="POSITIVO"/>
    <s v="Colombiano"/>
    <s v="CL 98 C N1E 225"/>
    <s v="BARRANQUILLA"/>
    <m/>
    <n v="3044251165"/>
    <s v="Angemiguelmedranocardenas5@gmail.com"/>
    <s v="SALUD TOTAL S.A."/>
    <s v="PROTECCIÓN"/>
    <s v="8600003879"/>
    <s v="Bancolombia"/>
    <m/>
    <m/>
    <m/>
    <m/>
    <m/>
    <m/>
    <m/>
  </r>
  <r>
    <x v="0"/>
    <s v="ACTIVO"/>
    <s v="CON GEOVICTORIA"/>
    <s v="Cédula de Ciudadania"/>
    <n v="1143139660"/>
    <s v="MELGAREJO MARCHENA GABRIEL JOSE"/>
    <x v="2"/>
    <s v="R41TNBOW"/>
    <d v="2025-06-23T00:00:00"/>
    <s v="COLOMBIA"/>
    <d v="1993-05-23T00:00:00"/>
    <n v="33"/>
    <s v="Masculino"/>
    <s v="Unión Libre"/>
    <s v="B"/>
    <s v="POSITIVO"/>
    <s v="Colombiano"/>
    <s v="CALLE 58A#2-62"/>
    <s v="SOLEDAD"/>
    <m/>
    <n v="3004536129"/>
    <s v="gabrieljosemelgarejomarchena@gmail.com"/>
    <s v="SALUD TOTAL S.A."/>
    <s v="PORVENIR"/>
    <s v="8600004967"/>
    <s v="Bancolombia"/>
    <m/>
    <m/>
    <m/>
    <m/>
    <m/>
    <m/>
    <m/>
  </r>
  <r>
    <x v="0"/>
    <s v="ACTIVO"/>
    <s v="CON GEOVICTORIA"/>
    <s v="Cédula de Ciudadania"/>
    <n v="1143145371"/>
    <s v="MELGAREJO MARCHENA MIGUEL JOSE"/>
    <x v="2"/>
    <s v="CUF9Y3QA"/>
    <d v="2025-08-01T00:00:00"/>
    <s v="COLOMBIA"/>
    <d v="1994-05-07T00:00:00"/>
    <n v="32"/>
    <s v="Masculino"/>
    <s v="Casado(a)"/>
    <s v="A"/>
    <s v="POSITIVO"/>
    <s v="Colombiano"/>
    <s v="CALLE 58 A # 2 - 62"/>
    <s v="SOLEDAD"/>
    <m/>
    <n v="3006680121"/>
    <s v="nayelissofia1994@hotmail.com"/>
    <s v="EPS SURA"/>
    <s v="PORVENIR"/>
    <s v="8600003770"/>
    <s v="Bancolombia"/>
    <m/>
    <m/>
    <m/>
    <m/>
    <m/>
    <m/>
    <m/>
  </r>
  <r>
    <x v="0"/>
    <s v="ACTIVO"/>
    <s v="CON GEOVICTORIA"/>
    <s v="Cédula de Ciudadania"/>
    <n v="8566749"/>
    <s v="MENDOZA SALCEDO JOHN JAIRO"/>
    <x v="2"/>
    <s v="JZCMFSBV"/>
    <d v="2025-06-23T00:00:00"/>
    <s v="COLOMBIA"/>
    <d v="1980-10-31T00:00:00"/>
    <n v="45"/>
    <s v="Masculino"/>
    <s v="Unión Libre"/>
    <s v="O"/>
    <s v="POSITIVO"/>
    <s v="Colombiano"/>
    <s v="CL 41 1A 19"/>
    <s v="BARRANQUILLA"/>
    <m/>
    <n v="30053009504"/>
    <s v="8566749@gmail.com"/>
    <s v="SALUD TOTAL S.A."/>
    <s v="PROTECCIÓN"/>
    <s v="8600003710"/>
    <s v="Bancolombia"/>
    <m/>
    <m/>
    <m/>
    <m/>
    <m/>
    <m/>
    <m/>
  </r>
  <r>
    <x v="0"/>
    <s v="ACTIVO"/>
    <s v="CON GEOVICTORIA"/>
    <s v="Cédula de Ciudadania"/>
    <n v="72002479"/>
    <s v="MERIÑO QUINTERO JOSE DEL CARMEN"/>
    <x v="2"/>
    <s v="NFM16EJB"/>
    <d v="2025-06-23T00:00:00"/>
    <s v="COLOMBIA"/>
    <d v="1978-02-19T00:00:00"/>
    <n v="48"/>
    <s v="Masculino"/>
    <s v="Unión Libre"/>
    <s v="A"/>
    <s v="POSITIVO"/>
    <s v="Colombiano"/>
    <s v="CL 28 CR 30"/>
    <s v="BARRANQUILLA"/>
    <m/>
    <n v="3023023389"/>
    <s v="josemerinoquintero683@gmail.com"/>
    <s v="SALUD TOTAL S.A."/>
    <s v="PORVENIR"/>
    <s v="8600003788"/>
    <s v="Bancolombia"/>
    <m/>
    <m/>
    <m/>
    <m/>
    <m/>
    <m/>
    <m/>
  </r>
  <r>
    <x v="0"/>
    <s v="ACTIVO"/>
    <s v="CON GEOVICTORIA"/>
    <s v="Cédula de Ciudadania"/>
    <n v="72051374"/>
    <s v="NAVARRO GOMEZ SAUL ENRIQUE"/>
    <x v="2"/>
    <s v="RQ8761SX"/>
    <d v="2025-06-23T00:00:00"/>
    <s v="COLOMBIA"/>
    <d v="1980-08-29T00:00:00"/>
    <n v="45"/>
    <s v="Masculino"/>
    <s v="Unión Libre"/>
    <s v="O"/>
    <s v="POSITIVO"/>
    <s v="Colombiano"/>
    <s v="CRA 51 #19-31"/>
    <s v="BARRANQUILLA"/>
    <m/>
    <n v="3004933897"/>
    <s v="elsasayshajo@gmail.com"/>
    <s v="SALUD TOTAL"/>
    <s v="PORVENIR"/>
    <s v="55430403868"/>
    <s v="Bancolombia"/>
    <m/>
    <m/>
    <m/>
    <m/>
    <m/>
    <m/>
    <m/>
  </r>
  <r>
    <x v="0"/>
    <s v="ACTIVO"/>
    <s v="CON GEOVICTORIA"/>
    <s v="Cédula de Ciudadania"/>
    <n v="1042417389"/>
    <s v="NIÑO SOLANO JEYSON JOSE"/>
    <x v="1"/>
    <s v="0U6BO65V"/>
    <d v="2025-06-23T00:00:00"/>
    <s v="COLOMBIA"/>
    <d v="1985-03-13T00:00:00"/>
    <n v="41"/>
    <s v="Masculino"/>
    <s v="Soltero(a)"/>
    <s v="A"/>
    <s v="POSITIVO"/>
    <s v="Colombiano"/>
    <s v="CR 7D N 76 81"/>
    <s v="BARRANQUILLA"/>
    <m/>
    <n v="3014843725"/>
    <s v="jeisonnsolano@gmail.com"/>
    <s v="SALUD TOTAL S.A."/>
    <s v="PORVENIR"/>
    <s v="8600004201"/>
    <s v="Bancolombia"/>
    <m/>
    <m/>
    <m/>
    <m/>
    <m/>
    <m/>
    <m/>
  </r>
  <r>
    <x v="0"/>
    <s v="ACTIVO"/>
    <s v="CON GEOVICTORIA"/>
    <s v="Cédula de Ciudadania"/>
    <n v="72205039"/>
    <s v="OROZCO HERRERA JOHNIS ANTONIO"/>
    <x v="1"/>
    <s v="C2EZ65TB"/>
    <d v="2025-08-07T00:00:00"/>
    <s v="COLOMBIA"/>
    <d v="1974-01-19T00:00:00"/>
    <n v="52"/>
    <s v="Masculino"/>
    <s v="Unión Libre"/>
    <s v="O"/>
    <s v="POSITIVO"/>
    <s v="Colombiano"/>
    <s v="CARRERA 14 - 21"/>
    <s v="BARRANQUILLA"/>
    <m/>
    <n v="3018131553"/>
    <m/>
    <m/>
    <m/>
    <s v="08600003691"/>
    <s v="Bancolombia"/>
    <m/>
    <m/>
    <m/>
    <m/>
    <m/>
    <m/>
    <m/>
  </r>
  <r>
    <x v="0"/>
    <s v="ACTIVO"/>
    <s v="CON GEOVICTORIA"/>
    <s v="Cédula de Ciudadania"/>
    <n v="8769783"/>
    <s v="OROZCO MORON LUIS EDUARDO"/>
    <x v="1"/>
    <s v="OHE4UYXJ"/>
    <d v="2025-06-23T00:00:00"/>
    <s v="COLOMBIA"/>
    <d v="1968-03-11T00:00:00"/>
    <n v="58"/>
    <s v="Masculino"/>
    <s v="Desconocido"/>
    <s v="A"/>
    <s v="POSITIVO"/>
    <s v="Colombiano"/>
    <s v="CL 17 5SUR"/>
    <s v="BARRANQUILLA"/>
    <m/>
    <n v="3023157061"/>
    <s v="viviana.figueroa0827@hotmail.com"/>
    <s v="SALUD TOTAL S.A."/>
    <s v="PROTECCIÓN"/>
    <s v="8600003837"/>
    <s v="Bancolombia"/>
    <m/>
    <m/>
    <m/>
    <m/>
    <m/>
    <m/>
    <m/>
  </r>
  <r>
    <x v="0"/>
    <s v="ACTIVO"/>
    <s v="CON GEOVICTORIA"/>
    <s v="Cédula de Ciudadania"/>
    <n v="73268263"/>
    <s v="OROZCO OROZCO ELIECER ENRIQUE"/>
    <x v="1"/>
    <s v="2W92277X"/>
    <d v="2025-06-23T00:00:00"/>
    <s v="COLOMBIA"/>
    <d v="1971-11-22T00:00:00"/>
    <n v="54"/>
    <s v="Masculino"/>
    <s v="Unión Libre"/>
    <s v="A"/>
    <s v="POSITIVO"/>
    <s v="Colombiano"/>
    <s v="CL 59 G1 KR 4B 45"/>
    <s v="BARRANQUILLA"/>
    <m/>
    <n v="3229119456"/>
    <s v="eliecerorozcoorozco@gmail.com"/>
    <s v="SALUD TOTAL S.A."/>
    <s v="PROTECCIÓN"/>
    <s v="8600003695"/>
    <s v="Bancolombia"/>
    <m/>
    <m/>
    <m/>
    <m/>
    <m/>
    <m/>
    <m/>
  </r>
  <r>
    <x v="0"/>
    <s v="ACTIVO"/>
    <s v="CON GEOVICTORIA"/>
    <s v="Cédula de Ciudadania"/>
    <n v="1042422861"/>
    <s v="PALOMINO VIZCAINO ALVARO ENRIQUE"/>
    <x v="10"/>
    <s v="W163M769"/>
    <d v="2025-06-23T00:00:00"/>
    <s v="COLOMBIA"/>
    <d v="1986-04-23T00:00:00"/>
    <n v="40"/>
    <s v="Masculino"/>
    <s v="Unión Libre"/>
    <s v="O"/>
    <s v="POSITIVO"/>
    <s v="Colombiano"/>
    <s v="CR 11B 45 32"/>
    <s v="BARRANQUILLA"/>
    <m/>
    <n v="3046182964"/>
    <s v="palomino0423@hotmail.com"/>
    <s v="SALUD TOTAL S.A."/>
    <s v="PROTECCIÓN"/>
    <s v="8600003766"/>
    <s v="Bancolombia"/>
    <m/>
    <m/>
    <m/>
    <m/>
    <m/>
    <m/>
    <m/>
  </r>
  <r>
    <x v="0"/>
    <s v="ACTIVO"/>
    <s v="CON GEOVICTORIA"/>
    <s v="Cédula de Ciudadania"/>
    <n v="19603283"/>
    <s v="PAREJO CANTILLO JAVIER ENRIQUE"/>
    <x v="2"/>
    <s v="3TDE4GSF"/>
    <d v="2025-06-23T00:00:00"/>
    <s v="COLOMBIA"/>
    <d v="1984-10-18T00:00:00"/>
    <n v="41"/>
    <s v="Masculino"/>
    <s v="Unión Libre"/>
    <s v="B"/>
    <s v="POSITIVO"/>
    <s v="Colombiano"/>
    <s v="CR 22 51 12"/>
    <s v="BARRANQUILLA"/>
    <m/>
    <n v="3108403470"/>
    <s v="parejojavier77@gmail.com"/>
    <s v="CAJACOPI EPS"/>
    <s v="PORVENIR"/>
    <s v="8600003778"/>
    <s v="Bancolombia"/>
    <m/>
    <m/>
    <m/>
    <m/>
    <m/>
    <m/>
    <m/>
  </r>
  <r>
    <x v="0"/>
    <s v="ACTIVO"/>
    <s v="CON GEOVICTORIA"/>
    <s v="Cédula de Ciudadania"/>
    <n v="73158268"/>
    <s v="HERAZO VALDES MATIAS"/>
    <x v="0"/>
    <s v="4CZQCCFS"/>
    <d v="2025-06-23T00:00:00"/>
    <s v="COLOMBIA"/>
    <d v="1972-05-11T00:00:00"/>
    <n v="54"/>
    <s v="Masculino"/>
    <s v="Unión Libre"/>
    <s v="O"/>
    <s v="POSITIVO"/>
    <s v="Colombiano"/>
    <s v="CR 6 H 96 B 118"/>
    <s v="BARRANQUILLA"/>
    <m/>
    <n v="3142163433"/>
    <s v="herazovaldesmatias@hotmail.com"/>
    <s v="SALUD TOTAL S.A."/>
    <s v="PORVENIR"/>
    <s v="8600003779"/>
    <s v="Bancolombia"/>
    <m/>
    <m/>
    <m/>
    <m/>
    <m/>
    <m/>
    <m/>
  </r>
  <r>
    <x v="0"/>
    <s v="ACTIVO"/>
    <s v="CON GEOVICTORIA"/>
    <s v="Cédula de Ciudadania"/>
    <n v="3875743"/>
    <s v="JIMENEZ HERNANDEZ GERMAN JOSE "/>
    <x v="0"/>
    <m/>
    <d v="2025-12-04T00:00:00"/>
    <s v="COLOMBIA"/>
    <d v="1979-07-09T00:00:00"/>
    <n v="47"/>
    <s v="Masculino"/>
    <s v="Casado(a)"/>
    <s v="O"/>
    <s v="POSITIVO"/>
    <s v="Colombiano"/>
    <s v="Carrera 6BS N° 15A - 10"/>
    <s v="GALAPA "/>
    <s v="SAN MARTIN "/>
    <n v="3044368349"/>
    <s v="gj831913@gemail.com"/>
    <s v="NUEVA EPS"/>
    <s v="PORVENIR "/>
    <n v="3044368349"/>
    <s v="NEQUI"/>
    <n v="3126374052"/>
    <m/>
    <m/>
    <m/>
    <m/>
    <m/>
    <m/>
  </r>
  <r>
    <x v="1"/>
    <s v="ACTIVO"/>
    <s v="SIN GEOVICTORIA"/>
    <s v="Cédula de Ciudadania"/>
    <n v="1103119777"/>
    <s v="PEREZ CONTRERA MARIA GUADALUPE "/>
    <x v="13"/>
    <m/>
    <d v="2025-09-23T00:00:00"/>
    <s v="COLOMBIA"/>
    <d v="1996-12-05T00:00:00"/>
    <n v="29"/>
    <s v="Femenino"/>
    <s v="Soltero(a)"/>
    <s v="O"/>
    <s v="POSITIVO"/>
    <s v="Colombiano"/>
    <s v="CARRERA 22 NUMERO 1 E-86"/>
    <s v="BARRANQUILLA"/>
    <s v="MALLORQUIN"/>
    <n v="3015311888"/>
    <s v="MPEREZCONTRERA12@GMAIL.COM"/>
    <s v="SALUD TOTAL "/>
    <s v="PORVENIR "/>
    <s v="11100022020"/>
    <s v="Bancolombia"/>
    <m/>
    <m/>
    <m/>
    <m/>
    <m/>
    <m/>
    <m/>
  </r>
  <r>
    <x v="0"/>
    <s v="ACTIVO"/>
    <s v="CON GEOVICTORIA"/>
    <s v="Cédula de Ciudadania"/>
    <n v="1001891036"/>
    <s v="PEREZ DE LA TORRE SEBASTIAN ANDRES"/>
    <x v="2"/>
    <s v="9PGT1RPM"/>
    <d v="2025-08-01T00:00:00"/>
    <s v="COLOMBIA"/>
    <d v="2003-10-30T00:00:00"/>
    <n v="22"/>
    <s v="Masculino"/>
    <s v="Soltero(a)"/>
    <s v="O"/>
    <s v="POSITIVO"/>
    <s v="Colombiano"/>
    <s v="CALLE 29 # 30 - 40"/>
    <s v="BARRANQUILLA"/>
    <m/>
    <n v="3014661149"/>
    <m/>
    <m/>
    <m/>
    <s v="0550488458119697"/>
    <s v="Davivienda"/>
    <m/>
    <m/>
    <m/>
    <m/>
    <m/>
    <m/>
    <m/>
  </r>
  <r>
    <x v="0"/>
    <s v="ACTIVO"/>
    <s v="CON GEOVICTORIA"/>
    <s v="Cédula de Ciudadania"/>
    <n v="8718387"/>
    <s v="LOPEZ CAMARGO FRANCISCO ALBERTO"/>
    <x v="0"/>
    <s v="HKMOJD5I"/>
    <d v="2025-06-23T00:00:00"/>
    <s v="COLOMBIA"/>
    <d v="1961-11-29T00:00:00"/>
    <n v="64"/>
    <s v="Masculino"/>
    <s v="Unión Libre"/>
    <s v="O"/>
    <s v="POSITIVO"/>
    <s v="Colombiano"/>
    <s v="CR 1 E 89 62"/>
    <s v="BARRANQUILLA"/>
    <m/>
    <n v="3216961072"/>
    <s v="lopezfrancisco2911@gmail.com"/>
    <s v="SALUD TOTAL S.A."/>
    <s v="PORVENIR"/>
    <s v="8600003787"/>
    <s v="Bancolombia"/>
    <m/>
    <m/>
    <m/>
    <m/>
    <m/>
    <m/>
    <m/>
  </r>
  <r>
    <x v="0"/>
    <s v="ACTIVO"/>
    <s v="CON GEOVICTORIA"/>
    <s v="Cédula de Ciudadania"/>
    <n v="1124009178"/>
    <s v="PEREZ RUA FABIAN ENRIQUE"/>
    <x v="2"/>
    <s v="DKRKHCF8"/>
    <d v="2025-06-23T00:00:00"/>
    <s v="COLOMBIA"/>
    <d v="1988-11-04T00:00:00"/>
    <n v="37"/>
    <s v="Masculino"/>
    <s v="Unión Libre"/>
    <s v="O"/>
    <s v="POSITIVO"/>
    <s v="Colombiano"/>
    <s v="KRA 9 SUR 88 30"/>
    <s v="BARRANQUILLA"/>
    <m/>
    <n v="3008041910"/>
    <s v="fp185546@gmail.com"/>
    <s v="MUTUAL SER"/>
    <s v="PORVENIR"/>
    <s v="95700006714"/>
    <s v="Bancolombia"/>
    <m/>
    <m/>
    <m/>
    <m/>
    <m/>
    <m/>
    <m/>
  </r>
  <r>
    <x v="1"/>
    <s v="ACTIVO"/>
    <s v="SIN GEOVICTORIA"/>
    <s v="Cédula de Ciudadania"/>
    <n v="1143135034"/>
    <s v="REBOLLEDO BELTRAN RANDY ENRIQUE"/>
    <x v="14"/>
    <s v="2RVR1GV3"/>
    <d v="2025-06-23T00:00:00"/>
    <s v="COLOMBIA"/>
    <d v="1992-07-15T00:00:00"/>
    <n v="34"/>
    <s v="Masculino"/>
    <s v="Soltero(a)"/>
    <s v="O"/>
    <s v="POSITIVO"/>
    <s v="Colombiano"/>
    <s v="CL 51 B N 3B 73"/>
    <s v="BARRANQUILLA"/>
    <m/>
    <n v="3187466823"/>
    <s v="randyrebolledobeltral@gmail.com"/>
    <s v="SALUD TOTAL S.A."/>
    <s v="PORVENIR"/>
    <s v="95743403887"/>
    <s v="Bancolombia"/>
    <m/>
    <m/>
    <m/>
    <m/>
    <m/>
    <m/>
    <m/>
  </r>
  <r>
    <x v="0"/>
    <s v="ACTIVO"/>
    <s v="CON GEOVICTORIA"/>
    <s v="Cédula de Ciudadania"/>
    <n v="72155244"/>
    <s v="LOPEZ LIDUEÑA LUIS EDUARDO"/>
    <x v="0"/>
    <s v="EW0PB7FQ"/>
    <d v="2025-06-23T00:00:00"/>
    <s v="COLOMBIA"/>
    <d v="1968-10-23T00:00:00"/>
    <n v="57"/>
    <s v="Masculino"/>
    <s v="Soltero(a)"/>
    <s v="O"/>
    <s v="POSITIVO"/>
    <s v="Colombiano"/>
    <s v="CR 12 E N70 63"/>
    <s v="BARRANQUILLA"/>
    <m/>
    <n v="3003969781"/>
    <s v="luiseduardolopezliduena@gmail.com"/>
    <s v="EPS SURA"/>
    <s v="PROTECCIÓN"/>
    <s v="33007758303"/>
    <s v="Bancolombia"/>
    <m/>
    <m/>
    <m/>
    <m/>
    <m/>
    <m/>
    <m/>
  </r>
  <r>
    <x v="0"/>
    <s v="ACTIVO"/>
    <s v="CON GEOVICTORIA"/>
    <s v="Cédula de Ciudadania"/>
    <n v="1096512013"/>
    <s v="RODRIGUEZ BAYONA JULIAN"/>
    <x v="2"/>
    <s v="X45UGGTZ"/>
    <d v="2025-06-23T00:00:00"/>
    <s v="COLOMBIA"/>
    <d v="1985-06-25T00:00:00"/>
    <n v="41"/>
    <s v="Masculino"/>
    <s v="Unión Libre"/>
    <s v="O"/>
    <s v="POSITIVO"/>
    <s v="Colombiano"/>
    <s v="CR 41G 113 125"/>
    <s v="BARRANQUILLA"/>
    <m/>
    <n v="3004950176"/>
    <s v="Mayalagata.20@gmail.com"/>
    <s v="E.P.S SANITAS"/>
    <s v="PORVENIR"/>
    <s v="8600003807"/>
    <s v="Bancolombia"/>
    <m/>
    <m/>
    <m/>
    <m/>
    <m/>
    <m/>
    <m/>
  </r>
  <r>
    <x v="0"/>
    <s v="ACTIVO"/>
    <s v="CON GEOVICTORIA"/>
    <s v="Cédula de Ciudadania"/>
    <n v="72225725"/>
    <s v="RUSSO OYAGA DAIRO ALDEMAR"/>
    <x v="1"/>
    <s v="4LDWZWXL"/>
    <d v="2025-06-23T00:00:00"/>
    <s v="COLOMBIA"/>
    <d v="1976-10-19T00:00:00"/>
    <n v="49"/>
    <s v="Masculino"/>
    <s v="Unión Libre"/>
    <s v="O"/>
    <s v="POSITIVO"/>
    <s v="Colombiano"/>
    <s v="CR 3D N 37 C 53"/>
    <s v="BARRANQUILLA"/>
    <m/>
    <n v="3012542894"/>
    <s v="dairusso19@hotmail.com"/>
    <s v="SALUD TOTAL S.A."/>
    <s v="PROTECCIÓN"/>
    <s v="8600003726"/>
    <s v="Bancolombia"/>
    <m/>
    <m/>
    <m/>
    <m/>
    <m/>
    <m/>
    <m/>
  </r>
  <r>
    <x v="1"/>
    <s v="ACTIVO"/>
    <s v="SIN GEOVICTORIA"/>
    <s v="Cédula de Ciudadania"/>
    <n v="1143454460"/>
    <s v="RUDAS BERBESI WALTER MIGUEL"/>
    <x v="15"/>
    <s v="S78CEI0A"/>
    <d v="2025-06-28T00:00:00"/>
    <s v="COLOMBIA"/>
    <d v="1995-11-12T00:00:00"/>
    <n v="30"/>
    <s v="Masculino"/>
    <s v="Unión Libre"/>
    <s v="O"/>
    <s v="POSITIVO"/>
    <s v="Colombiano"/>
    <s v="CALLE 26 # 13-43 LAS NIEVES"/>
    <s v="BARRANQUILLA"/>
    <m/>
    <n v="3003858498"/>
    <s v="waltermiguel_ru@hotmail.com"/>
    <m/>
    <m/>
    <s v="3003858498"/>
    <s v="Davivienda"/>
    <m/>
    <m/>
    <m/>
    <m/>
    <m/>
    <m/>
    <m/>
  </r>
  <r>
    <x v="0"/>
    <s v="ACTIVO"/>
    <s v="CON GEOVICTORIA"/>
    <s v="Cédula de Ciudadania"/>
    <n v="72306580"/>
    <s v="MARTES REYES FRANCISCO JAVIER"/>
    <x v="0"/>
    <s v="D9TUWPGA"/>
    <d v="2025-06-23T00:00:00"/>
    <s v="COLOMBIA"/>
    <d v="1971-08-18T00:00:00"/>
    <n v="55"/>
    <s v="Masculino"/>
    <s v="Casado(a)"/>
    <s v="O"/>
    <s v="POSITIVO"/>
    <s v="Colombiano"/>
    <s v="CALLE 8B13B-66"/>
    <s v="POLONUEVO"/>
    <m/>
    <n v="3008606119"/>
    <s v="Martesfrancisco45@gmail.com"/>
    <s v="NUEVA EPS"/>
    <s v="PORVENIR"/>
    <s v="48656168032"/>
    <s v="Bancolombia"/>
    <m/>
    <m/>
    <m/>
    <m/>
    <m/>
    <m/>
    <m/>
  </r>
  <r>
    <x v="0"/>
    <s v="ACTIVO"/>
    <s v="CON GEOVICTORIA"/>
    <s v="Cédula de Ciudadania"/>
    <n v="1083457066"/>
    <s v="SERRANO BARRANCO HAROLD FABIAN"/>
    <x v="1"/>
    <s v="V4SZ0S7S"/>
    <d v="2025-08-01T00:00:00"/>
    <s v="COLOMBIA"/>
    <d v="1986-10-03T00:00:00"/>
    <n v="39"/>
    <s v="Masculino"/>
    <s v="Casado(a)"/>
    <s v="O"/>
    <s v="POSITIVO"/>
    <s v="Colombiano"/>
    <s v="CALLE 18 # 43 - 213"/>
    <s v="SOLEDAD"/>
    <m/>
    <n v="3004941328"/>
    <m/>
    <m/>
    <m/>
    <s v="95774499122"/>
    <s v="Bancolombia"/>
    <m/>
    <m/>
    <m/>
    <m/>
    <m/>
    <m/>
    <m/>
  </r>
  <r>
    <x v="0"/>
    <s v="ACTIVO"/>
    <s v="CON GEOVICTORIA"/>
    <s v="Cédula de Ciudadania"/>
    <n v="1140879058"/>
    <s v="SILVERA PERTUZ JANNER ALBERTO"/>
    <x v="1"/>
    <s v="M8WIP2T4"/>
    <d v="2025-06-23T00:00:00"/>
    <s v="COLOMBIA"/>
    <d v="1995-07-25T00:00:00"/>
    <n v="31"/>
    <s v="Masculino"/>
    <s v="Unión Libre"/>
    <s v="O"/>
    <s v="POSITIVO"/>
    <s v="Colombiano"/>
    <s v="CL 63 8 C 26"/>
    <s v="BARRANQUILLA"/>
    <m/>
    <n v="3005711130"/>
    <s v="jannersilvera25@gmail.com"/>
    <s v="SALUD TOTAL S.A."/>
    <s v="PORVENIR"/>
    <s v="8600003887"/>
    <s v="Bancolombia"/>
    <m/>
    <m/>
    <m/>
    <m/>
    <m/>
    <m/>
    <m/>
  </r>
  <r>
    <x v="0"/>
    <s v="ACTIVO"/>
    <s v="CON GEOVICTORIA"/>
    <s v="Cédula de Ciudadania"/>
    <n v="1148434809"/>
    <s v="SUAREZ DUICA ANDRES ALBERTO"/>
    <x v="1"/>
    <s v="ONDR59ZS"/>
    <d v="2025-06-23T00:00:00"/>
    <s v="COLOMBIA"/>
    <d v="1990-08-11T00:00:00"/>
    <n v="36"/>
    <s v="Masculino"/>
    <s v="Unión Libre"/>
    <s v="O"/>
    <s v="POSITIVO"/>
    <s v="Colombiano"/>
    <s v="Cll 37 # 7a33"/>
    <s v="SOLEDAD"/>
    <m/>
    <n v="3042010760"/>
    <s v="Andresurezduica@gmail.com"/>
    <s v="SALUD TOTAL S.A."/>
    <s v="PROTECCIÓN"/>
    <s v="95759580657"/>
    <s v="Bancolombia"/>
    <m/>
    <m/>
    <m/>
    <m/>
    <m/>
    <m/>
    <m/>
  </r>
  <r>
    <x v="0"/>
    <s v="ACTIVO"/>
    <s v="CON GEOVICTORIA"/>
    <s v="Cédula de Ciudadania"/>
    <n v="1041690848"/>
    <s v="SUAREZ MARTINEZ BREINER DE JESUS"/>
    <x v="2"/>
    <s v="FQNWKUST"/>
    <d v="2025-07-15T00:00:00"/>
    <s v="COLOMBIA"/>
    <d v="2004-05-12T00:00:00"/>
    <n v="22"/>
    <s v="Masculino"/>
    <s v="Unión Libre"/>
    <s v="B"/>
    <s v="POSITIVO"/>
    <s v="Colombiano"/>
    <s v="CARRERA 3 SUR # 98 - 321"/>
    <s v="BARRANQUILLA"/>
    <m/>
    <n v="3006712510"/>
    <s v="breinerzuarez571@gmail.com"/>
    <m/>
    <m/>
    <s v="111014989"/>
    <s v="BBVA"/>
    <m/>
    <m/>
    <m/>
    <m/>
    <m/>
    <m/>
    <m/>
  </r>
  <r>
    <x v="0"/>
    <s v="ACTIVO"/>
    <s v="CON GEOVICTORIA"/>
    <s v="Cédula de Ciudadania"/>
    <n v="1041690849"/>
    <s v="SUAREZ MARTINEZ JAVIER JUNIOR"/>
    <x v="2"/>
    <s v="Z97YUCZK"/>
    <d v="2025-07-21T00:00:00"/>
    <s v="COLOMBIA"/>
    <d v="2004-05-12T00:00:00"/>
    <n v="22"/>
    <s v="Masculino"/>
    <s v="Unión Libre"/>
    <s v="O"/>
    <s v="POSITIVO"/>
    <s v="Colombiano"/>
    <s v="CARRERA 3 SUR # 98 - 321"/>
    <s v="SOLEDAD"/>
    <m/>
    <n v="3006022341"/>
    <s v="javierjuniorsuarezmartinez218@gmail.com"/>
    <m/>
    <m/>
    <s v="111014975"/>
    <s v="BBVA"/>
    <m/>
    <m/>
    <m/>
    <m/>
    <m/>
    <m/>
    <m/>
  </r>
  <r>
    <x v="0"/>
    <s v="ACTIVO"/>
    <s v="CON GEOVICTORIA"/>
    <s v="Cédula de Ciudadania"/>
    <n v="1104008336"/>
    <s v="TORRES NARVAEZ JESUS DEL CRISTO"/>
    <x v="10"/>
    <s v="ZO3S5OPH"/>
    <d v="2025-06-23T00:00:00"/>
    <s v="COLOMBIA"/>
    <d v="1985-09-14T00:00:00"/>
    <n v="40"/>
    <s v="Masculino"/>
    <s v="Unión Libre"/>
    <s v="O"/>
    <s v="POSITIVO"/>
    <s v="Colombiano"/>
    <s v="CL 83 27C 20"/>
    <s v="BARRANQUILLA"/>
    <m/>
    <n v="3207596406"/>
    <s v="jesustorresquick@gmail.com"/>
    <s v="SALUD TOTAL S.A."/>
    <s v="PROTECCIÓN"/>
    <s v="8600003684"/>
    <s v="Bancolombia"/>
    <m/>
    <m/>
    <m/>
    <m/>
    <m/>
    <m/>
    <m/>
  </r>
  <r>
    <x v="0"/>
    <s v="ACTIVO"/>
    <s v="CON GEOVICTORIA"/>
    <s v="Cédula de Ciudadania"/>
    <n v="1005575305"/>
    <s v="TOSCANO FLOREZ JORGE LUIS"/>
    <x v="2"/>
    <s v="FJN2VFLG"/>
    <d v="2025-07-09T00:00:00"/>
    <s v="COLOMBIA"/>
    <d v="1991-09-09T00:00:00"/>
    <n v="34"/>
    <s v="Masculino"/>
    <s v="Unión Libre"/>
    <s v="O"/>
    <s v="POSITIVO"/>
    <s v="Colombiano"/>
    <m/>
    <s v="BARRANQUILLA"/>
    <m/>
    <n v="3215627486"/>
    <s v="luzneryanayagarcia51@gmail.com"/>
    <m/>
    <m/>
    <s v="3215627486"/>
    <s v="Davivienda"/>
    <m/>
    <m/>
    <m/>
    <m/>
    <m/>
    <m/>
    <m/>
  </r>
  <r>
    <x v="0"/>
    <s v="ACTIVO"/>
    <s v="CON GEOVICTORIA"/>
    <s v="Cédula de Ciudadania"/>
    <n v="72043763"/>
    <s v="VILLARREAL OROZCO JUAN CARLOS"/>
    <x v="10"/>
    <s v="HFDNVPIG"/>
    <d v="2025-07-03T00:00:00"/>
    <s v="COLOMBIA"/>
    <d v="1967-09-09T00:00:00"/>
    <n v="58"/>
    <s v="Masculino"/>
    <s v="Unión Libre"/>
    <s v="O"/>
    <s v="POSITIVO"/>
    <s v="Colombiano"/>
    <s v="CL 14 1A 25"/>
    <s v="BARRANQUILLA"/>
    <m/>
    <n v="3022256443"/>
    <s v="juancarlosvillarrealorozco@gmail.com"/>
    <s v="EPS SURA"/>
    <s v="ADMINISTRADORA COLOMBIANA DE PENSIONES COLPENSIONES"/>
    <s v="8600003890"/>
    <s v="Bancolombia"/>
    <m/>
    <m/>
    <m/>
    <m/>
    <m/>
    <m/>
    <m/>
  </r>
  <r>
    <x v="0"/>
    <s v="ACTIVO"/>
    <s v="CON GEOVICTORIA"/>
    <s v="Cédula de Ciudadania"/>
    <n v="1042240637"/>
    <s v="PADILLA BONILLA JORGE FELIPE"/>
    <x v="1"/>
    <s v="JTHNFPI8"/>
    <d v="2025-08-22T00:00:00"/>
    <s v="COLOMBIA"/>
    <d v="1995-12-28T00:00:00"/>
    <n v="30"/>
    <s v="Masculino"/>
    <s v="Casado(a)"/>
    <s v="O"/>
    <s v="POSITIVO"/>
    <s v="Colombiano"/>
    <s v="CALLE 89 A1  # 6H - 13"/>
    <s v="BARRANQUILLA"/>
    <s v="ROMANCE"/>
    <n v="3242656381"/>
    <s v="bonillapadilla17@gmail.com"/>
    <s v="MUTUAL SER "/>
    <m/>
    <s v="3242656381"/>
    <s v="NEQUI"/>
    <m/>
    <m/>
    <m/>
    <m/>
    <m/>
    <m/>
    <m/>
  </r>
  <r>
    <x v="0"/>
    <s v="ACTIVO"/>
    <s v="CON GEOVICTORIA"/>
    <s v="Cédula de Ciudadania"/>
    <n v="12694972"/>
    <s v="VILLEGAS VIDES ALBIS ALBEIRO"/>
    <x v="1"/>
    <s v="0GRGH3R8"/>
    <d v="2025-08-29T00:00:00"/>
    <s v="COLOMBIA"/>
    <d v="1983-09-04T00:00:00"/>
    <n v="42"/>
    <s v="Masculino"/>
    <s v="Casado(a)"/>
    <s v="O"/>
    <s v="POSITIVO"/>
    <s v="Colombiano"/>
    <s v="CARRERA 4F # 40 - 07"/>
    <s v="BARRANQUILLA"/>
    <s v="VILLAN SAN PEDRO"/>
    <n v="3208078789"/>
    <s v="albisvillegas38@gmail.com"/>
    <s v="MUTUAL SER"/>
    <m/>
    <s v="3208078789"/>
    <s v="NEQUI"/>
    <n v="3015373438"/>
    <m/>
    <m/>
    <m/>
    <m/>
    <m/>
    <m/>
  </r>
  <r>
    <x v="0"/>
    <s v="ACTIVO"/>
    <s v="CON GEOVICTORIA"/>
    <s v="Cédula de Ciudadania"/>
    <n v="70754197"/>
    <s v="ZAPATA GOMEZ JHON FREDY "/>
    <x v="5"/>
    <s v="FENK8F4F"/>
    <d v="2025-07-31T00:00:00"/>
    <s v="COLOMBIA"/>
    <d v="1974-03-01T00:00:00"/>
    <n v="52"/>
    <s v="Masculino"/>
    <s v="Unión Libre"/>
    <s v="O"/>
    <s v="POSITIVO"/>
    <s v="Colombiano"/>
    <m/>
    <m/>
    <m/>
    <n v="3015227485"/>
    <m/>
    <m/>
    <m/>
    <s v="3015227485"/>
    <s v="NEQUI"/>
    <m/>
    <m/>
    <m/>
    <m/>
    <m/>
    <m/>
    <m/>
  </r>
  <r>
    <x v="0"/>
    <s v="ACTIVO"/>
    <s v="CON GEOVICTORIA"/>
    <s v="Cédula de Ciudadania"/>
    <n v="72071711"/>
    <s v="MORALES PAYARES EDINSON"/>
    <x v="0"/>
    <m/>
    <d v="2025-12-10T00:00:00"/>
    <s v="COLOMBIA"/>
    <d v="1966-12-06T00:00:00"/>
    <n v="59"/>
    <s v="Masculino"/>
    <s v="Casado(a)"/>
    <s v="O "/>
    <s v="POSITIVO"/>
    <s v="Colombiano"/>
    <s v="CALLE 56 # 6C-51 "/>
    <s v="BARRANQUILLA"/>
    <s v="ALTOS DE LA METRO"/>
    <n v="3012017784"/>
    <s v="EDINSON1925#GMAI.COM"/>
    <s v="CAJACOPI"/>
    <s v="COLPENSIONES"/>
    <n v="3012017784"/>
    <s v="Davivienda"/>
    <n v="3178553448"/>
    <m/>
    <m/>
    <m/>
    <m/>
    <m/>
    <m/>
  </r>
  <r>
    <x v="0"/>
    <s v="ACTIVO"/>
    <s v="CON GEOVICTORIA"/>
    <s v="Cédula de Ciudadania"/>
    <n v="15682605"/>
    <s v="HERRERA MIRANDA HUMBERTO RAUL "/>
    <x v="0"/>
    <m/>
    <d v="2025-11-18T00:00:00"/>
    <s v="COLOMBIA"/>
    <d v="1974-04-24T00:00:00"/>
    <n v="52"/>
    <s v="Masculino"/>
    <s v="Unión Libre"/>
    <s v="O "/>
    <s v="POSITIVO"/>
    <s v="Colombiano"/>
    <s v="Calle 71#12A73 "/>
    <s v="BARRANQUILLA"/>
    <s v="LIPAYA"/>
    <n v="3008219497"/>
    <s v="humbertherrera24@gmail.com"/>
    <s v="NUEVA EPS "/>
    <s v="PROTECCION "/>
    <s v="3008219497"/>
    <s v="NEQUI"/>
    <n v="3022999373"/>
    <m/>
    <m/>
    <m/>
    <m/>
    <m/>
    <m/>
  </r>
  <r>
    <x v="0"/>
    <s v="ACTIVO"/>
    <s v="CON GEOVICTORIA"/>
    <s v="Cédula de Ciudadania"/>
    <n v="1042449029"/>
    <s v="PATIÑO DE LA ROSA BRYAN RAFAEL "/>
    <x v="5"/>
    <s v="4E241UHX"/>
    <d v="2025-11-19T00:00:00"/>
    <s v="COLOMBIA "/>
    <d v="1994-09-09T00:00:00"/>
    <n v="31"/>
    <s v="Masculino"/>
    <s v="Unión Libre"/>
    <s v="B"/>
    <s v="POSITIVO"/>
    <s v="Colombiano"/>
    <s v="CALLE 74 16-05  "/>
    <s v="BARRANQUILLA"/>
    <s v="SOLEDAD"/>
    <n v="3207789192"/>
    <s v="PATINOBRYAN80@GMAIL.COM"/>
    <s v="MUTUAL SER "/>
    <s v="NO APLICA "/>
    <n v="47700011162"/>
    <s v="Bancolombia"/>
    <n v="3125325586"/>
    <m/>
    <m/>
    <m/>
    <m/>
    <m/>
    <m/>
  </r>
  <r>
    <x v="0"/>
    <s v="ACTIVO"/>
    <s v="CON GEOVICTORIA"/>
    <s v="Cédula de Ciudadania"/>
    <n v="72139943"/>
    <s v="NAVARRO MEDINA LUIS FERNANDO "/>
    <x v="0"/>
    <s v="R46WF1RS"/>
    <d v="2025-11-05T00:00:00"/>
    <s v="COLOMBIA"/>
    <d v="1966-04-22T00:00:00"/>
    <n v="60"/>
    <s v="Masculino"/>
    <s v="Casado(a)"/>
    <s v="A"/>
    <s v="POSITIVO"/>
    <s v="Colombiano"/>
    <s v="CALLE 41#31N-131"/>
    <s v="BARRANQUILLA"/>
    <s v="VILLA NUEVA"/>
    <n v="3027260427"/>
    <s v="tatyanaconsuegra1983@gmail.com"/>
    <s v="MUTUAL SER"/>
    <s v="COLPENSIONES"/>
    <s v="3218954918"/>
    <s v="Davivienda"/>
    <n v="3171096911"/>
    <m/>
    <m/>
    <m/>
    <m/>
    <m/>
    <m/>
  </r>
  <r>
    <x v="0"/>
    <s v="ACTIVO"/>
    <s v="CON GEOVICTORIA"/>
    <s v="Cédula de Ciudadania"/>
    <n v="8794703"/>
    <s v="OTERO ORELLANO LORENZO MIGUEL"/>
    <x v="0"/>
    <s v="XXISTMRV"/>
    <d v="2025-06-23T00:00:00"/>
    <s v="COLOMBIA"/>
    <d v="1972-01-08T00:00:00"/>
    <n v="54"/>
    <s v="Masculino"/>
    <s v="Unión Libre"/>
    <s v="O"/>
    <s v="POSITIVO"/>
    <s v="Colombiano"/>
    <s v="CRA 21 # 15 A 512"/>
    <s v="GALAPA"/>
    <m/>
    <n v="3002482666"/>
    <s v="kmoteroblanco@gmail.com"/>
    <s v="SALUD TOTAL S.A."/>
    <s v="PORVENIR"/>
    <s v="8600004987"/>
    <s v="Bancolombia"/>
    <m/>
    <m/>
    <m/>
    <m/>
    <m/>
    <m/>
    <m/>
  </r>
  <r>
    <x v="1"/>
    <s v="ACTIVO"/>
    <s v="SIN GEOVICTORIA"/>
    <s v="Cédula de Ciudadania"/>
    <n v="1143165213"/>
    <s v="BARRAZA PERTUZ RAMIRO ALEXANDER"/>
    <x v="16"/>
    <m/>
    <d v="2025-11-28T00:00:00"/>
    <s v="COLOMBIA"/>
    <d v="1998-03-30T00:00:00"/>
    <n v="28"/>
    <s v="Masculino"/>
    <s v="Unión Libre"/>
    <s v="A"/>
    <s v="POSITIVO"/>
    <s v="Colombiano"/>
    <s v="Carrera 22D #46-27"/>
    <s v="BARRANQUILLA"/>
    <m/>
    <n v="3025529426"/>
    <s v="ramirobarraza6@gmail.com "/>
    <s v="SURA"/>
    <s v="PORVENIR "/>
    <s v="0550488431338455"/>
    <s v="Davivienda"/>
    <n v="3023014918"/>
    <m/>
    <m/>
    <m/>
    <m/>
    <m/>
    <m/>
  </r>
  <r>
    <x v="0"/>
    <s v="ACTIVO"/>
    <s v="CON GEOVICTORIA"/>
    <s v="Cédula de Ciudadania"/>
    <n v="72241146"/>
    <s v="PEÑA ALMEIRA JAVIER ENRIQUE"/>
    <x v="0"/>
    <s v="9EAL3O7T"/>
    <d v="2025-08-01T00:00:00"/>
    <s v="COLOMBIA"/>
    <d v="1978-11-12T00:00:00"/>
    <n v="47"/>
    <s v="Masculino"/>
    <s v="Unión Libre"/>
    <s v="O"/>
    <s v="POSITIVO"/>
    <s v="Colombiano"/>
    <s v="CALLE 39 # IH - 60"/>
    <s v="SOLEDAD"/>
    <m/>
    <n v="3013656552"/>
    <s v="javieralmeira@gmail.com"/>
    <s v="CAJACOPI EPS"/>
    <s v="PROTECCIÓN"/>
    <s v="8600003721"/>
    <s v="Bancolombia"/>
    <m/>
    <m/>
    <m/>
    <m/>
    <m/>
    <m/>
    <m/>
  </r>
  <r>
    <x v="0"/>
    <s v="ACTIVO"/>
    <s v="CON GEOVICTORIA"/>
    <s v="Cédula de Ciudadania"/>
    <n v="73238625"/>
    <s v="MANJARRES TOVAR ADALBERTO MANUEL "/>
    <x v="1"/>
    <m/>
    <d v="2025-12-04T00:00:00"/>
    <s v="COLOMBIA"/>
    <d v="1975-03-05T00:00:00"/>
    <n v="51"/>
    <s v="Masculino"/>
    <s v="Unión Libre"/>
    <s v="O"/>
    <s v="POSITIVO"/>
    <s v="Colombiano"/>
    <s v="Calle 29  n2652"/>
    <s v="BARRANQUILLA"/>
    <s v="FERROCARRIL"/>
    <n v="3004187169"/>
    <s v="Adalbertomanjarrezt75@gmail.com"/>
    <s v="SALUD TOTAL"/>
    <s v="FONDO PENSION "/>
    <n v="8600003714"/>
    <s v="Bancolombia"/>
    <n v="3045262793"/>
    <m/>
    <m/>
    <m/>
    <m/>
    <m/>
    <m/>
  </r>
  <r>
    <x v="1"/>
    <s v="ACTIVO"/>
    <s v="SIN GEOVICTORIA"/>
    <s v="Cédula de Ciudadania"/>
    <n v="1143169979"/>
    <s v="MEJIA IIDUEÑA DARIO ENRIQUE "/>
    <x v="17"/>
    <m/>
    <d v="2025-12-05T00:00:00"/>
    <s v="COLOMBIA"/>
    <d v="1999-08-29T00:00:00"/>
    <n v="26"/>
    <s v="Masculino"/>
    <s v="Unión Libre"/>
    <s v="A"/>
    <s v="POSITIVO"/>
    <s v="Colombiano"/>
    <s v="CALLE 1- E #1-15"/>
    <s v="GALAPA "/>
    <s v="VILLA OLIMPICA "/>
    <n v="3142025129"/>
    <s v="DARIO.MEJIA1999@GMAIL.COM"/>
    <s v="SALUD TOTAL"/>
    <s v="PORVENIR"/>
    <n v="3142025129"/>
    <s v="Davivienda"/>
    <s v="NO TIENE/VIVE SOLO "/>
    <m/>
    <m/>
    <m/>
    <m/>
    <m/>
    <m/>
  </r>
  <r>
    <x v="1"/>
    <s v="ACTIVO"/>
    <s v="CON GEOVICTORIA"/>
    <s v="Cédula de Ciudadania"/>
    <n v="8683046"/>
    <s v="JIMENEZ ORDOÑEZ REMIGIO DONALDO"/>
    <x v="18"/>
    <m/>
    <d v="2025-12-09T00:00:00"/>
    <s v="COLOMBIA"/>
    <d v="1955-05-13T00:00:00"/>
    <n v="71"/>
    <s v="Masculino"/>
    <s v="Casado(a)"/>
    <s v="A"/>
    <s v="POSITIVO"/>
    <s v="Colombiano"/>
    <s v="CALLE 66 # 23-16 "/>
    <s v="SOLEDAD"/>
    <s v="LAS MORAS"/>
    <n v="3126380927"/>
    <s v="remigiojimenezo@gmail.com "/>
    <s v="NUEVA EPS"/>
    <s v="COLPENSIONES"/>
    <n v="40437615691"/>
    <s v="Bancolombia"/>
    <n v="3215310814"/>
    <m/>
    <m/>
    <m/>
    <m/>
    <m/>
    <m/>
  </r>
  <r>
    <x v="0"/>
    <s v="ACTIVO"/>
    <s v="CON GEOVICTORIA"/>
    <s v="Cédula de Ciudadania"/>
    <n v="1001855031"/>
    <s v="PEREIRA CONTRERAS KEVIN ANDRES"/>
    <x v="0"/>
    <s v="4L7OQL5Q"/>
    <d v="2025-06-23T00:00:00"/>
    <s v="COLOMBIA"/>
    <d v="1997-10-09T00:00:00"/>
    <n v="28"/>
    <s v="Masculino"/>
    <s v="Unión Libre"/>
    <s v="O"/>
    <s v="POSITIVO"/>
    <s v="Colombiano"/>
    <s v="CALLE 105#25-121"/>
    <s v="BARRANQUILLA"/>
    <m/>
    <n v="3012896096"/>
    <s v="k3vinandresp@gmail.com"/>
    <s v="EPS SURA"/>
    <s v="PORVENIR"/>
    <s v="44200006248"/>
    <s v="Bancolombia"/>
    <m/>
    <m/>
    <m/>
    <m/>
    <m/>
    <m/>
    <m/>
  </r>
  <r>
    <x v="1"/>
    <s v="ACTIVO"/>
    <s v="SIN GEOVICTORIA"/>
    <s v="Cédula de Ciudadania"/>
    <n v="1007874366"/>
    <s v="MONTES AGAMEZ SARA MARCELA"/>
    <x v="19"/>
    <m/>
    <d v="2025-12-22T00:00:00"/>
    <s v="COLOMBIA"/>
    <d v="2002-10-28T00:00:00"/>
    <n v="23"/>
    <s v="Femenino"/>
    <s v="Soltero(a)"/>
    <s v="O"/>
    <s v="POSITIVO"/>
    <s v="Colombiano"/>
    <s v="CARRERA 28 A # 143C -22 "/>
    <s v="BARRANQUILLA"/>
    <s v="VILLA SAN PABLO "/>
    <n v="3113263020"/>
    <s v="SRAMONTES2810@GMAIL.COM"/>
    <s v="SANITAS"/>
    <s v="PORVENIR"/>
    <s v="8600006124"/>
    <s v="Bancolombia"/>
    <n v="3239278206"/>
    <m/>
    <m/>
    <m/>
    <m/>
    <m/>
    <m/>
  </r>
  <r>
    <x v="0"/>
    <s v="ACTIVO"/>
    <s v="CON GEOVICTORIA"/>
    <s v="Cédula de Ciudadania"/>
    <n v="19563134"/>
    <s v="PEREZ GARCIA LUIS FERNANDO "/>
    <x v="2"/>
    <m/>
    <d v="2025-12-11T00:00:00"/>
    <s v="COLOMBIA"/>
    <d v="1983-10-17T00:00:00"/>
    <n v="42"/>
    <s v="Masculino"/>
    <s v="Unión Libre"/>
    <s v="B"/>
    <s v="POSITIVO"/>
    <s v="Colombiano"/>
    <s v="CARRERA 18 #51-05"/>
    <s v="SOLEDAD"/>
    <s v="VILLA CATANGA "/>
    <n v="3106698106"/>
    <s v="LUIFERPG1617@GMAIL.COM"/>
    <s v="SALUD TOTAL"/>
    <s v="PORVENIR "/>
    <s v="48160201951"/>
    <s v="Bancolombia"/>
    <n v="3014903346"/>
    <m/>
    <m/>
    <m/>
    <m/>
    <m/>
    <m/>
  </r>
  <r>
    <x v="0"/>
    <s v="ACTIVO"/>
    <s v="CON GEOVICTORIA"/>
    <s v="Cédula de Ciudadania"/>
    <n v="84083891"/>
    <s v="PEREZ PULIDO EDWIN JOSE "/>
    <x v="0"/>
    <s v="H5MOL7AX"/>
    <d v="2025-08-01T00:00:00"/>
    <s v="COLOMBIA"/>
    <d v="1977-08-13T00:00:00"/>
    <n v="49"/>
    <s v="Masculino"/>
    <s v="Unión Libre"/>
    <s v="A"/>
    <s v="POSITIVO"/>
    <s v="Colombiano"/>
    <s v="TRANSVERSAL 52A#27-75"/>
    <s v="SOLEDAD"/>
    <m/>
    <n v="3125745762"/>
    <s v="edwinperex77@hotmail.com"/>
    <s v="SALUD TOTAL"/>
    <s v="PROTECCION"/>
    <s v="08000018334"/>
    <s v="Bancolombia"/>
    <m/>
    <m/>
    <m/>
    <m/>
    <m/>
    <m/>
    <m/>
  </r>
  <r>
    <x v="0"/>
    <s v="ACTIVO"/>
    <s v="CON GEOVICTORIA"/>
    <s v="Cédula de Ciudadania"/>
    <n v="1002234903"/>
    <s v="HENRIQUEZ CABEZA ANGEL MOISES "/>
    <x v="1"/>
    <s v="QWMYZH74"/>
    <d v="2025-12-29T00:00:00"/>
    <s v="COLOMBIA"/>
    <d v="1989-01-28T00:00:00"/>
    <n v="37"/>
    <s v="Masculino"/>
    <s v="Unión Libre"/>
    <s v="A"/>
    <s v="POSITIVO"/>
    <s v="Colombiano"/>
    <s v="CARRERA 5B # 52-73 "/>
    <s v="BARRANQUILLA"/>
    <s v="SANTUARIO "/>
    <n v="3234383026"/>
    <s v="ANGELMOISES@GMAIL.COM"/>
    <s v="SURA "/>
    <s v="PORVENIR "/>
    <n v="95700006572"/>
    <s v="Bancolombia"/>
    <n v="3013912571"/>
    <m/>
    <m/>
    <m/>
    <m/>
    <m/>
    <m/>
  </r>
  <r>
    <x v="0"/>
    <s v="ACTIVO"/>
    <s v="CON GEOVICTORIA"/>
    <s v="Cédula de Ciudadania"/>
    <n v="1042850692"/>
    <s v="SANDOVAL SALCEDO JORGE JESUS "/>
    <x v="2"/>
    <s v="QWMYZH74"/>
    <d v="2025-12-29T00:00:00"/>
    <s v="COLOMBIA"/>
    <d v="1995-11-21T00:00:00"/>
    <n v="30"/>
    <s v="Masculino"/>
    <s v="Unión Libre"/>
    <s v="A"/>
    <s v="POSITIVO"/>
    <s v="Colombiano"/>
    <s v=" CALLE 98 C #2D-69 "/>
    <s v="BARRANQUILLA"/>
    <s v="ALTOS DEL METRO"/>
    <n v="3246035786"/>
    <s v="KYLIANLEYLA2125@GMAIL.COM"/>
    <s v="SURA "/>
    <s v="PORVENIR "/>
    <n v="26000794912"/>
    <s v="Davivienda"/>
    <n v="3011132368"/>
    <m/>
    <m/>
    <m/>
    <m/>
    <m/>
    <m/>
  </r>
  <r>
    <x v="0"/>
    <s v="ACTIVO"/>
    <s v="CON GEOVICTORIA"/>
    <s v="Cédula de Ciudadania"/>
    <n v="8499245"/>
    <s v="BONETT ESCORCIA CHRISTIAN ALBERTO"/>
    <x v="10"/>
    <s v="Y26K33LT"/>
    <d v="2026-01-05T00:00:00"/>
    <s v="COLOMBIA"/>
    <d v="1985-07-15T00:00:00"/>
    <n v="41"/>
    <s v="Masculino"/>
    <s v="Unión Libre"/>
    <s v="O"/>
    <s v="POSITIVO"/>
    <s v="Colombiano"/>
    <s v="CALLE 32 # 11F - 23"/>
    <s v="ARENOSA"/>
    <s v="SANTO TOMAS "/>
    <n v="3052117430"/>
    <s v="christianbescorcia@gmail.com"/>
    <s v="SALUD TOTAL S.A."/>
    <s v="PORVENIR "/>
    <n v="8600003732"/>
    <s v="Bancolombia"/>
    <n v="3008544101"/>
    <m/>
    <m/>
    <m/>
    <m/>
    <m/>
    <m/>
  </r>
  <r>
    <x v="0"/>
    <s v="ACTIVO"/>
    <s v="CON GEOVICTORIA"/>
    <s v="Cédula de Ciudadania"/>
    <n v="8766054"/>
    <s v="QUIROZ CASTRO CELSO MANUEL"/>
    <x v="0"/>
    <m/>
    <d v="2025-12-13T00:00:00"/>
    <s v="COLOMBIA"/>
    <d v="1966-01-15T00:00:00"/>
    <n v="60"/>
    <s v="Masculino"/>
    <s v="Soltero(a)"/>
    <s v="A"/>
    <s v="POSITIVO"/>
    <s v="Colombiano"/>
    <s v="KM 29. 15-135"/>
    <s v="SOLEDAD"/>
    <s v="PORVENIR"/>
    <n v="3173096602"/>
    <s v="CQUIROZ.66@GMAIL.COM"/>
    <s v="SALUD TOTAL"/>
    <s v="PROTECCION"/>
    <n v="48184409871"/>
    <s v="Bancolombia"/>
    <n v="3205292580"/>
    <m/>
    <m/>
    <m/>
    <m/>
    <m/>
    <m/>
  </r>
  <r>
    <x v="1"/>
    <s v="ACTIVO"/>
    <s v="SIN GEOVICTORIA"/>
    <s v="Cédula de Ciudadania"/>
    <n v="1045735257"/>
    <s v="RAMOS PALLARES LISNEY PAOLA "/>
    <x v="20"/>
    <s v="I8U9RCKW"/>
    <d v="2026-01-21T00:00:00"/>
    <s v="COLOMBIA"/>
    <d v="1995-12-07T00:00:00"/>
    <n v="30"/>
    <s v="Femenino"/>
    <s v="Soltero(a)"/>
    <s v="O"/>
    <s v="POSITIVO"/>
    <s v="Colombiano"/>
    <s v="CALLE 74 #3E-70 "/>
    <s v="BARRANQUILLA"/>
    <s v="LA SIERRITA "/>
    <n v="3016473495"/>
    <s v="LISPAORAPA16@HOTMAIL.COM"/>
    <s v="FAMISANAR"/>
    <s v="COLPENSIONES"/>
    <s v="3016473495"/>
    <s v="Davivienda"/>
    <n v="3023706872"/>
    <m/>
    <m/>
    <m/>
    <m/>
    <m/>
    <m/>
  </r>
  <r>
    <x v="1"/>
    <s v="ACTIVO"/>
    <s v="CON GEOVICTORIA"/>
    <s v="Cédula de Ciudadania"/>
    <n v="1042436066"/>
    <s v="CORONADO MERCADO MANUEL VICENTE "/>
    <x v="7"/>
    <s v="I8U9RCKW"/>
    <d v="2026-01-21T00:00:00"/>
    <s v="COLOMBIA"/>
    <d v="1988-07-06T00:00:00"/>
    <n v="38"/>
    <s v="Masculino"/>
    <s v="Unión Libre"/>
    <s v="A"/>
    <s v="POSITIVO"/>
    <s v="Colombiano"/>
    <s v="DIAGONAL 79 A 705"/>
    <s v="SOLEDAD"/>
    <s v="NEUVA ESPERANZA "/>
    <n v="3052818770"/>
    <s v="YIDETHMORENO036@GMAIL.COM"/>
    <s v="NUEVA EPS"/>
    <s v="COLMENA"/>
    <s v="47846026203"/>
    <s v="Bancolombia"/>
    <n v="3022191432"/>
    <m/>
    <m/>
    <m/>
    <m/>
    <m/>
    <m/>
  </r>
  <r>
    <x v="0"/>
    <s v="ACTIVO"/>
    <s v="CON GEOVICTORIA"/>
    <s v="Cédula de Ciudadania"/>
    <n v="1047236787"/>
    <s v="PUELLO MUÑOZ KEVIN JOSE "/>
    <x v="1"/>
    <s v="I8U9RCKW"/>
    <d v="2026-01-22T00:00:00"/>
    <s v="COLOMBIA"/>
    <d v="1997-02-26T00:00:00"/>
    <n v="29"/>
    <s v="Masculino"/>
    <s v="Unión Libre"/>
    <s v="O"/>
    <s v="POSITIVO"/>
    <s v="Colombiano"/>
    <s v="CALLE 2 N 54 A 39"/>
    <s v="GALAPA "/>
    <s v="VILLA OLIMPICA"/>
    <n v="3226462282"/>
    <s v="KEVINPUELLOM26@GMAIL.COM"/>
    <m/>
    <m/>
    <s v="0550027200101932"/>
    <s v="Davivienda"/>
    <n v="3116125806"/>
    <m/>
    <m/>
    <m/>
    <m/>
    <m/>
    <m/>
  </r>
  <r>
    <x v="0"/>
    <s v="ACTIVO"/>
    <s v="CON GEOVICTORIA"/>
    <s v="Cédula de Ciudadania"/>
    <n v="1045715255"/>
    <s v="ROJANO LEZEMA KEVIN ENRIQUE "/>
    <x v="2"/>
    <s v="I8U9RCKW"/>
    <d v="2026-01-28T00:00:00"/>
    <s v="COLOMBIA"/>
    <d v="1993-07-14T00:00:00"/>
    <n v="33"/>
    <s v="Masculino"/>
    <s v="Unión Libre"/>
    <s v="A"/>
    <s v="POSITIVO"/>
    <s v="Colombiano"/>
    <s v="DIAGONAL 52 #1D- 29 "/>
    <s v="BARRANQUILLA"/>
    <s v="SANTO DOMINGO "/>
    <n v="3015009948"/>
    <s v="KEVINROJANO03@GMAIL.COM"/>
    <s v="SALUD TOTAL "/>
    <s v="PROTECCION"/>
    <s v="3015009948"/>
    <s v="Davivienda"/>
    <n v="3203015363"/>
    <m/>
    <m/>
    <m/>
    <m/>
    <m/>
    <m/>
  </r>
  <r>
    <x v="0"/>
    <s v="ACTIVO"/>
    <s v="CON GEOVICTORIA"/>
    <s v="Cédula de Ciudadania"/>
    <n v="8527183"/>
    <s v="ROA JIMENEZ VIRGILIO JOSE "/>
    <x v="0"/>
    <s v="AGL9Z0NZ"/>
    <d v="2025-06-23T00:00:00"/>
    <s v="COLOMBIA"/>
    <d v="1984-06-19T00:00:00"/>
    <n v="42"/>
    <s v="Masculino"/>
    <s v="Unión Libre"/>
    <s v="A"/>
    <s v="POSITIVO"/>
    <s v="Colombiano"/>
    <s v="CALLE 17#12-51"/>
    <s v="LURUACO"/>
    <m/>
    <n v="3005435732"/>
    <s v="virgilioroa013@gmail.com"/>
    <s v="COOSALUD"/>
    <s v="PORVENIR"/>
    <s v="12061752836"/>
    <s v="Bancolombia"/>
    <m/>
    <m/>
    <m/>
    <m/>
    <m/>
    <m/>
    <m/>
  </r>
  <r>
    <x v="0"/>
    <s v="ACTIVO"/>
    <s v="CON GEOVICTORIA"/>
    <s v="Cédula de Ciudadania"/>
    <n v="79131885"/>
    <s v="RODRIGUEZ CASTILLO EDWAR ARTURO "/>
    <x v="0"/>
    <m/>
    <d v="2025-11-27T00:00:00"/>
    <s v="COLOMBIA "/>
    <d v="1968-07-20T00:00:00"/>
    <n v="58"/>
    <s v="Masculino"/>
    <s v="Unión Libre"/>
    <s v="A"/>
    <s v="POSITIVO"/>
    <s v="Colombiano"/>
    <s v="CALLE 48C #1-B61 "/>
    <s v="BARRANQUILLA"/>
    <s v="20 DE JULIO "/>
    <n v="3015447365"/>
    <s v="edwarr518@gmail.com"/>
    <s v="MUTUAL SER"/>
    <s v="NO APLICA "/>
    <n v="3015447365"/>
    <s v="NEQUI"/>
    <n v="310793488"/>
    <m/>
    <m/>
    <m/>
    <m/>
    <m/>
    <m/>
  </r>
  <r>
    <x v="1"/>
    <s v="ACTIVO"/>
    <s v="SIN GEOVICTORIA"/>
    <s v="Cédula de Ciudadania"/>
    <n v="1043119954"/>
    <s v="MEDINA FLOREZ SALMA HAEL "/>
    <x v="21"/>
    <s v="I8U9RCKW"/>
    <d v="2026-01-30T00:00:00"/>
    <s v="COLOMBIA"/>
    <d v="2004-11-24T00:00:00"/>
    <n v="21"/>
    <s v="Femenino"/>
    <s v="Soltero(a)"/>
    <s v="O"/>
    <s v="NEGATIVO"/>
    <s v="Colombiano"/>
    <s v="CARRERA 26 #44C- 32"/>
    <s v="SOLEDAD"/>
    <s v="URB MUVDY"/>
    <n v="3235335391"/>
    <s v="SALMAHAMEDINA@GMAIL.COM"/>
    <s v="SANIDAD-POLICIA"/>
    <m/>
    <s v="47800006493"/>
    <s v="Bancolombia"/>
    <n v="3233116401"/>
    <m/>
    <m/>
    <m/>
    <m/>
    <m/>
    <m/>
  </r>
  <r>
    <x v="0"/>
    <s v="ACTIVO"/>
    <s v="SIN GEOVICTORIA"/>
    <s v="Cédula de Ciudadania"/>
    <n v="1001870430"/>
    <s v="ROLONG DE LA TORRE JHOON FREYS "/>
    <x v="0"/>
    <m/>
    <d v="2026-04-14T00:00:00"/>
    <s v="COLOMBIA"/>
    <d v="2001-12-06T00:00:00"/>
    <n v="24"/>
    <s v="Masculino"/>
    <s v="Soltero(a)"/>
    <s v="A"/>
    <s v="POSITIVO"/>
    <s v="Colombiano"/>
    <s v="CALLE 31N #21- 02"/>
    <s v="SABANALARGA "/>
    <s v="SABANALARGA "/>
    <n v="3009429196"/>
    <s v="JHOONFREYSROLONGDELATORRE@GMAIL.COM"/>
    <s v="MUTUAL SER "/>
    <s v="PORVENIR"/>
    <n v="3009429196"/>
    <s v="NEQUI"/>
    <n v="3044070546"/>
    <m/>
    <m/>
    <m/>
    <m/>
    <m/>
    <m/>
  </r>
  <r>
    <x v="0"/>
    <s v="ACTIVO"/>
    <s v="CON GEOVICTORIA"/>
    <s v="Cédula de Ciudadania"/>
    <n v="1041896114"/>
    <s v="PADILLA DE LA HOZ JUAN CARLOS "/>
    <x v="5"/>
    <m/>
    <d v="2026-02-03T00:00:00"/>
    <s v="COLOMBIA"/>
    <d v="1991-08-07T00:00:00"/>
    <n v="35"/>
    <s v="Masculino"/>
    <s v="Soltero(a)"/>
    <s v="B"/>
    <s v="POSITIVO"/>
    <s v="Colombiano"/>
    <s v="CARRERA 33C #15 BLOQUE 4 "/>
    <s v="SOLEDAD "/>
    <s v="MANUELA BELTRAN "/>
    <n v="3012851179"/>
    <s v="JUANCAPADILLA89@GMAIL.COM"/>
    <s v="NUEVA EPS "/>
    <s v="PROTECCION"/>
    <n v="48667059499"/>
    <s v="Bancolombia"/>
    <n v="3218098845"/>
    <m/>
    <m/>
    <m/>
    <m/>
    <m/>
    <m/>
  </r>
  <r>
    <x v="0"/>
    <s v="ACTIVO"/>
    <s v="CON GEOVICTORIA"/>
    <s v="Cédula de Ciudadania"/>
    <n v="17956099"/>
    <s v="ACOSTA SOLANO GREGORIO ENRIQUE "/>
    <x v="2"/>
    <s v="3V4XYY8Y"/>
    <d v="2026-02-12T00:00:00"/>
    <s v="COLOMBIA"/>
    <d v="1976-12-03T00:00:00"/>
    <n v="49"/>
    <s v="Masculino"/>
    <s v="Unión Libre"/>
    <s v="AB"/>
    <s v="POSITIVO"/>
    <s v="Colombiano"/>
    <s v="CALLE 97 CASA 754"/>
    <s v="BARRANQUILLA"/>
    <s v="LAS MALVINAS"/>
    <n v="3104626548"/>
    <s v="GREGORIOSOLANO444@GMAIL.COM"/>
    <s v="SALUD TOTAL "/>
    <s v="PORVENIR"/>
    <s v="8600003752"/>
    <s v="Bancolombia"/>
    <n v="3153546136"/>
    <m/>
    <m/>
    <m/>
    <m/>
    <m/>
    <m/>
  </r>
  <r>
    <x v="0"/>
    <s v="ACTIVO"/>
    <s v="SIN GEOVICTORIA"/>
    <s v="Cédula de Ciudadania"/>
    <n v="1045234335"/>
    <s v=" SIADO ROA LUIS ANGEL"/>
    <x v="2"/>
    <m/>
    <d v="2026-02-23T00:00:00"/>
    <s v="COLOMBIA"/>
    <d v="1992-06-03T00:00:00"/>
    <n v="34"/>
    <s v="Masculino"/>
    <s v="Unión Libre"/>
    <s v="O"/>
    <s v="POSITIVO"/>
    <s v="Colombiano"/>
    <s v="CARRERA 20 # 19-99"/>
    <s v="LURUACO"/>
    <s v="CORDIALIDAD"/>
    <n v="3242150736"/>
    <s v="LUISSIADO@GMAIL.COM"/>
    <s v="SALUD TOTAL "/>
    <s v="FNA"/>
    <n v="3242150736"/>
    <s v="Davivienda"/>
    <n v="3017751435"/>
    <m/>
    <m/>
    <m/>
    <m/>
    <m/>
    <m/>
  </r>
  <r>
    <x v="1"/>
    <s v="ACTIVO"/>
    <s v="CON GEOVICTORIA"/>
    <s v="Cédula de Ciudadania"/>
    <n v="72260430"/>
    <s v="PRETELL GONZALEZ JAVIER EDUARDO "/>
    <x v="21"/>
    <m/>
    <d v="2026-02-28T00:00:00"/>
    <s v="COLOMBIA"/>
    <d v="1981-02-02T00:00:00"/>
    <n v="45"/>
    <s v="Masculino"/>
    <s v="Casado(a)"/>
    <s v="O"/>
    <s v="POSITIVO"/>
    <s v="Colombiano"/>
    <s v="CARRERA 13A #43-36"/>
    <s v="SOLEDAD"/>
    <s v="SOLEDAD 2000"/>
    <n v="3013196484"/>
    <s v="JAVIER.PRETELL0102@GMAIL.COM"/>
    <s v="SURA"/>
    <s v="PORVENIR"/>
    <n v="3013196484"/>
    <s v="Davivienda"/>
    <n v="3007407412"/>
    <m/>
    <m/>
    <m/>
    <m/>
    <m/>
    <m/>
  </r>
  <r>
    <x v="1"/>
    <s v="ACTIVO"/>
    <s v="CON GEOVICTORIA"/>
    <s v="Cédula de Ciudadania"/>
    <n v="1048206225"/>
    <s v="BALDOVINO POLO YAMIL JOSE "/>
    <x v="22"/>
    <m/>
    <d v="2026-03-03T00:00:00"/>
    <s v="COLOMBIA"/>
    <d v="2005-06-02T00:00:00"/>
    <n v="21"/>
    <s v="Masculino"/>
    <s v="Soltero(a)"/>
    <s v="O"/>
    <s v="POSITIVO"/>
    <s v="Colombiano"/>
    <s v="CRA 26 calle 10b Manza 11 casa 2"/>
    <s v="BARANOA"/>
    <s v="VILLA CAROLINA"/>
    <n v="3212646916"/>
    <s v="yamilpolo@outlook.com"/>
    <s v="NUEVA EPS"/>
    <s v="PORVENIR"/>
    <n v="13100007652"/>
    <s v="Bancolombia"/>
    <n v="3212646916"/>
    <m/>
    <m/>
    <m/>
    <m/>
    <m/>
    <m/>
  </r>
  <r>
    <x v="1"/>
    <s v="ACTIVO"/>
    <s v="CON GEOVICTORIA"/>
    <s v="Cédula de Ciudadania"/>
    <n v="1042448189"/>
    <s v="FRANCO GUTIERREZ BRAYAN ADOLFO"/>
    <x v="21"/>
    <m/>
    <d v="2026-03-11T00:00:00"/>
    <s v="COLOMBIA"/>
    <d v="1994-05-11T00:00:00"/>
    <n v="32"/>
    <s v="Masculino"/>
    <s v="Soltero(a)"/>
    <s v="O"/>
    <s v="POSITIVO"/>
    <s v="Colombiano"/>
    <s v="CARRERA 28 #16A-21"/>
    <s v="SOLEDAD"/>
    <s v="PORVENIR"/>
    <n v="3008366045"/>
    <s v="BRAYANF94.BF@GMAIL.COM"/>
    <s v="SALUD TOTAL "/>
    <s v="COLPENSIONES"/>
    <n v="3008366045"/>
    <s v="Davivienda"/>
    <n v="3146648398"/>
    <m/>
    <m/>
    <m/>
    <m/>
    <m/>
    <m/>
  </r>
  <r>
    <x v="1"/>
    <s v="ACTIVO"/>
    <s v="SIN GEOVICTORIA"/>
    <s v="Cédula de Ciudadania"/>
    <n v="1221973541"/>
    <s v="TETE MELENDREZ ASIR MIGUEL"/>
    <x v="12"/>
    <m/>
    <d v="2026-03-27T00:00:00"/>
    <s v="COLOMBIA"/>
    <d v="1997-05-28T00:00:00"/>
    <n v="29"/>
    <s v="Masculino"/>
    <s v="Unión Libre"/>
    <s v="O"/>
    <s v="POSITIVO"/>
    <s v="Colombiano"/>
    <s v="CALLE 16 #16-38"/>
    <s v="GALAPA "/>
    <s v="LA VICTORIA"/>
    <n v="3127246131"/>
    <s v="atetemelendrez1997@gmail.com"/>
    <s v="NUEVA EPS"/>
    <s v="PROTECCION"/>
    <n v="110500047169"/>
    <s v="Davivienda"/>
    <n v="314551446"/>
    <m/>
    <m/>
    <m/>
    <m/>
    <m/>
    <m/>
  </r>
  <r>
    <x v="0"/>
    <s v="ACTIVO"/>
    <s v="SIN GEOVICTORIA"/>
    <s v="Cédula de Ciudadania"/>
    <n v="1042433632"/>
    <s v="FUENTES NIETO LUIS ALBERTO "/>
    <x v="1"/>
    <m/>
    <d v="2026-04-14T00:00:00"/>
    <s v="COLOMBIA"/>
    <d v="1990-03-12T00:00:00"/>
    <n v="36"/>
    <s v="Masculino"/>
    <s v="Unión Libre"/>
    <s v="O"/>
    <s v="POSITIVO"/>
    <s v="Colombiano"/>
    <s v="CARRERA 26 D # 15-41 "/>
    <s v="SOLEDAD"/>
    <s v="CRUZ DE MAYO "/>
    <n v="3218896582"/>
    <s v="LUISALBERTOFUENTESNIETO@GMAIL.COM"/>
    <s v="SALUD TOTAL "/>
    <s v="PROTECCION"/>
    <n v="550029700105645"/>
    <s v="Davivienda"/>
    <n v="3167716255"/>
    <m/>
    <m/>
    <m/>
    <m/>
    <m/>
    <m/>
  </r>
  <r>
    <x v="0"/>
    <s v="ACTIVO"/>
    <s v="SIN GEOVICTORIA"/>
    <s v="Cédula de Ciudadania"/>
    <n v="1143453391"/>
    <s v="JIMENEZ VILLAVIZAR SAITH ANTONIO "/>
    <x v="2"/>
    <m/>
    <d v="2026-04-27T00:00:00"/>
    <s v="COLOMBIA"/>
    <d v="1995-04-11T00:00:00"/>
    <n v="31"/>
    <s v="Masculino"/>
    <s v="Soltero(a)"/>
    <s v="O"/>
    <s v="POSITIVO"/>
    <s v="Colombiano"/>
    <s v="TRANSV 1 A 2 74-09 "/>
    <s v="SOLEDAD"/>
    <s v="DOM BOSCO IV"/>
    <n v="3503485677"/>
    <s v="SAITHJIMENEZ@GMAIL.COM"/>
    <s v="SALUD TOTAL "/>
    <s v="COLFONDOS"/>
    <n v="3503485677"/>
    <s v="Davivienda"/>
    <n v="3214282390"/>
    <m/>
    <m/>
    <m/>
    <m/>
    <m/>
    <m/>
  </r>
  <r>
    <x v="1"/>
    <s v="ACTIVO"/>
    <s v="SIN GEOVICTORIA"/>
    <s v="Cédula de Ciudadania"/>
    <n v="72357321"/>
    <s v="OSPINO TURIZZO JAVIER ROQUE"/>
    <x v="18"/>
    <m/>
    <d v="2026-04-27T00:00:00"/>
    <s v="COLOMBIA"/>
    <d v="1985-11-03T00:00:00"/>
    <n v="40"/>
    <s v="Masculino"/>
    <s v="Unión Libre"/>
    <s v="O"/>
    <s v="POSITIVO"/>
    <s v="Colombiano"/>
    <s v="CARRERA 8C # 40-49"/>
    <s v="BARRANQUILLA"/>
    <s v="ALBORAYA "/>
    <n v="3016063635"/>
    <s v="JAVIERROQUE@GMAIL.COM"/>
    <s v="SALUD TOTAL "/>
    <m/>
    <n v="3016063635"/>
    <s v="Davivienda"/>
    <n v="3108848587"/>
    <m/>
    <m/>
    <m/>
    <m/>
    <m/>
    <m/>
  </r>
  <r>
    <x v="0"/>
    <s v="ACTIVO"/>
    <s v="SIN GEOVICTORIA"/>
    <s v="Cédula de Ciudadania"/>
    <n v="72184506"/>
    <s v="SARMIENTO VILLA RAFAEL EDUARDO"/>
    <x v="0"/>
    <m/>
    <d v="2026-05-14T00:00:00"/>
    <s v="COLOMBIA"/>
    <d v="1972-02-18T00:00:00"/>
    <n v="54"/>
    <s v="Masculino"/>
    <s v="Casado(a)"/>
    <s v="A"/>
    <s v="POSITIVO"/>
    <s v="Colombiano"/>
    <s v="CALLE 44 #5b -67 APTO 2"/>
    <s v="BARRANQUILLA"/>
    <s v="BUENOS AIRES"/>
    <n v="3155073277"/>
    <s v="RAFAELEDUARDO@GMAIL.COM"/>
    <s v="SURA"/>
    <s v="PORVENIR"/>
    <n v="95753717634"/>
    <s v="Bancolombia"/>
    <n v="3022993697"/>
    <m/>
    <m/>
    <m/>
    <m/>
    <m/>
    <m/>
  </r>
  <r>
    <x v="0"/>
    <s v="ACTIVO"/>
    <s v="CON GEOVICTORIA"/>
    <s v="Cédula de Ciudadania"/>
    <n v="1068387809"/>
    <s v="TOBAR CERVANTES JOSE LUIS"/>
    <x v="0"/>
    <s v="I8U9RCKW"/>
    <d v="2026-01-21T00:00:00"/>
    <s v="COLOMBIA"/>
    <d v="1993-03-04T00:00:00"/>
    <n v="33"/>
    <s v="Masculino"/>
    <s v="Soltero(a)"/>
    <s v="O"/>
    <s v="POSITIVO"/>
    <s v="Colombiano"/>
    <s v="CARRERA 34 # 26 - 31"/>
    <s v="BARRANQUILLA"/>
    <m/>
    <n v="3001644994"/>
    <s v="JOSELUISTOVAR@GMAIL.COM"/>
    <m/>
    <m/>
    <s v="3117759031"/>
    <s v="NEQUI"/>
    <m/>
    <m/>
    <m/>
    <m/>
    <m/>
    <m/>
    <m/>
  </r>
  <r>
    <x v="0"/>
    <s v="ACTIVO"/>
    <s v="SIN GEOVICTORIA"/>
    <s v="Cédula de Ciudadania"/>
    <n v="1140817629"/>
    <s v="CAMARGO DE LA ROSA MARIO JAVIER "/>
    <x v="5"/>
    <m/>
    <d v="2026-05-14T00:00:00"/>
    <s v="COLOMBIA"/>
    <d v="1988-11-14T00:00:00"/>
    <n v="37"/>
    <s v="Masculino"/>
    <s v="Casado(a)"/>
    <s v="A"/>
    <s v="POSITIVO"/>
    <s v="Colombiano"/>
    <s v="CARRERA 30 NO. 51-49"/>
    <s v="BARRANQUILLA"/>
    <s v="SAN ISIDRO"/>
    <n v="3015909104"/>
    <s v="MAJACA88@HOTMAIL.COM"/>
    <s v="SURA"/>
    <s v="PORVENIR "/>
    <n v="77360091573"/>
    <s v="Bancolombia"/>
    <n v="3003028260"/>
    <m/>
    <m/>
    <m/>
    <m/>
    <m/>
    <m/>
  </r>
  <r>
    <x v="1"/>
    <s v="ACTIVO"/>
    <s v="SIN GEOVICTORIA"/>
    <s v="Cédula de Ciudadania"/>
    <n v="1045732361"/>
    <s v="REALES ORTEGA DAVID ENRIQUE "/>
    <x v="1"/>
    <m/>
    <d v="2026-05-21T00:00:00"/>
    <s v="COLOMBIA"/>
    <d v="1995-08-30T00:00:00"/>
    <n v="30"/>
    <s v="Masculino"/>
    <s v="Soltero(a)"/>
    <s v="O"/>
    <s v="POSITIVO"/>
    <s v="Colombiano"/>
    <s v="CARRERA 14A #15-20"/>
    <s v="BARRANQUILLA"/>
    <s v="LA PLAYA"/>
    <n v="3015306179"/>
    <s v="DAVIDREALEs28@HOTMAIl.COM"/>
    <s v="SURA"/>
    <s v="PORVENIR"/>
    <n v="3015306179"/>
    <s v="Davivienda"/>
    <n v="3015621362"/>
    <s v="Mama"/>
    <m/>
    <m/>
    <m/>
    <m/>
    <m/>
  </r>
  <r>
    <x v="0"/>
    <s v="ACTIVO"/>
    <s v="SIN GEOVICTORIA"/>
    <s v="Cédula de Ciudadania"/>
    <n v="1042354246"/>
    <s v="PACHECO MUÑOZ JESUS DAVID"/>
    <x v="1"/>
    <m/>
    <d v="2026-05-23T00:00:00"/>
    <s v="COLOMBIA"/>
    <d v="1995-09-13T00:00:00"/>
    <n v="30"/>
    <s v="Masculino"/>
    <s v="Casado(a)"/>
    <s v="A"/>
    <s v="POSITIVO"/>
    <s v="Colombiano"/>
    <s v="CARRERA 10 #1-43 APTO 2 "/>
    <s v="SABANA GRANDE "/>
    <s v="2 DDE MARZO"/>
    <n v="3016142299"/>
    <s v="PACHECOMUÑOZJESUDAVID290@HOTMAIL.COM"/>
    <s v="MUTUAL SER "/>
    <s v="PORVENIR"/>
    <n v="3154283056"/>
    <s v="Davivienda"/>
    <n v="3017552413"/>
    <s v="Mama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 5" cacheId="149" applyNumberFormats="0" applyBorderFormats="0" applyFontFormats="0" applyPatternFormats="0" applyAlignmentFormats="0" applyWidthHeightFormats="0" dataCaption="" updatedVersion="8" compact="0" compactData="0">
  <location ref="A3:B10" firstHeaderRow="1" firstDataRow="1" firstDataCol="1" rowPageCount="1" colPageCount="1"/>
  <pivotFields count="33">
    <pivotField name="TIPO DE PERSONAL" axis="axisPage" compact="0" outline="0" multipleItemSelectionAllowed="1" showAll="0">
      <items count="3">
        <item x="0"/>
        <item h="1" x="1"/>
        <item t="default"/>
      </items>
    </pivotField>
    <pivotField name="ESTADO" compact="0" outline="0" multipleItemSelectionAllowed="1" showAll="0"/>
    <pivotField name="GEOVICTORIA" compact="0" outline="0" multipleItemSelectionAllowed="1" showAll="0"/>
    <pivotField name="TIPO DE DOCUMENTO" compact="0" outline="0" multipleItemSelectionAllowed="1" showAll="0"/>
    <pivotField name="NÚMERO DE DOCUMENTO" dataField="1" compact="0" outline="0" multipleItemSelectionAllowed="1" showAll="0"/>
    <pivotField name="APELLIDOS Y NOMBRES" compact="0" outline="0" multipleItemSelectionAllowed="1" showAll="0"/>
    <pivotField name="CARGO" axis="axisRow" compact="0" outline="0" multipleItemSelectionAllowed="1" showAll="0" sortType="ascending">
      <items count="24">
        <item x="12"/>
        <item x="1"/>
        <item x="3"/>
        <item x="20"/>
        <item x="21"/>
        <item x="16"/>
        <item x="0"/>
        <item x="4"/>
        <item x="10"/>
        <item x="14"/>
        <item x="19"/>
        <item x="8"/>
        <item x="13"/>
        <item x="11"/>
        <item x="5"/>
        <item x="9"/>
        <item x="18"/>
        <item x="7"/>
        <item x="2"/>
        <item x="17"/>
        <item x="6"/>
        <item x="22"/>
        <item x="15"/>
        <item t="default"/>
      </items>
    </pivotField>
    <pivotField name="QR SAFETY" compact="0" outline="0" multipleItemSelectionAllowed="1" showAll="0"/>
    <pivotField name="FECHA DE INGRESO" compact="0" numFmtId="164" outline="0" multipleItemSelectionAllowed="1" showAll="0"/>
    <pivotField name="PAIS DE NACIMIENTO" compact="0" outline="0" multipleItemSelectionAllowed="1" showAll="0"/>
    <pivotField name="FECHA DE NACIMIENTO" compact="0" numFmtId="164" outline="0" multipleItemSelectionAllowed="1" showAll="0"/>
    <pivotField name="AÑOS" compact="0" outline="0" multipleItemSelectionAllowed="1" showAll="0"/>
    <pivotField name="GENERO" compact="0" outline="0" multipleItemSelectionAllowed="1" showAll="0"/>
    <pivotField name="ESTADO CIVIL" compact="0" outline="0" multipleItemSelectionAllowed="1" showAll="0"/>
    <pivotField name="GRUPO SANGUINEO" compact="0" outline="0" multipleItemSelectionAllowed="1" showAll="0"/>
    <pivotField name="FACTOR RH" compact="0" outline="0" multipleItemSelectionAllowed="1" showAll="0"/>
    <pivotField name="NACIONALIDAD" compact="0" outline="0" multipleItemSelectionAllowed="1" showAll="0"/>
    <pivotField name="DIRECCION RESIDENCIA" compact="0" outline="0" multipleItemSelectionAllowed="1" showAll="0"/>
    <pivotField name="CIUDAD DE RESIDENCIA" compact="0" outline="0" multipleItemSelectionAllowed="1" showAll="0"/>
    <pivotField name="BARRIO" compact="0" outline="0" multipleItemSelectionAllowed="1" showAll="0"/>
    <pivotField name="CELULAR" compact="0" outline="0" multipleItemSelectionAllowed="1" showAll="0"/>
    <pivotField name="E MAIL" compact="0" outline="0" multipleItemSelectionAllowed="1" showAll="0"/>
    <pivotField name="EPS" compact="0" outline="0" multipleItemSelectionAllowed="1" showAll="0"/>
    <pivotField name="AFP" compact="0" outline="0" multipleItemSelectionAllowed="1" showAll="0"/>
    <pivotField name="NUMERO DE CUENTA" compact="0" outline="0" multipleItemSelectionAllowed="1" showAll="0"/>
    <pivotField name="BANCO" compact="0" outline="0" multipleItemSelectionAllowed="1" showAll="0"/>
    <pivotField name="NUMERO DE TELEFONO DE EMERGENCIA " compact="0" outline="0" multipleItemSelectionAllowed="1" showAll="0"/>
    <pivotField name="PARIENTE EN CASO DE EMERGENCIA 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</pivotFields>
  <rowFields count="1">
    <field x="6"/>
  </rowFields>
  <rowItems count="7">
    <i>
      <x v="1"/>
    </i>
    <i>
      <x v="6"/>
    </i>
    <i>
      <x v="7"/>
    </i>
    <i>
      <x v="8"/>
    </i>
    <i>
      <x v="14"/>
    </i>
    <i>
      <x v="18"/>
    </i>
    <i t="grand">
      <x/>
    </i>
  </rowItems>
  <colItems count="1">
    <i/>
  </colItems>
  <pageFields count="1">
    <pageField fld="0" hier="0"/>
  </pageFields>
  <dataFields count="1">
    <dataField name="COUNTA of NÚMERO DE DOCUMENTO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alimgomezmorales@gmail.com" TargetMode="External"/><Relationship Id="rId21" Type="http://schemas.openxmlformats.org/officeDocument/2006/relationships/hyperlink" Target="mailto:jaiderpico1018@gmail.com" TargetMode="External"/><Relationship Id="rId42" Type="http://schemas.openxmlformats.org/officeDocument/2006/relationships/hyperlink" Target="mailto:josemendozagomez648@gmail.com" TargetMode="External"/><Relationship Id="rId47" Type="http://schemas.openxmlformats.org/officeDocument/2006/relationships/hyperlink" Target="mailto:jean92lopez@gmail.com" TargetMode="External"/><Relationship Id="rId63" Type="http://schemas.openxmlformats.org/officeDocument/2006/relationships/hyperlink" Target="mailto:kevindavid032327@gmail.com" TargetMode="External"/><Relationship Id="rId68" Type="http://schemas.openxmlformats.org/officeDocument/2006/relationships/hyperlink" Target="mailto:josedavid24@gmail.com" TargetMode="External"/><Relationship Id="rId84" Type="http://schemas.openxmlformats.org/officeDocument/2006/relationships/hyperlink" Target="mailto:jhonborrero1979@gmail.com" TargetMode="External"/><Relationship Id="rId89" Type="http://schemas.openxmlformats.org/officeDocument/2006/relationships/hyperlink" Target="mailto:yoselinsolano202022@gmail.com" TargetMode="External"/><Relationship Id="rId16" Type="http://schemas.openxmlformats.org/officeDocument/2006/relationships/hyperlink" Target="mailto:SAMUELDELACRUZ0509@GMAIL.COM" TargetMode="External"/><Relationship Id="rId11" Type="http://schemas.openxmlformats.org/officeDocument/2006/relationships/hyperlink" Target="mailto:jhoneverceballosalvarez@gmail.com" TargetMode="External"/><Relationship Id="rId32" Type="http://schemas.openxmlformats.org/officeDocument/2006/relationships/hyperlink" Target="mailto:gutierrezoneil98@gmail.com" TargetMode="External"/><Relationship Id="rId37" Type="http://schemas.openxmlformats.org/officeDocument/2006/relationships/hyperlink" Target="mailto:jeisonpacheco1922@gmail.com" TargetMode="External"/><Relationship Id="rId53" Type="http://schemas.openxmlformats.org/officeDocument/2006/relationships/hyperlink" Target="mailto:leomatapro144@gmail.com" TargetMode="External"/><Relationship Id="rId58" Type="http://schemas.openxmlformats.org/officeDocument/2006/relationships/hyperlink" Target="mailto:mazahurtadowiltonjesus@gmail.com" TargetMode="External"/><Relationship Id="rId74" Type="http://schemas.openxmlformats.org/officeDocument/2006/relationships/hyperlink" Target="mailto:perezedwin0813@gmail.com" TargetMode="External"/><Relationship Id="rId79" Type="http://schemas.openxmlformats.org/officeDocument/2006/relationships/hyperlink" Target="mailto:williamprentt24@hotmail.com" TargetMode="External"/><Relationship Id="rId5" Type="http://schemas.openxmlformats.org/officeDocument/2006/relationships/hyperlink" Target="mailto:ianjose0412@gmail.com" TargetMode="External"/><Relationship Id="rId90" Type="http://schemas.openxmlformats.org/officeDocument/2006/relationships/hyperlink" Target="mailto:danieltorresmanjarrez@gmail.com" TargetMode="External"/><Relationship Id="rId22" Type="http://schemas.openxmlformats.org/officeDocument/2006/relationships/hyperlink" Target="mailto:javierescorcia242@gmail.com" TargetMode="External"/><Relationship Id="rId27" Type="http://schemas.openxmlformats.org/officeDocument/2006/relationships/hyperlink" Target="mailto:paolaalcala1305@gmail.com" TargetMode="External"/><Relationship Id="rId43" Type="http://schemas.openxmlformats.org/officeDocument/2006/relationships/hyperlink" Target="mailto:pablofdezdecastro@gmail.com" TargetMode="External"/><Relationship Id="rId48" Type="http://schemas.openxmlformats.org/officeDocument/2006/relationships/hyperlink" Target="mailto:everlora2023@hotmail.com" TargetMode="External"/><Relationship Id="rId64" Type="http://schemas.openxmlformats.org/officeDocument/2006/relationships/hyperlink" Target="mailto:elsasayshajo@gmail.com" TargetMode="External"/><Relationship Id="rId69" Type="http://schemas.openxmlformats.org/officeDocument/2006/relationships/hyperlink" Target="mailto:jossie_palma@hotmail.com" TargetMode="External"/><Relationship Id="rId8" Type="http://schemas.openxmlformats.org/officeDocument/2006/relationships/hyperlink" Target="mailto:leo_calle1993@hotmail.com" TargetMode="External"/><Relationship Id="rId51" Type="http://schemas.openxmlformats.org/officeDocument/2006/relationships/hyperlink" Target="mailto:otonielmarin38@gmail.com" TargetMode="External"/><Relationship Id="rId72" Type="http://schemas.openxmlformats.org/officeDocument/2006/relationships/hyperlink" Target="mailto:peterson1981@live.com" TargetMode="External"/><Relationship Id="rId80" Type="http://schemas.openxmlformats.org/officeDocument/2006/relationships/hyperlink" Target="mailto:f7518896@gmail.com" TargetMode="External"/><Relationship Id="rId85" Type="http://schemas.openxmlformats.org/officeDocument/2006/relationships/hyperlink" Target="mailto:jhonborrero1979@gmail.com" TargetMode="External"/><Relationship Id="rId93" Type="http://schemas.openxmlformats.org/officeDocument/2006/relationships/hyperlink" Target="mailto:leonelvelasquez1995@gmail.com" TargetMode="External"/><Relationship Id="rId3" Type="http://schemas.openxmlformats.org/officeDocument/2006/relationships/hyperlink" Target="mailto:efrainbolano003@gmail.com" TargetMode="External"/><Relationship Id="rId12" Type="http://schemas.openxmlformats.org/officeDocument/2006/relationships/hyperlink" Target="mailto:charliescastillo@hotmail.com" TargetMode="External"/><Relationship Id="rId17" Type="http://schemas.openxmlformats.org/officeDocument/2006/relationships/hyperlink" Target="mailto:stivendemoya01@gmail.com" TargetMode="External"/><Relationship Id="rId25" Type="http://schemas.openxmlformats.org/officeDocument/2006/relationships/hyperlink" Target="mailto:auragomezestevez135@gmail.com" TargetMode="External"/><Relationship Id="rId33" Type="http://schemas.openxmlformats.org/officeDocument/2006/relationships/hyperlink" Target="mailto:wistonguzman123@gmail.com" TargetMode="External"/><Relationship Id="rId38" Type="http://schemas.openxmlformats.org/officeDocument/2006/relationships/hyperlink" Target="mailto:jesusalvoz22@gmail.com" TargetMode="External"/><Relationship Id="rId46" Type="http://schemas.openxmlformats.org/officeDocument/2006/relationships/hyperlink" Target="mailto:ismaeldavidlopezflorez@gmail.com" TargetMode="External"/><Relationship Id="rId59" Type="http://schemas.openxmlformats.org/officeDocument/2006/relationships/hyperlink" Target="mailto:camiloochoamaza@gmail.com" TargetMode="External"/><Relationship Id="rId67" Type="http://schemas.openxmlformats.org/officeDocument/2006/relationships/hyperlink" Target="mailto:wosoriocomas12345@gmail.com" TargetMode="External"/><Relationship Id="rId20" Type="http://schemas.openxmlformats.org/officeDocument/2006/relationships/hyperlink" Target="mailto:johanaortizmendez1@gmail.com" TargetMode="External"/><Relationship Id="rId41" Type="http://schemas.openxmlformats.org/officeDocument/2006/relationships/hyperlink" Target="mailto:jimenezortegaadavison@gmail.com" TargetMode="External"/><Relationship Id="rId54" Type="http://schemas.openxmlformats.org/officeDocument/2006/relationships/hyperlink" Target="mailto:luisalbertomarquezobredor@gmail.com" TargetMode="External"/><Relationship Id="rId62" Type="http://schemas.openxmlformats.org/officeDocument/2006/relationships/hyperlink" Target="mailto:brayanmiranda0594@gmail.com" TargetMode="External"/><Relationship Id="rId70" Type="http://schemas.openxmlformats.org/officeDocument/2006/relationships/hyperlink" Target="mailto:ejpm1109@gmail.com" TargetMode="External"/><Relationship Id="rId75" Type="http://schemas.openxmlformats.org/officeDocument/2006/relationships/hyperlink" Target="mailto:alexispestanaguerrero@gmail.com" TargetMode="External"/><Relationship Id="rId83" Type="http://schemas.openxmlformats.org/officeDocument/2006/relationships/hyperlink" Target="mailto:robertvarela2506@gmail.com" TargetMode="External"/><Relationship Id="rId88" Type="http://schemas.openxmlformats.org/officeDocument/2006/relationships/hyperlink" Target="mailto:jjsegura203@homtail.com" TargetMode="External"/><Relationship Id="rId91" Type="http://schemas.openxmlformats.org/officeDocument/2006/relationships/hyperlink" Target="mailto:toscanoyair12@gmail.com" TargetMode="External"/><Relationship Id="rId1" Type="http://schemas.openxmlformats.org/officeDocument/2006/relationships/hyperlink" Target="mailto:solanoagamez28@gmail.com" TargetMode="External"/><Relationship Id="rId6" Type="http://schemas.openxmlformats.org/officeDocument/2006/relationships/hyperlink" Target="mailto:eduardomurillocaballero@gmail.com" TargetMode="External"/><Relationship Id="rId15" Type="http://schemas.openxmlformats.org/officeDocument/2006/relationships/hyperlink" Target="mailto:dealbacamilo7@gmail.com" TargetMode="External"/><Relationship Id="rId23" Type="http://schemas.openxmlformats.org/officeDocument/2006/relationships/hyperlink" Target="mailto:escorciafavio@gmail.com" TargetMode="External"/><Relationship Id="rId28" Type="http://schemas.openxmlformats.org/officeDocument/2006/relationships/hyperlink" Target="mailto:duvang0528@gmail.com" TargetMode="External"/><Relationship Id="rId36" Type="http://schemas.openxmlformats.org/officeDocument/2006/relationships/hyperlink" Target="mailto:sistemfrank32@gmail.com" TargetMode="External"/><Relationship Id="rId49" Type="http://schemas.openxmlformats.org/officeDocument/2006/relationships/hyperlink" Target="mailto:luisetm1995@gmail.com" TargetMode="External"/><Relationship Id="rId57" Type="http://schemas.openxmlformats.org/officeDocument/2006/relationships/hyperlink" Target="mailto:brayanmartinezorozco12@gmail.com" TargetMode="External"/><Relationship Id="rId10" Type="http://schemas.openxmlformats.org/officeDocument/2006/relationships/hyperlink" Target="mailto:eliecer286@gmail.com" TargetMode="External"/><Relationship Id="rId31" Type="http://schemas.openxmlformats.org/officeDocument/2006/relationships/hyperlink" Target="mailto:danielagutierrezg03@gmail.com" TargetMode="External"/><Relationship Id="rId44" Type="http://schemas.openxmlformats.org/officeDocument/2006/relationships/hyperlink" Target="mailto:leduinmolina4@gmail.com" TargetMode="External"/><Relationship Id="rId52" Type="http://schemas.openxmlformats.org/officeDocument/2006/relationships/hyperlink" Target="mailto:deysomarin2001@gmail.com" TargetMode="External"/><Relationship Id="rId60" Type="http://schemas.openxmlformats.org/officeDocument/2006/relationships/hyperlink" Target="mailto:mendozaefrainmendoza01@gmail.com" TargetMode="External"/><Relationship Id="rId65" Type="http://schemas.openxmlformats.org/officeDocument/2006/relationships/hyperlink" Target="mailto:nelsonorellano69@gmail.com" TargetMode="External"/><Relationship Id="rId73" Type="http://schemas.openxmlformats.org/officeDocument/2006/relationships/hyperlink" Target="mailto:luisferpg1617@gmail.com" TargetMode="External"/><Relationship Id="rId78" Type="http://schemas.openxmlformats.org/officeDocument/2006/relationships/hyperlink" Target="mailto:fp185546@gmail.com" TargetMode="External"/><Relationship Id="rId81" Type="http://schemas.openxmlformats.org/officeDocument/2006/relationships/hyperlink" Target="mailto:javierrico2711@hotmail.com" TargetMode="External"/><Relationship Id="rId86" Type="http://schemas.openxmlformats.org/officeDocument/2006/relationships/hyperlink" Target="mailto:ropero_1980@hotmail.com" TargetMode="External"/><Relationship Id="rId94" Type="http://schemas.openxmlformats.org/officeDocument/2006/relationships/hyperlink" Target="mailto:orozco1508martha@gmail.com" TargetMode="External"/><Relationship Id="rId4" Type="http://schemas.openxmlformats.org/officeDocument/2006/relationships/hyperlink" Target="mailto:pinerescarlos77@gmail.com" TargetMode="External"/><Relationship Id="rId9" Type="http://schemas.openxmlformats.org/officeDocument/2006/relationships/hyperlink" Target="mailto:carrilloantony166@hotmail.com" TargetMode="External"/><Relationship Id="rId13" Type="http://schemas.openxmlformats.org/officeDocument/2006/relationships/hyperlink" Target="mailto:wilmerchavez2409@gmail.com" TargetMode="External"/><Relationship Id="rId18" Type="http://schemas.openxmlformats.org/officeDocument/2006/relationships/hyperlink" Target="mailto:yancydeiber@hotmail.com" TargetMode="External"/><Relationship Id="rId39" Type="http://schemas.openxmlformats.org/officeDocument/2006/relationships/hyperlink" Target="mailto:orlandogerman022@gmail.com" TargetMode="External"/><Relationship Id="rId34" Type="http://schemas.openxmlformats.org/officeDocument/2006/relationships/hyperlink" Target="mailto:urguijoheidy@gmail.com" TargetMode="External"/><Relationship Id="rId50" Type="http://schemas.openxmlformats.org/officeDocument/2006/relationships/hyperlink" Target="mailto:marcosmorap08@gmail.com" TargetMode="External"/><Relationship Id="rId55" Type="http://schemas.openxmlformats.org/officeDocument/2006/relationships/hyperlink" Target="mailto:jesusdanielmartinezcampo@gmail.com" TargetMode="External"/><Relationship Id="rId76" Type="http://schemas.openxmlformats.org/officeDocument/2006/relationships/hyperlink" Target="mailto:toscanoyair12@gmail.com" TargetMode="External"/><Relationship Id="rId7" Type="http://schemas.openxmlformats.org/officeDocument/2006/relationships/hyperlink" Target="mailto:davidjosesarmiento09@gmail.com" TargetMode="External"/><Relationship Id="rId71" Type="http://schemas.openxmlformats.org/officeDocument/2006/relationships/hyperlink" Target="mailto:adolfojunior481@gmail.com" TargetMode="External"/><Relationship Id="rId92" Type="http://schemas.openxmlformats.org/officeDocument/2006/relationships/hyperlink" Target="mailto:carlosvalle1102@gmail.com" TargetMode="External"/><Relationship Id="rId2" Type="http://schemas.openxmlformats.org/officeDocument/2006/relationships/hyperlink" Target="mailto:eduardoayalap21@gmail.com" TargetMode="External"/><Relationship Id="rId29" Type="http://schemas.openxmlformats.org/officeDocument/2006/relationships/hyperlink" Target="mailto:ewinenriquegonzalezsiado@gmail.com" TargetMode="External"/><Relationship Id="rId24" Type="http://schemas.openxmlformats.org/officeDocument/2006/relationships/hyperlink" Target="mailto:eb6473829@gmail.com" TargetMode="External"/><Relationship Id="rId40" Type="http://schemas.openxmlformats.org/officeDocument/2006/relationships/hyperlink" Target="mailto:deydisloracardenas@gmail.com" TargetMode="External"/><Relationship Id="rId45" Type="http://schemas.openxmlformats.org/officeDocument/2006/relationships/hyperlink" Target="mailto:arnovislopez1974@gmail.com" TargetMode="External"/><Relationship Id="rId66" Type="http://schemas.openxmlformats.org/officeDocument/2006/relationships/hyperlink" Target="mailto:karoltatianao39@gmail.com" TargetMode="External"/><Relationship Id="rId87" Type="http://schemas.openxmlformats.org/officeDocument/2006/relationships/hyperlink" Target="mailto:juniordavidsandovaldiaz@gmail.com" TargetMode="External"/><Relationship Id="rId61" Type="http://schemas.openxmlformats.org/officeDocument/2006/relationships/hyperlink" Target="mailto:bartolomequick@gmail.com" TargetMode="External"/><Relationship Id="rId82" Type="http://schemas.openxmlformats.org/officeDocument/2006/relationships/hyperlink" Target="mailto:jrivera1209@outlook.com" TargetMode="External"/><Relationship Id="rId19" Type="http://schemas.openxmlformats.org/officeDocument/2006/relationships/hyperlink" Target="mailto:Deidj2016@gmail.com" TargetMode="External"/><Relationship Id="rId14" Type="http://schemas.openxmlformats.org/officeDocument/2006/relationships/hyperlink" Target="mailto:mculmap@hotmail.com" TargetMode="External"/><Relationship Id="rId30" Type="http://schemas.openxmlformats.org/officeDocument/2006/relationships/hyperlink" Target="mailto:luragu94@gmail.com" TargetMode="External"/><Relationship Id="rId35" Type="http://schemas.openxmlformats.org/officeDocument/2006/relationships/hyperlink" Target="mailto:heinerneoc15@gmail.com" TargetMode="External"/><Relationship Id="rId56" Type="http://schemas.openxmlformats.org/officeDocument/2006/relationships/hyperlink" Target="mailto:martineznarvaezjesus8@gmail.com" TargetMode="External"/><Relationship Id="rId77" Type="http://schemas.openxmlformats.org/officeDocument/2006/relationships/hyperlink" Target="mailto:edwinperex77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dwinperex77@hotmail.com" TargetMode="External"/><Relationship Id="rId3" Type="http://schemas.openxmlformats.org/officeDocument/2006/relationships/hyperlink" Target="mailto:javierescorcia242@gmail.com" TargetMode="External"/><Relationship Id="rId7" Type="http://schemas.openxmlformats.org/officeDocument/2006/relationships/hyperlink" Target="mailto:fp185546@gmail.com" TargetMode="External"/><Relationship Id="rId2" Type="http://schemas.openxmlformats.org/officeDocument/2006/relationships/hyperlink" Target="mailto:mculmap@hotmail.com" TargetMode="External"/><Relationship Id="rId1" Type="http://schemas.openxmlformats.org/officeDocument/2006/relationships/hyperlink" Target="http://logisticos.co/" TargetMode="External"/><Relationship Id="rId6" Type="http://schemas.openxmlformats.org/officeDocument/2006/relationships/hyperlink" Target="mailto:elsasayshajo@gmail.com" TargetMode="External"/><Relationship Id="rId5" Type="http://schemas.openxmlformats.org/officeDocument/2006/relationships/hyperlink" Target="mailto:ismaeldavidlopezflorez@gmail.com" TargetMode="External"/><Relationship Id="rId4" Type="http://schemas.openxmlformats.org/officeDocument/2006/relationships/hyperlink" Target="mailto:escorciafavi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liecer286@gmail.com" TargetMode="External"/><Relationship Id="rId7" Type="http://schemas.openxmlformats.org/officeDocument/2006/relationships/hyperlink" Target="mailto:adolfojunior481@gmail.com" TargetMode="External"/><Relationship Id="rId2" Type="http://schemas.openxmlformats.org/officeDocument/2006/relationships/hyperlink" Target="mailto:nelsonorellano69@gmail.com" TargetMode="External"/><Relationship Id="rId1" Type="http://schemas.openxmlformats.org/officeDocument/2006/relationships/hyperlink" Target="mailto:javierrico2711@hotmail.com" TargetMode="External"/><Relationship Id="rId6" Type="http://schemas.openxmlformats.org/officeDocument/2006/relationships/hyperlink" Target="http://palacioarroyoluisfelipe4gmail.com/" TargetMode="External"/><Relationship Id="rId5" Type="http://schemas.openxmlformats.org/officeDocument/2006/relationships/hyperlink" Target="https://www.google.com/maps/place/Calle+20+%2368d-66/data=!4m2!3m1!19sChIJs0JCuYybP44REmVtOp-qdWE" TargetMode="External"/><Relationship Id="rId4" Type="http://schemas.openxmlformats.org/officeDocument/2006/relationships/hyperlink" Target="mailto:danielagutierrezg0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2.5703125" defaultRowHeight="15" customHeight="1" x14ac:dyDescent="0.2"/>
  <sheetData>
    <row r="1" spans="1:5" ht="15.75" customHeight="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.75" customHeight="1" x14ac:dyDescent="0.2">
      <c r="A2" s="5">
        <v>1045678798</v>
      </c>
      <c r="B2" s="5" t="s">
        <v>10</v>
      </c>
      <c r="C2" s="5" t="s">
        <v>11</v>
      </c>
      <c r="D2" s="5" t="s">
        <v>13</v>
      </c>
      <c r="E2" s="5"/>
    </row>
    <row r="3" spans="1:5" ht="15.75" customHeight="1" x14ac:dyDescent="0.2">
      <c r="A3" s="5">
        <v>1143165316</v>
      </c>
      <c r="B3" s="5" t="s">
        <v>17</v>
      </c>
      <c r="C3" s="5" t="s">
        <v>18</v>
      </c>
      <c r="D3" s="5" t="s">
        <v>19</v>
      </c>
      <c r="E3" s="5" t="s">
        <v>20</v>
      </c>
    </row>
    <row r="4" spans="1:5" ht="15.75" customHeight="1" x14ac:dyDescent="0.2">
      <c r="A4" s="5">
        <v>8527183</v>
      </c>
      <c r="B4" s="5" t="s">
        <v>23</v>
      </c>
      <c r="C4" s="5" t="s">
        <v>26</v>
      </c>
      <c r="D4" s="5" t="s">
        <v>27</v>
      </c>
      <c r="E4" s="5" t="s">
        <v>28</v>
      </c>
    </row>
    <row r="5" spans="1:5" ht="15.75" customHeight="1" x14ac:dyDescent="0.2">
      <c r="A5" s="5">
        <v>72045930</v>
      </c>
      <c r="B5" s="5" t="s">
        <v>30</v>
      </c>
      <c r="C5" s="5" t="s">
        <v>32</v>
      </c>
      <c r="D5" s="5" t="s">
        <v>36</v>
      </c>
      <c r="E5" s="5"/>
    </row>
    <row r="6" spans="1:5" ht="15.75" customHeight="1" x14ac:dyDescent="0.2">
      <c r="A6" s="5">
        <v>72043763</v>
      </c>
      <c r="B6" s="5" t="s">
        <v>38</v>
      </c>
      <c r="C6" s="5" t="s">
        <v>40</v>
      </c>
      <c r="D6" s="5" t="s">
        <v>27</v>
      </c>
      <c r="E6" s="5" t="s">
        <v>42</v>
      </c>
    </row>
    <row r="7" spans="1:5" ht="15.75" customHeight="1" x14ac:dyDescent="0.2">
      <c r="A7" s="5">
        <v>1007171152</v>
      </c>
      <c r="B7" s="5" t="s">
        <v>44</v>
      </c>
      <c r="C7" s="5" t="s">
        <v>26</v>
      </c>
      <c r="D7" s="5" t="s">
        <v>46</v>
      </c>
      <c r="E7" s="5" t="s">
        <v>47</v>
      </c>
    </row>
    <row r="8" spans="1:5" ht="15.75" customHeight="1" x14ac:dyDescent="0.2">
      <c r="A8" s="5">
        <v>72044297</v>
      </c>
      <c r="B8" s="5" t="s">
        <v>49</v>
      </c>
      <c r="C8" s="5" t="s">
        <v>26</v>
      </c>
      <c r="D8" s="5" t="s">
        <v>27</v>
      </c>
      <c r="E8" s="5" t="s">
        <v>52</v>
      </c>
    </row>
    <row r="9" spans="1:5" ht="15.75" customHeight="1" x14ac:dyDescent="0.2">
      <c r="A9" s="5">
        <v>1143268290</v>
      </c>
      <c r="B9" s="5" t="s">
        <v>54</v>
      </c>
      <c r="C9" s="5" t="s">
        <v>18</v>
      </c>
      <c r="D9" s="5" t="s">
        <v>27</v>
      </c>
      <c r="E9" s="5" t="s">
        <v>57</v>
      </c>
    </row>
    <row r="10" spans="1:5" ht="15.75" customHeight="1" x14ac:dyDescent="0.2">
      <c r="A10" s="5">
        <v>8789551</v>
      </c>
      <c r="B10" s="5" t="s">
        <v>59</v>
      </c>
      <c r="C10" s="5" t="s">
        <v>26</v>
      </c>
      <c r="D10" s="5" t="s">
        <v>27</v>
      </c>
      <c r="E10" s="5" t="s">
        <v>62</v>
      </c>
    </row>
    <row r="11" spans="1:5" ht="15.75" customHeight="1" x14ac:dyDescent="0.2">
      <c r="A11" s="5">
        <v>1048205569</v>
      </c>
      <c r="B11" s="5" t="s">
        <v>64</v>
      </c>
      <c r="C11" s="5" t="s">
        <v>26</v>
      </c>
      <c r="D11" s="5" t="s">
        <v>27</v>
      </c>
      <c r="E11" s="5" t="s">
        <v>67</v>
      </c>
    </row>
    <row r="12" spans="1:5" ht="15.75" customHeight="1" x14ac:dyDescent="0.2">
      <c r="A12" s="5">
        <v>72019165</v>
      </c>
      <c r="B12" s="5" t="s">
        <v>69</v>
      </c>
      <c r="C12" s="5" t="s">
        <v>26</v>
      </c>
      <c r="D12" s="5" t="s">
        <v>19</v>
      </c>
      <c r="E12" s="5" t="s">
        <v>20</v>
      </c>
    </row>
    <row r="13" spans="1:5" ht="15.75" customHeight="1" x14ac:dyDescent="0.2">
      <c r="A13" s="5">
        <v>1143440660</v>
      </c>
      <c r="B13" s="5" t="s">
        <v>71</v>
      </c>
      <c r="C13" s="5" t="s">
        <v>18</v>
      </c>
      <c r="D13" s="5" t="s">
        <v>46</v>
      </c>
      <c r="E13" s="5" t="s">
        <v>73</v>
      </c>
    </row>
    <row r="14" spans="1:5" ht="15.75" customHeight="1" x14ac:dyDescent="0.2">
      <c r="A14" s="5">
        <v>1045231373</v>
      </c>
      <c r="B14" s="5" t="s">
        <v>74</v>
      </c>
      <c r="C14" s="5" t="s">
        <v>11</v>
      </c>
      <c r="D14" s="5" t="s">
        <v>27</v>
      </c>
      <c r="E14" s="5" t="s">
        <v>75</v>
      </c>
    </row>
    <row r="15" spans="1:5" ht="15.75" customHeight="1" x14ac:dyDescent="0.2">
      <c r="A15" s="5">
        <v>78703850</v>
      </c>
      <c r="B15" s="5" t="s">
        <v>76</v>
      </c>
      <c r="C15" s="5" t="s">
        <v>18</v>
      </c>
      <c r="D15" s="5" t="s">
        <v>27</v>
      </c>
      <c r="E15" s="5" t="s">
        <v>62</v>
      </c>
    </row>
    <row r="16" spans="1:5" ht="15.75" customHeight="1" x14ac:dyDescent="0.2">
      <c r="A16" s="5">
        <v>72149857</v>
      </c>
      <c r="B16" s="5" t="s">
        <v>78</v>
      </c>
      <c r="C16" s="5" t="s">
        <v>40</v>
      </c>
      <c r="D16" s="5" t="s">
        <v>79</v>
      </c>
      <c r="E16" s="5" t="s">
        <v>80</v>
      </c>
    </row>
    <row r="17" spans="1:5" ht="15.75" customHeight="1" x14ac:dyDescent="0.2">
      <c r="A17" s="5">
        <v>72328728</v>
      </c>
      <c r="B17" s="5" t="s">
        <v>81</v>
      </c>
      <c r="C17" s="5" t="s">
        <v>26</v>
      </c>
      <c r="D17" s="5" t="s">
        <v>79</v>
      </c>
      <c r="E17" s="5" t="s">
        <v>82</v>
      </c>
    </row>
    <row r="18" spans="1:5" ht="15.75" customHeight="1" x14ac:dyDescent="0.2">
      <c r="A18" s="5">
        <v>1002182876</v>
      </c>
      <c r="B18" s="5" t="s">
        <v>83</v>
      </c>
      <c r="C18" s="5" t="s">
        <v>11</v>
      </c>
      <c r="D18" s="5" t="s">
        <v>46</v>
      </c>
      <c r="E18" s="5" t="s">
        <v>84</v>
      </c>
    </row>
    <row r="19" spans="1:5" ht="15.75" customHeight="1" x14ac:dyDescent="0.2">
      <c r="A19" s="5">
        <v>1045715732</v>
      </c>
      <c r="B19" s="5" t="s">
        <v>85</v>
      </c>
      <c r="C19" s="5" t="s">
        <v>11</v>
      </c>
      <c r="D19" s="5" t="s">
        <v>79</v>
      </c>
      <c r="E19" s="5" t="s">
        <v>87</v>
      </c>
    </row>
    <row r="20" spans="1:5" ht="15.75" customHeight="1" x14ac:dyDescent="0.2">
      <c r="A20" s="5">
        <v>72274994</v>
      </c>
      <c r="B20" s="5" t="s">
        <v>88</v>
      </c>
      <c r="C20" s="5" t="s">
        <v>11</v>
      </c>
      <c r="D20" s="5" t="s">
        <v>19</v>
      </c>
      <c r="E20" s="5" t="s">
        <v>20</v>
      </c>
    </row>
    <row r="21" spans="1:5" ht="15.75" customHeight="1" x14ac:dyDescent="0.2">
      <c r="A21" s="5">
        <v>1002027215</v>
      </c>
      <c r="B21" s="5" t="s">
        <v>89</v>
      </c>
      <c r="C21" s="5" t="s">
        <v>40</v>
      </c>
      <c r="D21" s="5" t="s">
        <v>19</v>
      </c>
      <c r="E21" s="5" t="s">
        <v>93</v>
      </c>
    </row>
    <row r="22" spans="1:5" ht="15.75" customHeight="1" x14ac:dyDescent="0.2">
      <c r="A22" s="5">
        <v>8766733</v>
      </c>
      <c r="B22" s="5" t="s">
        <v>94</v>
      </c>
      <c r="C22" s="5" t="s">
        <v>11</v>
      </c>
      <c r="D22" s="5" t="s">
        <v>19</v>
      </c>
      <c r="E22" s="5" t="s">
        <v>93</v>
      </c>
    </row>
    <row r="23" spans="1:5" ht="15.75" customHeight="1" x14ac:dyDescent="0.2">
      <c r="A23" s="5">
        <v>1143167689</v>
      </c>
      <c r="B23" s="5" t="s">
        <v>95</v>
      </c>
      <c r="C23" s="5" t="s">
        <v>11</v>
      </c>
      <c r="D23" s="5" t="s">
        <v>46</v>
      </c>
      <c r="E23" s="5" t="s">
        <v>47</v>
      </c>
    </row>
    <row r="24" spans="1:5" ht="15.75" customHeight="1" x14ac:dyDescent="0.2">
      <c r="A24" s="5">
        <v>73561447</v>
      </c>
      <c r="B24" s="5" t="s">
        <v>96</v>
      </c>
      <c r="C24" s="5" t="s">
        <v>26</v>
      </c>
      <c r="D24" s="5" t="s">
        <v>27</v>
      </c>
      <c r="E24" s="5" t="s">
        <v>97</v>
      </c>
    </row>
    <row r="25" spans="1:5" ht="15.75" customHeight="1" x14ac:dyDescent="0.2">
      <c r="A25" s="5">
        <v>72211128</v>
      </c>
      <c r="B25" s="5" t="s">
        <v>98</v>
      </c>
      <c r="C25" s="5" t="s">
        <v>32</v>
      </c>
      <c r="D25" s="5" t="s">
        <v>36</v>
      </c>
      <c r="E25" s="5"/>
    </row>
    <row r="26" spans="1:5" ht="15.75" customHeight="1" x14ac:dyDescent="0.2">
      <c r="A26" s="5">
        <v>72256959</v>
      </c>
      <c r="B26" s="5" t="s">
        <v>100</v>
      </c>
      <c r="C26" s="5" t="s">
        <v>11</v>
      </c>
      <c r="D26" s="5" t="s">
        <v>19</v>
      </c>
      <c r="E26" s="5" t="s">
        <v>93</v>
      </c>
    </row>
    <row r="27" spans="1:5" ht="15.75" customHeight="1" x14ac:dyDescent="0.2">
      <c r="A27" s="5">
        <v>1148434809</v>
      </c>
      <c r="B27" s="5" t="s">
        <v>102</v>
      </c>
      <c r="C27" s="5" t="s">
        <v>11</v>
      </c>
      <c r="D27" s="5" t="s">
        <v>46</v>
      </c>
      <c r="E27" s="5" t="s">
        <v>104</v>
      </c>
    </row>
    <row r="28" spans="1:5" ht="15.75" customHeight="1" x14ac:dyDescent="0.2">
      <c r="A28" s="5">
        <v>1045667351</v>
      </c>
      <c r="B28" s="5" t="s">
        <v>105</v>
      </c>
      <c r="C28" s="5" t="s">
        <v>40</v>
      </c>
      <c r="D28" s="5" t="s">
        <v>46</v>
      </c>
      <c r="E28" s="5" t="s">
        <v>84</v>
      </c>
    </row>
    <row r="29" spans="1:5" ht="15.75" customHeight="1" x14ac:dyDescent="0.2">
      <c r="A29" s="5">
        <v>1140898980</v>
      </c>
      <c r="B29" s="5" t="s">
        <v>106</v>
      </c>
      <c r="C29" s="5" t="s">
        <v>26</v>
      </c>
      <c r="D29" s="5" t="s">
        <v>19</v>
      </c>
      <c r="E29" s="5" t="s">
        <v>109</v>
      </c>
    </row>
    <row r="30" spans="1:5" ht="15.75" customHeight="1" x14ac:dyDescent="0.2">
      <c r="A30" s="5">
        <v>1048268885</v>
      </c>
      <c r="B30" s="5" t="s">
        <v>110</v>
      </c>
      <c r="C30" s="5" t="s">
        <v>18</v>
      </c>
      <c r="D30" s="5" t="s">
        <v>19</v>
      </c>
      <c r="E30" s="5" t="s">
        <v>109</v>
      </c>
    </row>
    <row r="31" spans="1:5" ht="15.75" customHeight="1" x14ac:dyDescent="0.2">
      <c r="A31" s="5">
        <v>1048279771</v>
      </c>
      <c r="B31" s="5" t="s">
        <v>112</v>
      </c>
      <c r="C31" s="5" t="s">
        <v>11</v>
      </c>
      <c r="D31" s="5" t="s">
        <v>19</v>
      </c>
      <c r="E31" s="5" t="s">
        <v>109</v>
      </c>
    </row>
    <row r="32" spans="1:5" ht="15.75" customHeight="1" x14ac:dyDescent="0.2">
      <c r="A32" s="5">
        <v>72045666</v>
      </c>
      <c r="B32" s="5" t="s">
        <v>114</v>
      </c>
      <c r="C32" s="5" t="s">
        <v>32</v>
      </c>
      <c r="D32" s="5" t="s">
        <v>36</v>
      </c>
      <c r="E32" s="5"/>
    </row>
    <row r="33" spans="1:5" ht="15.75" customHeight="1" x14ac:dyDescent="0.2">
      <c r="A33" s="5">
        <v>72184506</v>
      </c>
      <c r="B33" s="5" t="s">
        <v>115</v>
      </c>
      <c r="C33" s="5" t="s">
        <v>32</v>
      </c>
      <c r="D33" s="5" t="s">
        <v>36</v>
      </c>
      <c r="E33" s="5"/>
    </row>
    <row r="34" spans="1:5" ht="15.75" customHeight="1" x14ac:dyDescent="0.2">
      <c r="A34" s="5">
        <v>8744976</v>
      </c>
      <c r="B34" s="5" t="s">
        <v>116</v>
      </c>
      <c r="C34" s="5" t="s">
        <v>32</v>
      </c>
      <c r="D34" s="5" t="s">
        <v>36</v>
      </c>
      <c r="E34" s="5"/>
    </row>
    <row r="35" spans="1:5" ht="15.75" customHeight="1" x14ac:dyDescent="0.2">
      <c r="A35" s="5">
        <v>8643014</v>
      </c>
      <c r="B35" s="5" t="s">
        <v>117</v>
      </c>
      <c r="C35" s="5" t="s">
        <v>18</v>
      </c>
      <c r="D35" s="5" t="s">
        <v>27</v>
      </c>
      <c r="E35" s="5" t="s">
        <v>75</v>
      </c>
    </row>
    <row r="36" spans="1:5" ht="15.75" customHeight="1" x14ac:dyDescent="0.2">
      <c r="A36" s="5">
        <v>3738484</v>
      </c>
      <c r="B36" s="5" t="s">
        <v>118</v>
      </c>
      <c r="C36" s="5" t="s">
        <v>26</v>
      </c>
      <c r="D36" s="5" t="s">
        <v>46</v>
      </c>
      <c r="E36" s="5" t="s">
        <v>104</v>
      </c>
    </row>
    <row r="37" spans="1:5" ht="15.75" customHeight="1" x14ac:dyDescent="0.2">
      <c r="A37" s="5">
        <v>1042850692</v>
      </c>
      <c r="B37" s="5" t="s">
        <v>119</v>
      </c>
      <c r="C37" s="5" t="s">
        <v>18</v>
      </c>
      <c r="D37" s="5" t="s">
        <v>46</v>
      </c>
      <c r="E37" s="5" t="s">
        <v>121</v>
      </c>
    </row>
    <row r="38" spans="1:5" ht="15.75" customHeight="1" x14ac:dyDescent="0.2">
      <c r="A38" s="5">
        <v>1001890779</v>
      </c>
      <c r="B38" s="5" t="s">
        <v>123</v>
      </c>
      <c r="C38" s="5" t="s">
        <v>11</v>
      </c>
      <c r="D38" s="5" t="s">
        <v>79</v>
      </c>
      <c r="E38" s="5" t="s">
        <v>125</v>
      </c>
    </row>
    <row r="39" spans="1:5" ht="15.75" customHeight="1" x14ac:dyDescent="0.2">
      <c r="A39" s="5">
        <v>1045689703</v>
      </c>
      <c r="B39" s="5" t="s">
        <v>126</v>
      </c>
      <c r="C39" s="5" t="s">
        <v>18</v>
      </c>
      <c r="D39" s="5" t="s">
        <v>79</v>
      </c>
      <c r="E39" s="5" t="s">
        <v>127</v>
      </c>
    </row>
    <row r="40" spans="1:5" ht="15.75" customHeight="1" x14ac:dyDescent="0.2">
      <c r="A40" s="5">
        <v>72048464</v>
      </c>
      <c r="B40" s="5" t="s">
        <v>129</v>
      </c>
      <c r="C40" s="5" t="s">
        <v>11</v>
      </c>
      <c r="D40" s="5" t="s">
        <v>19</v>
      </c>
      <c r="E40" s="5" t="s">
        <v>130</v>
      </c>
    </row>
    <row r="41" spans="1:5" ht="15.75" customHeight="1" x14ac:dyDescent="0.2">
      <c r="A41" s="5">
        <v>1045683859</v>
      </c>
      <c r="B41" s="5" t="s">
        <v>131</v>
      </c>
      <c r="C41" s="5" t="s">
        <v>26</v>
      </c>
      <c r="D41" s="5" t="s">
        <v>46</v>
      </c>
      <c r="E41" s="5" t="s">
        <v>132</v>
      </c>
    </row>
    <row r="42" spans="1:5" ht="15.75" customHeight="1" x14ac:dyDescent="0.2">
      <c r="A42" s="5">
        <v>1143241983</v>
      </c>
      <c r="B42" s="5" t="s">
        <v>134</v>
      </c>
      <c r="C42" s="5" t="s">
        <v>32</v>
      </c>
      <c r="D42" s="5" t="s">
        <v>36</v>
      </c>
      <c r="E42" s="5"/>
    </row>
    <row r="43" spans="1:5" ht="15.75" customHeight="1" x14ac:dyDescent="0.2">
      <c r="A43" s="5">
        <v>1042416074</v>
      </c>
      <c r="B43" s="5" t="s">
        <v>137</v>
      </c>
      <c r="C43" s="5" t="s">
        <v>26</v>
      </c>
      <c r="D43" s="5" t="s">
        <v>79</v>
      </c>
      <c r="E43" s="5" t="s">
        <v>138</v>
      </c>
    </row>
    <row r="44" spans="1:5" ht="15.75" customHeight="1" x14ac:dyDescent="0.2">
      <c r="A44" s="5">
        <v>8566749</v>
      </c>
      <c r="B44" s="5" t="s">
        <v>139</v>
      </c>
      <c r="C44" s="5" t="s">
        <v>18</v>
      </c>
      <c r="D44" s="5" t="s">
        <v>19</v>
      </c>
      <c r="E44" s="5" t="s">
        <v>130</v>
      </c>
    </row>
    <row r="45" spans="1:5" ht="15.75" customHeight="1" x14ac:dyDescent="0.2">
      <c r="A45" s="5">
        <v>1043871006</v>
      </c>
      <c r="B45" s="5" t="s">
        <v>140</v>
      </c>
      <c r="C45" s="5" t="s">
        <v>26</v>
      </c>
      <c r="D45" s="5" t="s">
        <v>19</v>
      </c>
      <c r="E45" s="5" t="s">
        <v>130</v>
      </c>
    </row>
    <row r="46" spans="1:5" ht="15.75" customHeight="1" x14ac:dyDescent="0.2">
      <c r="A46" s="5">
        <v>13635607</v>
      </c>
      <c r="B46" s="5" t="s">
        <v>143</v>
      </c>
      <c r="C46" s="5" t="s">
        <v>32</v>
      </c>
      <c r="D46" s="5" t="s">
        <v>36</v>
      </c>
      <c r="E46" s="5"/>
    </row>
    <row r="47" spans="1:5" ht="15.75" customHeight="1" x14ac:dyDescent="0.2">
      <c r="A47" s="5">
        <v>1043875519</v>
      </c>
      <c r="B47" s="5" t="s">
        <v>144</v>
      </c>
      <c r="C47" s="5" t="s">
        <v>11</v>
      </c>
      <c r="D47" s="5" t="s">
        <v>19</v>
      </c>
      <c r="E47" s="5" t="s">
        <v>145</v>
      </c>
    </row>
    <row r="48" spans="1:5" ht="15.75" customHeight="1" x14ac:dyDescent="0.2">
      <c r="A48" s="5">
        <v>1046700066</v>
      </c>
      <c r="B48" s="5" t="s">
        <v>146</v>
      </c>
      <c r="C48" s="5" t="s">
        <v>11</v>
      </c>
      <c r="D48" s="5" t="s">
        <v>79</v>
      </c>
      <c r="E48" s="5" t="s">
        <v>147</v>
      </c>
    </row>
    <row r="49" spans="1:5" ht="15.75" customHeight="1" x14ac:dyDescent="0.2">
      <c r="A49" s="5">
        <v>1045698921</v>
      </c>
      <c r="B49" s="5" t="s">
        <v>149</v>
      </c>
      <c r="C49" s="5" t="s">
        <v>18</v>
      </c>
      <c r="D49" s="5" t="s">
        <v>46</v>
      </c>
      <c r="E49" s="5" t="s">
        <v>104</v>
      </c>
    </row>
    <row r="50" spans="1:5" ht="15.75" customHeight="1" x14ac:dyDescent="0.2">
      <c r="A50" s="5">
        <v>1129580197</v>
      </c>
      <c r="B50" s="5" t="s">
        <v>153</v>
      </c>
      <c r="C50" s="5" t="s">
        <v>26</v>
      </c>
      <c r="D50" s="5" t="s">
        <v>19</v>
      </c>
      <c r="E50" s="5" t="s">
        <v>145</v>
      </c>
    </row>
    <row r="51" spans="1:5" ht="15.75" customHeight="1" x14ac:dyDescent="0.2">
      <c r="A51" s="5">
        <v>72428145</v>
      </c>
      <c r="B51" s="5" t="s">
        <v>157</v>
      </c>
      <c r="C51" s="5" t="s">
        <v>26</v>
      </c>
      <c r="D51" s="5" t="s">
        <v>46</v>
      </c>
      <c r="E51" s="5" t="s">
        <v>158</v>
      </c>
    </row>
    <row r="52" spans="1:5" ht="15.75" customHeight="1" x14ac:dyDescent="0.2">
      <c r="A52" s="5">
        <v>1096512013</v>
      </c>
      <c r="B52" s="5" t="s">
        <v>161</v>
      </c>
      <c r="C52" s="5" t="s">
        <v>18</v>
      </c>
      <c r="D52" s="5" t="s">
        <v>46</v>
      </c>
      <c r="E52" s="5" t="s">
        <v>162</v>
      </c>
    </row>
    <row r="53" spans="1:5" ht="15.75" customHeight="1" x14ac:dyDescent="0.2">
      <c r="A53" s="5">
        <v>1143169893</v>
      </c>
      <c r="B53" s="5" t="s">
        <v>164</v>
      </c>
      <c r="C53" s="5" t="s">
        <v>26</v>
      </c>
      <c r="D53" s="5" t="s">
        <v>46</v>
      </c>
      <c r="E53" s="5" t="s">
        <v>165</v>
      </c>
    </row>
    <row r="54" spans="1:5" ht="15.75" customHeight="1" x14ac:dyDescent="0.2">
      <c r="A54" s="5">
        <v>73544990</v>
      </c>
      <c r="B54" s="5" t="s">
        <v>168</v>
      </c>
      <c r="C54" s="5" t="s">
        <v>18</v>
      </c>
      <c r="D54" s="5" t="s">
        <v>19</v>
      </c>
      <c r="E54" s="5" t="s">
        <v>145</v>
      </c>
    </row>
    <row r="55" spans="1:5" ht="15.75" customHeight="1" x14ac:dyDescent="0.2">
      <c r="A55" s="5">
        <v>1083436289</v>
      </c>
      <c r="B55" s="5" t="s">
        <v>172</v>
      </c>
      <c r="C55" s="5" t="s">
        <v>26</v>
      </c>
      <c r="D55" s="5" t="s">
        <v>46</v>
      </c>
      <c r="E55" s="5" t="s">
        <v>174</v>
      </c>
    </row>
    <row r="56" spans="1:5" ht="15.75" customHeight="1" x14ac:dyDescent="0.2">
      <c r="A56" s="5">
        <v>85430233</v>
      </c>
      <c r="B56" s="5" t="s">
        <v>176</v>
      </c>
      <c r="C56" s="5" t="s">
        <v>11</v>
      </c>
      <c r="D56" s="5" t="s">
        <v>19</v>
      </c>
      <c r="E56" s="5" t="s">
        <v>177</v>
      </c>
    </row>
    <row r="57" spans="1:5" ht="15.75" customHeight="1" x14ac:dyDescent="0.2">
      <c r="A57" s="5">
        <v>1010042708</v>
      </c>
      <c r="B57" s="5" t="s">
        <v>179</v>
      </c>
      <c r="C57" s="5" t="s">
        <v>26</v>
      </c>
      <c r="D57" s="5" t="s">
        <v>27</v>
      </c>
      <c r="E57" s="5" t="s">
        <v>180</v>
      </c>
    </row>
    <row r="58" spans="1:5" ht="15.75" customHeight="1" x14ac:dyDescent="0.2">
      <c r="A58" s="5">
        <v>1048303686</v>
      </c>
      <c r="B58" s="5" t="s">
        <v>182</v>
      </c>
      <c r="C58" s="5" t="s">
        <v>11</v>
      </c>
      <c r="D58" s="5" t="s">
        <v>19</v>
      </c>
      <c r="E58" s="5" t="s">
        <v>177</v>
      </c>
    </row>
    <row r="59" spans="1:5" ht="15.75" customHeight="1" x14ac:dyDescent="0.2">
      <c r="A59" s="5">
        <v>1045727693</v>
      </c>
      <c r="B59" s="5" t="s">
        <v>186</v>
      </c>
      <c r="C59" s="5" t="s">
        <v>40</v>
      </c>
      <c r="D59" s="5" t="s">
        <v>79</v>
      </c>
      <c r="E59" s="5" t="s">
        <v>147</v>
      </c>
    </row>
    <row r="60" spans="1:5" ht="15.75" customHeight="1" x14ac:dyDescent="0.2">
      <c r="A60" s="5">
        <v>72287023</v>
      </c>
      <c r="B60" s="5" t="s">
        <v>188</v>
      </c>
      <c r="C60" s="5" t="s">
        <v>11</v>
      </c>
      <c r="D60" s="5" t="s">
        <v>27</v>
      </c>
      <c r="E60" s="5" t="s">
        <v>62</v>
      </c>
    </row>
    <row r="61" spans="1:5" ht="15.75" customHeight="1" x14ac:dyDescent="0.2">
      <c r="A61" s="5">
        <v>1143154333</v>
      </c>
      <c r="B61" s="5" t="s">
        <v>189</v>
      </c>
      <c r="C61" s="5" t="s">
        <v>18</v>
      </c>
      <c r="D61" s="5" t="s">
        <v>79</v>
      </c>
      <c r="E61" s="5" t="s">
        <v>190</v>
      </c>
    </row>
    <row r="62" spans="1:5" ht="15.75" customHeight="1" x14ac:dyDescent="0.2">
      <c r="A62" s="5">
        <v>1129522701</v>
      </c>
      <c r="B62" s="5" t="s">
        <v>192</v>
      </c>
      <c r="C62" s="5" t="s">
        <v>11</v>
      </c>
      <c r="D62" s="5" t="s">
        <v>27</v>
      </c>
      <c r="E62" s="5" t="s">
        <v>193</v>
      </c>
    </row>
    <row r="63" spans="1:5" ht="15.75" customHeight="1" x14ac:dyDescent="0.2">
      <c r="A63" s="5">
        <v>1152943867</v>
      </c>
      <c r="B63" s="5" t="s">
        <v>197</v>
      </c>
      <c r="C63" s="5" t="s">
        <v>18</v>
      </c>
      <c r="D63" s="5" t="s">
        <v>46</v>
      </c>
      <c r="E63" s="5" t="s">
        <v>158</v>
      </c>
    </row>
    <row r="64" spans="1:5" ht="15.75" customHeight="1" x14ac:dyDescent="0.2">
      <c r="A64" s="5">
        <v>1048306515</v>
      </c>
      <c r="B64" s="5" t="s">
        <v>204</v>
      </c>
      <c r="C64" s="5" t="s">
        <v>11</v>
      </c>
      <c r="D64" s="5" t="s">
        <v>46</v>
      </c>
      <c r="E64" s="5" t="s">
        <v>121</v>
      </c>
    </row>
    <row r="65" spans="1:5" ht="15.75" customHeight="1" x14ac:dyDescent="0.2">
      <c r="A65" s="5">
        <v>1129494235</v>
      </c>
      <c r="B65" s="5" t="s">
        <v>207</v>
      </c>
      <c r="C65" s="5" t="s">
        <v>11</v>
      </c>
      <c r="D65" s="5" t="s">
        <v>27</v>
      </c>
      <c r="E65" s="5" t="s">
        <v>57</v>
      </c>
    </row>
    <row r="66" spans="1:5" ht="15.75" customHeight="1" x14ac:dyDescent="0.2">
      <c r="A66" s="5">
        <v>72047462</v>
      </c>
      <c r="B66" s="5" t="s">
        <v>211</v>
      </c>
      <c r="C66" s="5" t="s">
        <v>40</v>
      </c>
      <c r="D66" s="5" t="s">
        <v>19</v>
      </c>
      <c r="E66" s="5" t="s">
        <v>177</v>
      </c>
    </row>
    <row r="67" spans="1:5" ht="15.75" customHeight="1" x14ac:dyDescent="0.2">
      <c r="A67" s="5">
        <v>72209369</v>
      </c>
      <c r="B67" s="5" t="s">
        <v>213</v>
      </c>
      <c r="C67" s="5" t="s">
        <v>32</v>
      </c>
      <c r="D67" s="5" t="s">
        <v>36</v>
      </c>
      <c r="E67" s="5"/>
    </row>
    <row r="68" spans="1:5" ht="15.75" customHeight="1" x14ac:dyDescent="0.2">
      <c r="A68" s="5">
        <v>1047418927</v>
      </c>
      <c r="B68" s="5" t="s">
        <v>218</v>
      </c>
      <c r="C68" s="5" t="s">
        <v>18</v>
      </c>
      <c r="D68" s="5" t="s">
        <v>79</v>
      </c>
      <c r="E68" s="5" t="s">
        <v>219</v>
      </c>
    </row>
    <row r="69" spans="1:5" ht="15.75" customHeight="1" x14ac:dyDescent="0.2">
      <c r="A69" s="5">
        <v>1047473769</v>
      </c>
      <c r="B69" s="5" t="s">
        <v>220</v>
      </c>
      <c r="C69" s="5" t="s">
        <v>18</v>
      </c>
      <c r="D69" s="5" t="s">
        <v>79</v>
      </c>
      <c r="E69" s="5" t="s">
        <v>221</v>
      </c>
    </row>
    <row r="70" spans="1:5" ht="15.75" customHeight="1" x14ac:dyDescent="0.2">
      <c r="A70" s="5">
        <v>1046873210</v>
      </c>
      <c r="B70" s="5" t="s">
        <v>222</v>
      </c>
      <c r="C70" s="5" t="s">
        <v>18</v>
      </c>
      <c r="D70" s="5" t="s">
        <v>27</v>
      </c>
      <c r="E70" s="5" t="s">
        <v>223</v>
      </c>
    </row>
    <row r="71" spans="1:5" ht="15.75" customHeight="1" x14ac:dyDescent="0.2">
      <c r="A71" s="5">
        <v>19563134</v>
      </c>
      <c r="B71" s="5" t="s">
        <v>224</v>
      </c>
      <c r="C71" s="5" t="s">
        <v>18</v>
      </c>
      <c r="D71" s="5" t="s">
        <v>27</v>
      </c>
      <c r="E71" s="5" t="s">
        <v>227</v>
      </c>
    </row>
    <row r="72" spans="1:5" ht="15.75" customHeight="1" x14ac:dyDescent="0.2">
      <c r="A72" s="5">
        <v>1143157527</v>
      </c>
      <c r="B72" s="5" t="s">
        <v>230</v>
      </c>
      <c r="C72" s="5" t="s">
        <v>40</v>
      </c>
      <c r="D72" s="5" t="s">
        <v>19</v>
      </c>
      <c r="E72" s="5" t="s">
        <v>232</v>
      </c>
    </row>
    <row r="73" spans="1:5" ht="15.75" customHeight="1" x14ac:dyDescent="0.2">
      <c r="A73" s="5">
        <v>1001855031</v>
      </c>
      <c r="B73" s="5" t="s">
        <v>234</v>
      </c>
      <c r="C73" s="5" t="s">
        <v>26</v>
      </c>
      <c r="D73" s="5" t="s">
        <v>46</v>
      </c>
      <c r="E73" s="5" t="s">
        <v>162</v>
      </c>
    </row>
    <row r="74" spans="1:5" ht="15.75" customHeight="1" x14ac:dyDescent="0.2">
      <c r="A74" s="5">
        <v>72045160</v>
      </c>
      <c r="B74" s="5" t="s">
        <v>237</v>
      </c>
      <c r="C74" s="5" t="s">
        <v>238</v>
      </c>
      <c r="D74" s="5" t="s">
        <v>239</v>
      </c>
      <c r="E74" s="5"/>
    </row>
    <row r="75" spans="1:5" ht="15.75" customHeight="1" x14ac:dyDescent="0.2">
      <c r="A75" s="5">
        <v>1001889408</v>
      </c>
      <c r="B75" s="5" t="s">
        <v>242</v>
      </c>
      <c r="C75" s="5" t="s">
        <v>243</v>
      </c>
      <c r="D75" s="5" t="s">
        <v>36</v>
      </c>
      <c r="E75" s="5"/>
    </row>
    <row r="76" spans="1:5" ht="15.75" customHeight="1" x14ac:dyDescent="0.2">
      <c r="A76" s="5">
        <v>1042449925</v>
      </c>
      <c r="B76" s="5" t="s">
        <v>245</v>
      </c>
      <c r="C76" s="5" t="s">
        <v>243</v>
      </c>
      <c r="D76" s="5" t="s">
        <v>36</v>
      </c>
      <c r="E76" s="5"/>
    </row>
    <row r="77" spans="1:5" ht="15.75" customHeight="1" x14ac:dyDescent="0.2">
      <c r="A77" s="5">
        <v>72241146</v>
      </c>
      <c r="B77" s="5" t="s">
        <v>247</v>
      </c>
      <c r="C77" s="5" t="s">
        <v>26</v>
      </c>
      <c r="D77" s="5" t="s">
        <v>79</v>
      </c>
      <c r="E77" s="5" t="s">
        <v>250</v>
      </c>
    </row>
    <row r="78" spans="1:5" ht="15.75" customHeight="1" x14ac:dyDescent="0.2">
      <c r="A78" s="5">
        <v>19603283</v>
      </c>
      <c r="B78" s="5" t="s">
        <v>251</v>
      </c>
      <c r="C78" s="5" t="s">
        <v>18</v>
      </c>
      <c r="D78" s="5" t="s">
        <v>27</v>
      </c>
      <c r="E78" s="5" t="s">
        <v>254</v>
      </c>
    </row>
    <row r="79" spans="1:5" ht="15.75" customHeight="1" x14ac:dyDescent="0.2">
      <c r="A79" s="5">
        <v>1047374350</v>
      </c>
      <c r="B79" s="5" t="s">
        <v>257</v>
      </c>
      <c r="C79" s="5" t="s">
        <v>11</v>
      </c>
      <c r="D79" s="5" t="s">
        <v>19</v>
      </c>
      <c r="E79" s="5" t="s">
        <v>232</v>
      </c>
    </row>
    <row r="80" spans="1:5" ht="15.75" customHeight="1" x14ac:dyDescent="0.2">
      <c r="A80" s="5">
        <v>72268557</v>
      </c>
      <c r="B80" s="5" t="s">
        <v>259</v>
      </c>
      <c r="C80" s="5" t="s">
        <v>11</v>
      </c>
      <c r="D80" s="5" t="s">
        <v>46</v>
      </c>
      <c r="E80" s="5" t="s">
        <v>261</v>
      </c>
    </row>
    <row r="81" spans="1:5" ht="15.75" customHeight="1" x14ac:dyDescent="0.2">
      <c r="A81" s="5">
        <v>1121041511</v>
      </c>
      <c r="B81" s="5" t="s">
        <v>263</v>
      </c>
      <c r="C81" s="5" t="s">
        <v>18</v>
      </c>
      <c r="D81" s="5" t="s">
        <v>27</v>
      </c>
      <c r="E81" s="5" t="s">
        <v>265</v>
      </c>
    </row>
    <row r="82" spans="1:5" ht="15.75" customHeight="1" x14ac:dyDescent="0.2">
      <c r="A82" s="5">
        <v>1045670838</v>
      </c>
      <c r="B82" s="5" t="s">
        <v>266</v>
      </c>
      <c r="C82" s="5" t="s">
        <v>26</v>
      </c>
      <c r="D82" s="5" t="s">
        <v>46</v>
      </c>
      <c r="E82" s="5" t="s">
        <v>267</v>
      </c>
    </row>
    <row r="83" spans="1:5" ht="15.75" customHeight="1" x14ac:dyDescent="0.2">
      <c r="A83" s="5">
        <v>85081925</v>
      </c>
      <c r="B83" s="5" t="s">
        <v>268</v>
      </c>
      <c r="C83" s="5" t="s">
        <v>26</v>
      </c>
      <c r="D83" s="5" t="s">
        <v>46</v>
      </c>
      <c r="E83" s="5" t="s">
        <v>271</v>
      </c>
    </row>
    <row r="84" spans="1:5" ht="15.75" customHeight="1" x14ac:dyDescent="0.2">
      <c r="A84" s="5">
        <v>1143253528</v>
      </c>
      <c r="B84" s="5" t="s">
        <v>273</v>
      </c>
      <c r="C84" s="5" t="s">
        <v>11</v>
      </c>
      <c r="D84" s="5" t="s">
        <v>19</v>
      </c>
      <c r="E84" s="5" t="s">
        <v>232</v>
      </c>
    </row>
    <row r="85" spans="1:5" ht="15.75" customHeight="1" x14ac:dyDescent="0.2">
      <c r="A85" s="5">
        <v>1045724478</v>
      </c>
      <c r="B85" s="5" t="s">
        <v>275</v>
      </c>
      <c r="C85" s="5" t="s">
        <v>18</v>
      </c>
      <c r="D85" s="5" t="s">
        <v>79</v>
      </c>
      <c r="E85" s="5" t="s">
        <v>82</v>
      </c>
    </row>
    <row r="86" spans="1:5" ht="15.75" customHeight="1" x14ac:dyDescent="0.2">
      <c r="A86" s="5">
        <v>1001919835</v>
      </c>
      <c r="B86" s="5" t="s">
        <v>276</v>
      </c>
      <c r="C86" s="5" t="s">
        <v>11</v>
      </c>
      <c r="D86" s="5" t="s">
        <v>46</v>
      </c>
      <c r="E86" s="5" t="s">
        <v>73</v>
      </c>
    </row>
    <row r="87" spans="1:5" ht="15.75" customHeight="1" x14ac:dyDescent="0.2">
      <c r="A87" s="5">
        <v>8732600</v>
      </c>
      <c r="B87" s="5" t="s">
        <v>278</v>
      </c>
      <c r="C87" s="5" t="s">
        <v>32</v>
      </c>
      <c r="D87" s="5" t="s">
        <v>36</v>
      </c>
      <c r="E87" s="5"/>
    </row>
    <row r="88" spans="1:5" ht="15.75" customHeight="1" x14ac:dyDescent="0.2">
      <c r="A88" s="5">
        <v>72047980</v>
      </c>
      <c r="B88" s="5" t="s">
        <v>281</v>
      </c>
      <c r="C88" s="5" t="s">
        <v>11</v>
      </c>
      <c r="D88" s="5" t="s">
        <v>19</v>
      </c>
      <c r="E88" s="5" t="s">
        <v>283</v>
      </c>
    </row>
    <row r="89" spans="1:5" ht="15.75" customHeight="1" x14ac:dyDescent="0.2">
      <c r="A89" s="5">
        <v>8498805</v>
      </c>
      <c r="B89" s="5" t="s">
        <v>284</v>
      </c>
      <c r="C89" s="5" t="s">
        <v>26</v>
      </c>
      <c r="D89" s="5" t="s">
        <v>27</v>
      </c>
      <c r="E89" s="5" t="s">
        <v>265</v>
      </c>
    </row>
    <row r="90" spans="1:5" ht="15.75" customHeight="1" x14ac:dyDescent="0.2">
      <c r="A90" s="5">
        <v>1045717155</v>
      </c>
      <c r="B90" s="5" t="s">
        <v>286</v>
      </c>
      <c r="C90" s="5" t="s">
        <v>18</v>
      </c>
      <c r="D90" s="5" t="s">
        <v>27</v>
      </c>
      <c r="E90" s="5" t="s">
        <v>193</v>
      </c>
    </row>
    <row r="91" spans="1:5" ht="15.75" customHeight="1" x14ac:dyDescent="0.2">
      <c r="A91" s="5">
        <v>8794703</v>
      </c>
      <c r="B91" s="5" t="s">
        <v>290</v>
      </c>
      <c r="C91" s="5" t="s">
        <v>26</v>
      </c>
      <c r="D91" s="5" t="s">
        <v>46</v>
      </c>
      <c r="E91" s="5" t="s">
        <v>291</v>
      </c>
    </row>
    <row r="92" spans="1:5" ht="15.75" customHeight="1" x14ac:dyDescent="0.2">
      <c r="A92" s="5">
        <v>8980796</v>
      </c>
      <c r="B92" s="5" t="s">
        <v>292</v>
      </c>
      <c r="C92" s="5" t="s">
        <v>26</v>
      </c>
      <c r="D92" s="5" t="s">
        <v>27</v>
      </c>
      <c r="E92" s="5" t="s">
        <v>75</v>
      </c>
    </row>
    <row r="93" spans="1:5" ht="15.75" customHeight="1" x14ac:dyDescent="0.2">
      <c r="A93" s="5">
        <v>17859587</v>
      </c>
      <c r="B93" s="5" t="s">
        <v>294</v>
      </c>
      <c r="C93" s="5" t="s">
        <v>11</v>
      </c>
      <c r="D93" s="5" t="s">
        <v>27</v>
      </c>
      <c r="E93" s="5" t="s">
        <v>295</v>
      </c>
    </row>
    <row r="94" spans="1:5" ht="15.75" customHeight="1" x14ac:dyDescent="0.2">
      <c r="A94" s="5">
        <v>72168191</v>
      </c>
      <c r="B94" s="5" t="s">
        <v>296</v>
      </c>
      <c r="C94" s="5" t="s">
        <v>11</v>
      </c>
      <c r="D94" s="5" t="s">
        <v>19</v>
      </c>
      <c r="E94" s="5" t="s">
        <v>283</v>
      </c>
    </row>
    <row r="95" spans="1:5" ht="15.75" customHeight="1" x14ac:dyDescent="0.2">
      <c r="A95" s="5">
        <v>92099726</v>
      </c>
      <c r="B95" s="5" t="s">
        <v>298</v>
      </c>
      <c r="C95" s="5" t="s">
        <v>11</v>
      </c>
      <c r="D95" s="5" t="s">
        <v>79</v>
      </c>
      <c r="E95" s="5" t="s">
        <v>190</v>
      </c>
    </row>
    <row r="96" spans="1:5" ht="15.75" customHeight="1" x14ac:dyDescent="0.2">
      <c r="A96" s="5">
        <v>8499245</v>
      </c>
      <c r="B96" s="5" t="s">
        <v>299</v>
      </c>
      <c r="C96" s="5" t="s">
        <v>40</v>
      </c>
      <c r="D96" s="5" t="s">
        <v>19</v>
      </c>
      <c r="E96" s="5" t="s">
        <v>283</v>
      </c>
    </row>
    <row r="97" spans="1:5" ht="15.75" customHeight="1" x14ac:dyDescent="0.2">
      <c r="A97" s="5">
        <v>73268263</v>
      </c>
      <c r="B97" s="5" t="s">
        <v>300</v>
      </c>
      <c r="C97" s="5" t="s">
        <v>11</v>
      </c>
      <c r="D97" s="5" t="s">
        <v>79</v>
      </c>
      <c r="E97" s="5" t="s">
        <v>80</v>
      </c>
    </row>
    <row r="98" spans="1:5" ht="15.75" customHeight="1" x14ac:dyDescent="0.2">
      <c r="A98" s="5">
        <v>1104008336</v>
      </c>
      <c r="B98" s="5" t="s">
        <v>304</v>
      </c>
      <c r="C98" s="5" t="s">
        <v>40</v>
      </c>
      <c r="D98" s="5" t="s">
        <v>19</v>
      </c>
      <c r="E98" s="5" t="s">
        <v>305</v>
      </c>
    </row>
    <row r="99" spans="1:5" ht="15.75" customHeight="1" x14ac:dyDescent="0.2">
      <c r="A99" s="5">
        <v>72002479</v>
      </c>
      <c r="B99" s="5" t="s">
        <v>306</v>
      </c>
      <c r="C99" s="5" t="s">
        <v>11</v>
      </c>
      <c r="D99" s="5" t="s">
        <v>19</v>
      </c>
      <c r="E99" s="5" t="s">
        <v>305</v>
      </c>
    </row>
    <row r="100" spans="1:5" ht="15.75" customHeight="1" x14ac:dyDescent="0.2">
      <c r="A100" s="5">
        <v>72041260</v>
      </c>
      <c r="B100" s="5" t="s">
        <v>307</v>
      </c>
      <c r="C100" s="5" t="s">
        <v>11</v>
      </c>
      <c r="D100" s="5" t="s">
        <v>19</v>
      </c>
      <c r="E100" s="5" t="s">
        <v>305</v>
      </c>
    </row>
    <row r="101" spans="1:5" ht="15.75" customHeight="1" x14ac:dyDescent="0.2">
      <c r="A101" s="5">
        <v>1042426324</v>
      </c>
      <c r="B101" s="5" t="s">
        <v>309</v>
      </c>
      <c r="C101" s="5" t="s">
        <v>18</v>
      </c>
      <c r="D101" s="5" t="s">
        <v>46</v>
      </c>
      <c r="E101" s="5" t="s">
        <v>271</v>
      </c>
    </row>
    <row r="102" spans="1:5" ht="15.75" customHeight="1" x14ac:dyDescent="0.2">
      <c r="A102" s="5">
        <v>8778849</v>
      </c>
      <c r="B102" s="5" t="s">
        <v>311</v>
      </c>
      <c r="C102" s="5" t="s">
        <v>11</v>
      </c>
      <c r="D102" s="5" t="s">
        <v>79</v>
      </c>
      <c r="E102" s="5" t="s">
        <v>313</v>
      </c>
    </row>
    <row r="103" spans="1:5" ht="15.75" customHeight="1" x14ac:dyDescent="0.2">
      <c r="A103" s="5">
        <v>1042417389</v>
      </c>
      <c r="B103" s="5" t="s">
        <v>316</v>
      </c>
      <c r="C103" s="5" t="s">
        <v>11</v>
      </c>
      <c r="D103" s="5" t="s">
        <v>27</v>
      </c>
      <c r="E103" s="5" t="s">
        <v>42</v>
      </c>
    </row>
    <row r="104" spans="1:5" ht="15.75" customHeight="1" x14ac:dyDescent="0.2">
      <c r="A104" s="5">
        <v>1044632791</v>
      </c>
      <c r="B104" s="5" t="s">
        <v>317</v>
      </c>
      <c r="C104" s="5" t="s">
        <v>18</v>
      </c>
      <c r="D104" s="5" t="s">
        <v>27</v>
      </c>
      <c r="E104" s="5" t="s">
        <v>318</v>
      </c>
    </row>
    <row r="105" spans="1:5" ht="15.75" customHeight="1" x14ac:dyDescent="0.2">
      <c r="A105" s="5">
        <v>72201893</v>
      </c>
      <c r="B105" s="5" t="s">
        <v>319</v>
      </c>
      <c r="C105" s="5" t="s">
        <v>32</v>
      </c>
      <c r="D105" s="5" t="s">
        <v>36</v>
      </c>
      <c r="E105" s="5"/>
    </row>
    <row r="106" spans="1:5" ht="15.75" customHeight="1" x14ac:dyDescent="0.2">
      <c r="A106" s="5">
        <v>1002070974</v>
      </c>
      <c r="B106" s="5" t="s">
        <v>321</v>
      </c>
      <c r="C106" s="5" t="s">
        <v>323</v>
      </c>
      <c r="D106" s="5" t="s">
        <v>324</v>
      </c>
      <c r="E106" s="5"/>
    </row>
    <row r="107" spans="1:5" ht="15.75" customHeight="1" x14ac:dyDescent="0.2">
      <c r="A107" s="5">
        <v>1143253526</v>
      </c>
      <c r="B107" s="5" t="s">
        <v>326</v>
      </c>
      <c r="C107" s="5" t="s">
        <v>11</v>
      </c>
      <c r="D107" s="5" t="s">
        <v>46</v>
      </c>
      <c r="E107" s="5" t="s">
        <v>165</v>
      </c>
    </row>
    <row r="108" spans="1:5" ht="15.75" customHeight="1" x14ac:dyDescent="0.2">
      <c r="A108" s="5">
        <v>72099246</v>
      </c>
      <c r="B108" s="5" t="s">
        <v>329</v>
      </c>
      <c r="C108" s="5" t="s">
        <v>26</v>
      </c>
      <c r="D108" s="5" t="s">
        <v>46</v>
      </c>
      <c r="E108" s="5" t="s">
        <v>261</v>
      </c>
    </row>
    <row r="109" spans="1:5" ht="15.75" customHeight="1" x14ac:dyDescent="0.2">
      <c r="A109" s="5">
        <v>1042978357</v>
      </c>
      <c r="B109" s="5" t="s">
        <v>330</v>
      </c>
      <c r="C109" s="5" t="s">
        <v>26</v>
      </c>
      <c r="D109" s="5" t="s">
        <v>27</v>
      </c>
      <c r="E109" s="5" t="s">
        <v>331</v>
      </c>
    </row>
    <row r="110" spans="1:5" ht="15.75" customHeight="1" x14ac:dyDescent="0.2">
      <c r="A110" s="5">
        <v>1042350490</v>
      </c>
      <c r="B110" s="5" t="s">
        <v>332</v>
      </c>
      <c r="C110" s="5" t="s">
        <v>18</v>
      </c>
      <c r="D110" s="5" t="s">
        <v>46</v>
      </c>
      <c r="E110" s="5" t="s">
        <v>132</v>
      </c>
    </row>
    <row r="111" spans="1:5" ht="15.75" customHeight="1" x14ac:dyDescent="0.2">
      <c r="A111" s="5">
        <v>1010020170</v>
      </c>
      <c r="B111" s="5" t="s">
        <v>333</v>
      </c>
      <c r="C111" s="5" t="s">
        <v>26</v>
      </c>
      <c r="D111" s="5" t="s">
        <v>79</v>
      </c>
      <c r="E111" s="5" t="s">
        <v>313</v>
      </c>
    </row>
    <row r="112" spans="1:5" ht="15.75" customHeight="1" x14ac:dyDescent="0.2">
      <c r="A112" s="5">
        <v>1045169939</v>
      </c>
      <c r="B112" s="5" t="s">
        <v>334</v>
      </c>
      <c r="C112" s="5" t="s">
        <v>26</v>
      </c>
      <c r="D112" s="5" t="s">
        <v>27</v>
      </c>
      <c r="E112" s="5" t="s">
        <v>335</v>
      </c>
    </row>
    <row r="113" spans="1:5" ht="15.75" customHeight="1" x14ac:dyDescent="0.2">
      <c r="A113" s="5">
        <v>72333146</v>
      </c>
      <c r="B113" s="5" t="s">
        <v>336</v>
      </c>
      <c r="C113" s="5" t="s">
        <v>26</v>
      </c>
      <c r="D113" s="5" t="s">
        <v>79</v>
      </c>
      <c r="E113" s="5" t="s">
        <v>125</v>
      </c>
    </row>
    <row r="114" spans="1:5" ht="15.75" customHeight="1" x14ac:dyDescent="0.2">
      <c r="A114" s="5">
        <v>1044630265</v>
      </c>
      <c r="B114" s="5" t="s">
        <v>338</v>
      </c>
      <c r="C114" s="5" t="s">
        <v>40</v>
      </c>
      <c r="D114" s="5" t="s">
        <v>19</v>
      </c>
      <c r="E114" s="5" t="s">
        <v>341</v>
      </c>
    </row>
    <row r="115" spans="1:5" ht="15.75" customHeight="1" x14ac:dyDescent="0.2">
      <c r="A115" s="5">
        <v>72073371</v>
      </c>
      <c r="B115" s="5" t="s">
        <v>342</v>
      </c>
      <c r="C115" s="5" t="s">
        <v>18</v>
      </c>
      <c r="D115" s="5" t="s">
        <v>27</v>
      </c>
      <c r="E115" s="5" t="s">
        <v>343</v>
      </c>
    </row>
    <row r="116" spans="1:5" ht="15.75" customHeight="1" x14ac:dyDescent="0.2">
      <c r="A116" s="5">
        <v>1045250637</v>
      </c>
      <c r="B116" s="5" t="s">
        <v>344</v>
      </c>
      <c r="C116" s="5" t="s">
        <v>11</v>
      </c>
      <c r="D116" s="5" t="s">
        <v>27</v>
      </c>
      <c r="E116" s="5" t="s">
        <v>335</v>
      </c>
    </row>
    <row r="117" spans="1:5" ht="15.75" customHeight="1" x14ac:dyDescent="0.2">
      <c r="A117" s="5">
        <v>72053460</v>
      </c>
      <c r="B117" s="5" t="s">
        <v>345</v>
      </c>
      <c r="C117" s="5" t="s">
        <v>11</v>
      </c>
      <c r="D117" s="5" t="s">
        <v>79</v>
      </c>
      <c r="E117" s="5" t="s">
        <v>346</v>
      </c>
    </row>
    <row r="118" spans="1:5" ht="15.75" customHeight="1" x14ac:dyDescent="0.2">
      <c r="A118" s="5">
        <v>1043680075</v>
      </c>
      <c r="B118" s="5" t="s">
        <v>347</v>
      </c>
      <c r="C118" s="5" t="s">
        <v>11</v>
      </c>
      <c r="D118" s="5" t="s">
        <v>19</v>
      </c>
      <c r="E118" s="5" t="s">
        <v>341</v>
      </c>
    </row>
    <row r="119" spans="1:5" ht="15.75" customHeight="1" x14ac:dyDescent="0.2">
      <c r="A119" s="5">
        <v>8714038</v>
      </c>
      <c r="B119" s="5" t="s">
        <v>349</v>
      </c>
      <c r="C119" s="5" t="s">
        <v>26</v>
      </c>
      <c r="D119" s="5" t="s">
        <v>46</v>
      </c>
      <c r="E119" s="5" t="s">
        <v>350</v>
      </c>
    </row>
    <row r="120" spans="1:5" ht="15.75" customHeight="1" x14ac:dyDescent="0.2">
      <c r="A120" s="5">
        <v>72182247</v>
      </c>
      <c r="B120" s="5" t="s">
        <v>351</v>
      </c>
      <c r="C120" s="5" t="s">
        <v>32</v>
      </c>
      <c r="D120" s="5" t="s">
        <v>36</v>
      </c>
      <c r="E120" s="5"/>
    </row>
    <row r="121" spans="1:5" ht="15.75" customHeight="1" x14ac:dyDescent="0.2">
      <c r="A121" s="5">
        <v>8508716</v>
      </c>
      <c r="B121" s="5" t="s">
        <v>352</v>
      </c>
      <c r="C121" s="5" t="s">
        <v>26</v>
      </c>
      <c r="D121" s="5" t="s">
        <v>79</v>
      </c>
      <c r="E121" s="5" t="s">
        <v>353</v>
      </c>
    </row>
    <row r="122" spans="1:5" ht="15.75" customHeight="1" x14ac:dyDescent="0.2">
      <c r="A122" s="5">
        <v>1143145371</v>
      </c>
      <c r="B122" s="5" t="s">
        <v>355</v>
      </c>
      <c r="C122" s="5" t="s">
        <v>18</v>
      </c>
      <c r="D122" s="5" t="s">
        <v>46</v>
      </c>
      <c r="E122" s="5" t="s">
        <v>356</v>
      </c>
    </row>
    <row r="123" spans="1:5" ht="15.75" customHeight="1" x14ac:dyDescent="0.2">
      <c r="A123" s="5">
        <v>7592397</v>
      </c>
      <c r="B123" s="5" t="s">
        <v>357</v>
      </c>
      <c r="C123" s="5" t="s">
        <v>11</v>
      </c>
      <c r="D123" s="5" t="s">
        <v>19</v>
      </c>
      <c r="E123" s="5" t="s">
        <v>341</v>
      </c>
    </row>
    <row r="124" spans="1:5" ht="15.75" customHeight="1" x14ac:dyDescent="0.2">
      <c r="A124" s="5">
        <v>1064310445</v>
      </c>
      <c r="B124" s="5" t="s">
        <v>358</v>
      </c>
      <c r="C124" s="5" t="s">
        <v>11</v>
      </c>
      <c r="D124" s="5" t="s">
        <v>46</v>
      </c>
      <c r="E124" s="5" t="s">
        <v>267</v>
      </c>
    </row>
    <row r="125" spans="1:5" ht="15.75" customHeight="1" x14ac:dyDescent="0.2">
      <c r="A125" s="5">
        <v>8798101</v>
      </c>
      <c r="B125" s="5" t="s">
        <v>359</v>
      </c>
      <c r="C125" s="5" t="s">
        <v>11</v>
      </c>
      <c r="D125" s="5" t="s">
        <v>46</v>
      </c>
      <c r="E125" s="5" t="s">
        <v>291</v>
      </c>
    </row>
    <row r="126" spans="1:5" ht="15.75" customHeight="1" x14ac:dyDescent="0.2">
      <c r="A126" s="5">
        <v>1042423097</v>
      </c>
      <c r="B126" s="5" t="s">
        <v>363</v>
      </c>
      <c r="C126" s="5" t="s">
        <v>40</v>
      </c>
      <c r="D126" s="5" t="s">
        <v>19</v>
      </c>
      <c r="E126" s="5" t="s">
        <v>366</v>
      </c>
    </row>
    <row r="127" spans="1:5" ht="15.75" customHeight="1" x14ac:dyDescent="0.2">
      <c r="A127" s="5">
        <v>72346369</v>
      </c>
      <c r="B127" s="5" t="s">
        <v>367</v>
      </c>
      <c r="C127" s="5" t="s">
        <v>26</v>
      </c>
      <c r="D127" s="5" t="s">
        <v>27</v>
      </c>
      <c r="E127" s="5" t="s">
        <v>318</v>
      </c>
    </row>
    <row r="128" spans="1:5" ht="15.75" customHeight="1" x14ac:dyDescent="0.2">
      <c r="A128" s="5">
        <v>1143120635</v>
      </c>
      <c r="B128" s="5" t="s">
        <v>368</v>
      </c>
      <c r="C128" s="5" t="s">
        <v>26</v>
      </c>
      <c r="D128" s="5" t="s">
        <v>27</v>
      </c>
      <c r="E128" s="5" t="s">
        <v>369</v>
      </c>
    </row>
    <row r="129" spans="1:5" ht="15.75" customHeight="1" x14ac:dyDescent="0.2">
      <c r="A129" s="5">
        <v>1001943844</v>
      </c>
      <c r="B129" s="5" t="s">
        <v>370</v>
      </c>
      <c r="C129" s="5" t="s">
        <v>11</v>
      </c>
      <c r="D129" s="5" t="s">
        <v>27</v>
      </c>
      <c r="E129" s="5" t="s">
        <v>318</v>
      </c>
    </row>
    <row r="130" spans="1:5" ht="15.75" customHeight="1" x14ac:dyDescent="0.2">
      <c r="A130" s="5">
        <v>73429909</v>
      </c>
      <c r="B130" s="5" t="s">
        <v>371</v>
      </c>
      <c r="C130" s="5" t="s">
        <v>18</v>
      </c>
      <c r="D130" s="5" t="s">
        <v>27</v>
      </c>
      <c r="E130" s="5" t="s">
        <v>331</v>
      </c>
    </row>
    <row r="131" spans="1:5" ht="15.75" customHeight="1" x14ac:dyDescent="0.2">
      <c r="A131" s="5">
        <v>92191638</v>
      </c>
      <c r="B131" s="5" t="s">
        <v>375</v>
      </c>
      <c r="C131" s="5" t="s">
        <v>11</v>
      </c>
      <c r="D131" s="5" t="s">
        <v>19</v>
      </c>
      <c r="E131" s="5" t="s">
        <v>366</v>
      </c>
    </row>
    <row r="132" spans="1:5" ht="15.75" customHeight="1" x14ac:dyDescent="0.2">
      <c r="A132" s="5">
        <v>72205039</v>
      </c>
      <c r="B132" s="5" t="s">
        <v>378</v>
      </c>
      <c r="C132" s="5" t="s">
        <v>11</v>
      </c>
      <c r="D132" s="5" t="s">
        <v>19</v>
      </c>
      <c r="E132" s="5" t="s">
        <v>366</v>
      </c>
    </row>
    <row r="133" spans="1:5" ht="15.75" customHeight="1" x14ac:dyDescent="0.2">
      <c r="A133" s="5">
        <v>72342717</v>
      </c>
      <c r="B133" s="5" t="s">
        <v>379</v>
      </c>
      <c r="C133" s="5" t="s">
        <v>11</v>
      </c>
      <c r="D133" s="5" t="s">
        <v>27</v>
      </c>
      <c r="E133" s="5" t="s">
        <v>265</v>
      </c>
    </row>
    <row r="134" spans="1:5" ht="15.75" customHeight="1" x14ac:dyDescent="0.2">
      <c r="A134" s="5">
        <v>1689285</v>
      </c>
      <c r="B134" s="5" t="s">
        <v>380</v>
      </c>
      <c r="C134" s="5" t="s">
        <v>18</v>
      </c>
      <c r="D134" s="5" t="s">
        <v>27</v>
      </c>
      <c r="E134" s="5" t="s">
        <v>369</v>
      </c>
    </row>
    <row r="135" spans="1:5" ht="15.75" customHeight="1" x14ac:dyDescent="0.2">
      <c r="A135" s="5">
        <v>1480603</v>
      </c>
      <c r="B135" s="5" t="s">
        <v>381</v>
      </c>
      <c r="C135" s="5" t="s">
        <v>18</v>
      </c>
      <c r="D135" s="5" t="s">
        <v>79</v>
      </c>
      <c r="E135" s="5" t="s">
        <v>383</v>
      </c>
    </row>
    <row r="136" spans="1:5" ht="15.75" customHeight="1" x14ac:dyDescent="0.2">
      <c r="A136" s="5">
        <v>73238625</v>
      </c>
      <c r="B136" s="5" t="s">
        <v>384</v>
      </c>
      <c r="C136" s="5" t="s">
        <v>11</v>
      </c>
      <c r="D136" s="5" t="s">
        <v>27</v>
      </c>
      <c r="E136" s="5" t="s">
        <v>369</v>
      </c>
    </row>
    <row r="137" spans="1:5" ht="15.75" customHeight="1" x14ac:dyDescent="0.2">
      <c r="A137" s="5">
        <v>1001855145</v>
      </c>
      <c r="B137" s="5" t="s">
        <v>385</v>
      </c>
      <c r="C137" s="5" t="s">
        <v>323</v>
      </c>
      <c r="D137" s="5" t="s">
        <v>324</v>
      </c>
      <c r="E137" s="5"/>
    </row>
    <row r="138" spans="1:5" ht="15.75" customHeight="1" x14ac:dyDescent="0.2">
      <c r="A138" s="5">
        <v>85430201</v>
      </c>
      <c r="B138" s="5" t="s">
        <v>386</v>
      </c>
      <c r="C138" s="5" t="s">
        <v>11</v>
      </c>
      <c r="D138" s="5" t="s">
        <v>46</v>
      </c>
      <c r="E138" s="5" t="s">
        <v>84</v>
      </c>
    </row>
    <row r="139" spans="1:5" ht="15.75" customHeight="1" x14ac:dyDescent="0.2">
      <c r="A139" s="5">
        <v>8648943</v>
      </c>
      <c r="B139" s="5" t="s">
        <v>387</v>
      </c>
      <c r="C139" s="5" t="s">
        <v>18</v>
      </c>
      <c r="D139" s="5" t="s">
        <v>27</v>
      </c>
      <c r="E139" s="5" t="s">
        <v>295</v>
      </c>
    </row>
    <row r="140" spans="1:5" ht="15.75" customHeight="1" x14ac:dyDescent="0.2">
      <c r="A140" s="5">
        <v>8645886</v>
      </c>
      <c r="B140" s="5" t="s">
        <v>389</v>
      </c>
      <c r="C140" s="5" t="s">
        <v>11</v>
      </c>
      <c r="D140" s="5" t="s">
        <v>27</v>
      </c>
      <c r="E140" s="5" t="s">
        <v>67</v>
      </c>
    </row>
    <row r="141" spans="1:5" ht="15.75" customHeight="1" x14ac:dyDescent="0.2">
      <c r="A141" s="5">
        <v>1010083985</v>
      </c>
      <c r="B141" s="5" t="s">
        <v>391</v>
      </c>
      <c r="C141" s="5" t="s">
        <v>18</v>
      </c>
      <c r="D141" s="5" t="s">
        <v>27</v>
      </c>
      <c r="E141" s="5" t="s">
        <v>392</v>
      </c>
    </row>
    <row r="142" spans="1:5" ht="15.75" customHeight="1" x14ac:dyDescent="0.2">
      <c r="A142" s="5">
        <v>1143139660</v>
      </c>
      <c r="B142" s="5" t="s">
        <v>394</v>
      </c>
      <c r="C142" s="5" t="s">
        <v>18</v>
      </c>
      <c r="D142" s="5" t="s">
        <v>19</v>
      </c>
      <c r="E142" s="5" t="s">
        <v>395</v>
      </c>
    </row>
    <row r="143" spans="1:5" ht="15.75" customHeight="1" x14ac:dyDescent="0.2">
      <c r="A143" s="5">
        <v>72155244</v>
      </c>
      <c r="B143" s="5" t="s">
        <v>396</v>
      </c>
      <c r="C143" s="5" t="s">
        <v>26</v>
      </c>
      <c r="D143" s="5" t="s">
        <v>27</v>
      </c>
      <c r="E143" s="5" t="s">
        <v>193</v>
      </c>
    </row>
    <row r="144" spans="1:5" ht="15.75" customHeight="1" x14ac:dyDescent="0.2">
      <c r="A144" s="5">
        <v>72306580</v>
      </c>
      <c r="B144" s="5" t="s">
        <v>398</v>
      </c>
      <c r="C144" s="5" t="s">
        <v>26</v>
      </c>
      <c r="D144" s="5" t="s">
        <v>19</v>
      </c>
      <c r="E144" s="5" t="s">
        <v>395</v>
      </c>
    </row>
    <row r="145" spans="1:5" ht="15.75" customHeight="1" x14ac:dyDescent="0.2">
      <c r="A145" s="5">
        <v>72241595</v>
      </c>
      <c r="B145" s="5" t="s">
        <v>399</v>
      </c>
      <c r="C145" s="5" t="s">
        <v>18</v>
      </c>
      <c r="D145" s="5" t="s">
        <v>79</v>
      </c>
      <c r="E145" s="5" t="s">
        <v>346</v>
      </c>
    </row>
    <row r="146" spans="1:5" ht="15.75" customHeight="1" x14ac:dyDescent="0.2">
      <c r="A146" s="5">
        <v>77103646</v>
      </c>
      <c r="B146" s="5" t="s">
        <v>401</v>
      </c>
      <c r="C146" s="5" t="s">
        <v>18</v>
      </c>
      <c r="D146" s="5" t="s">
        <v>79</v>
      </c>
      <c r="E146" s="5" t="s">
        <v>125</v>
      </c>
    </row>
    <row r="147" spans="1:5" ht="15.75" customHeight="1" x14ac:dyDescent="0.2">
      <c r="A147" s="5">
        <v>5049904</v>
      </c>
      <c r="B147" s="5" t="s">
        <v>402</v>
      </c>
      <c r="C147" s="5" t="s">
        <v>11</v>
      </c>
      <c r="D147" s="5" t="s">
        <v>19</v>
      </c>
      <c r="E147" s="5" t="s">
        <v>395</v>
      </c>
    </row>
    <row r="148" spans="1:5" ht="15.75" customHeight="1" x14ac:dyDescent="0.2">
      <c r="A148" s="5">
        <v>1047340831</v>
      </c>
      <c r="B148" s="5" t="s">
        <v>405</v>
      </c>
      <c r="C148" s="5" t="s">
        <v>18</v>
      </c>
      <c r="D148" s="5" t="s">
        <v>46</v>
      </c>
      <c r="E148" s="5" t="s">
        <v>174</v>
      </c>
    </row>
    <row r="149" spans="1:5" ht="15.75" customHeight="1" x14ac:dyDescent="0.2">
      <c r="A149" s="5">
        <v>91003581</v>
      </c>
      <c r="B149" s="5" t="s">
        <v>406</v>
      </c>
      <c r="C149" s="5" t="s">
        <v>32</v>
      </c>
      <c r="D149" s="5" t="s">
        <v>36</v>
      </c>
      <c r="E149" s="5"/>
    </row>
    <row r="150" spans="1:5" ht="15.75" customHeight="1" x14ac:dyDescent="0.2">
      <c r="A150" s="5">
        <v>1043932097</v>
      </c>
      <c r="B150" s="5" t="s">
        <v>407</v>
      </c>
      <c r="C150" s="5" t="s">
        <v>11</v>
      </c>
      <c r="D150" s="5" t="s">
        <v>79</v>
      </c>
      <c r="E150" s="5" t="s">
        <v>408</v>
      </c>
    </row>
    <row r="151" spans="1:5" ht="15.75" customHeight="1" x14ac:dyDescent="0.2">
      <c r="A151" s="5">
        <v>72225725</v>
      </c>
      <c r="B151" s="5" t="s">
        <v>410</v>
      </c>
      <c r="C151" s="5" t="s">
        <v>11</v>
      </c>
      <c r="D151" s="5" t="s">
        <v>19</v>
      </c>
      <c r="E151" s="5" t="s">
        <v>411</v>
      </c>
    </row>
    <row r="152" spans="1:5" ht="15.75" customHeight="1" x14ac:dyDescent="0.2">
      <c r="A152" s="5">
        <v>5054057</v>
      </c>
      <c r="B152" s="5" t="s">
        <v>413</v>
      </c>
      <c r="C152" s="5" t="s">
        <v>11</v>
      </c>
      <c r="D152" s="5" t="s">
        <v>19</v>
      </c>
      <c r="E152" s="5" t="s">
        <v>411</v>
      </c>
    </row>
    <row r="153" spans="1:5" ht="15.75" customHeight="1" x14ac:dyDescent="0.2">
      <c r="A153" s="5">
        <v>1046703436</v>
      </c>
      <c r="B153" s="5" t="s">
        <v>419</v>
      </c>
      <c r="C153" s="5" t="s">
        <v>18</v>
      </c>
      <c r="D153" s="5" t="s">
        <v>46</v>
      </c>
      <c r="E153" s="5" t="s">
        <v>261</v>
      </c>
    </row>
    <row r="154" spans="1:5" ht="15.75" customHeight="1" x14ac:dyDescent="0.2">
      <c r="A154" s="5">
        <v>1143425190</v>
      </c>
      <c r="B154" s="5" t="s">
        <v>421</v>
      </c>
      <c r="C154" s="5" t="s">
        <v>40</v>
      </c>
      <c r="D154" s="5" t="s">
        <v>19</v>
      </c>
      <c r="E154" s="5" t="s">
        <v>411</v>
      </c>
    </row>
    <row r="155" spans="1:5" ht="15.75" customHeight="1" x14ac:dyDescent="0.2">
      <c r="A155" s="5">
        <v>8768517</v>
      </c>
      <c r="B155" s="5" t="s">
        <v>423</v>
      </c>
      <c r="C155" s="5" t="s">
        <v>11</v>
      </c>
      <c r="D155" s="5" t="s">
        <v>19</v>
      </c>
      <c r="E155" s="5" t="s">
        <v>425</v>
      </c>
    </row>
    <row r="156" spans="1:5" ht="15.75" customHeight="1" x14ac:dyDescent="0.2">
      <c r="A156" s="5">
        <v>3731585</v>
      </c>
      <c r="B156" s="5" t="s">
        <v>426</v>
      </c>
      <c r="C156" s="5" t="s">
        <v>11</v>
      </c>
      <c r="D156" s="5" t="s">
        <v>79</v>
      </c>
      <c r="E156" s="5" t="s">
        <v>80</v>
      </c>
    </row>
    <row r="157" spans="1:5" ht="15.75" customHeight="1" x14ac:dyDescent="0.2">
      <c r="A157" s="5">
        <v>1042999000</v>
      </c>
      <c r="B157" s="5" t="s">
        <v>428</v>
      </c>
      <c r="C157" s="5" t="s">
        <v>18</v>
      </c>
      <c r="D157" s="5" t="s">
        <v>27</v>
      </c>
      <c r="E157" s="5" t="s">
        <v>67</v>
      </c>
    </row>
    <row r="158" spans="1:5" ht="15.75" customHeight="1" x14ac:dyDescent="0.2">
      <c r="A158" s="5">
        <v>1001998230</v>
      </c>
      <c r="B158" s="5" t="s">
        <v>431</v>
      </c>
      <c r="C158" s="5" t="s">
        <v>18</v>
      </c>
      <c r="D158" s="5" t="s">
        <v>46</v>
      </c>
      <c r="E158" s="5" t="s">
        <v>350</v>
      </c>
    </row>
    <row r="159" spans="1:5" ht="15.75" customHeight="1" x14ac:dyDescent="0.2">
      <c r="A159" s="5">
        <v>8730152</v>
      </c>
      <c r="B159" s="5" t="s">
        <v>434</v>
      </c>
      <c r="C159" s="5" t="s">
        <v>238</v>
      </c>
      <c r="D159" s="5" t="s">
        <v>239</v>
      </c>
      <c r="E159" s="5"/>
    </row>
    <row r="160" spans="1:5" ht="15.75" customHeight="1" x14ac:dyDescent="0.2">
      <c r="A160" s="5">
        <v>1045250908</v>
      </c>
      <c r="B160" s="5" t="s">
        <v>435</v>
      </c>
      <c r="C160" s="5" t="s">
        <v>26</v>
      </c>
      <c r="D160" s="5" t="s">
        <v>27</v>
      </c>
      <c r="E160" s="5" t="s">
        <v>343</v>
      </c>
    </row>
    <row r="161" spans="1:5" ht="15.75" customHeight="1" x14ac:dyDescent="0.2">
      <c r="A161" s="5">
        <v>72054528</v>
      </c>
      <c r="B161" s="5" t="s">
        <v>437</v>
      </c>
      <c r="C161" s="5" t="s">
        <v>26</v>
      </c>
      <c r="D161" s="5" t="s">
        <v>46</v>
      </c>
      <c r="E161" s="5" t="s">
        <v>356</v>
      </c>
    </row>
    <row r="162" spans="1:5" ht="15.75" customHeight="1" x14ac:dyDescent="0.2">
      <c r="A162" s="5">
        <v>72050002</v>
      </c>
      <c r="B162" s="5" t="s">
        <v>438</v>
      </c>
      <c r="C162" s="5" t="s">
        <v>18</v>
      </c>
      <c r="D162" s="5" t="s">
        <v>19</v>
      </c>
      <c r="E162" s="5" t="s">
        <v>425</v>
      </c>
    </row>
    <row r="163" spans="1:5" ht="15.75" customHeight="1" x14ac:dyDescent="0.2">
      <c r="A163" s="5">
        <v>1045676923</v>
      </c>
      <c r="B163" s="5" t="s">
        <v>441</v>
      </c>
      <c r="C163" s="5" t="s">
        <v>11</v>
      </c>
      <c r="D163" s="5" t="s">
        <v>79</v>
      </c>
      <c r="E163" s="5" t="s">
        <v>87</v>
      </c>
    </row>
    <row r="164" spans="1:5" ht="15.75" customHeight="1" x14ac:dyDescent="0.2">
      <c r="A164" s="5">
        <v>7959524</v>
      </c>
      <c r="B164" s="5" t="s">
        <v>444</v>
      </c>
      <c r="C164" s="5" t="s">
        <v>26</v>
      </c>
      <c r="D164" s="5" t="s">
        <v>19</v>
      </c>
      <c r="E164" s="5" t="s">
        <v>425</v>
      </c>
    </row>
    <row r="165" spans="1:5" ht="15.75" customHeight="1" x14ac:dyDescent="0.2">
      <c r="A165" s="5">
        <v>1079658000</v>
      </c>
      <c r="B165" s="5" t="s">
        <v>446</v>
      </c>
      <c r="C165" s="5" t="s">
        <v>40</v>
      </c>
      <c r="D165" s="5" t="s">
        <v>19</v>
      </c>
      <c r="E165" s="5" t="s">
        <v>448</v>
      </c>
    </row>
    <row r="166" spans="1:5" ht="15.75" customHeight="1" x14ac:dyDescent="0.2">
      <c r="A166" s="5">
        <v>72430958</v>
      </c>
      <c r="B166" s="5" t="s">
        <v>451</v>
      </c>
      <c r="C166" s="5" t="s">
        <v>11</v>
      </c>
      <c r="D166" s="5" t="s">
        <v>19</v>
      </c>
      <c r="E166" s="5" t="s">
        <v>448</v>
      </c>
    </row>
    <row r="167" spans="1:5" ht="15.75" customHeight="1" x14ac:dyDescent="0.2">
      <c r="A167" s="5">
        <v>1042451391</v>
      </c>
      <c r="B167" s="5" t="s">
        <v>452</v>
      </c>
      <c r="C167" s="5" t="s">
        <v>18</v>
      </c>
      <c r="D167" s="5" t="s">
        <v>453</v>
      </c>
      <c r="E167" s="5"/>
    </row>
    <row r="168" spans="1:5" ht="15.75" customHeight="1" x14ac:dyDescent="0.2">
      <c r="A168" s="5">
        <v>8637359</v>
      </c>
      <c r="B168" s="5" t="s">
        <v>455</v>
      </c>
      <c r="C168" s="5" t="s">
        <v>11</v>
      </c>
      <c r="D168" s="5" t="s">
        <v>27</v>
      </c>
      <c r="E168" s="5" t="s">
        <v>331</v>
      </c>
    </row>
    <row r="169" spans="1:5" ht="15.75" customHeight="1" x14ac:dyDescent="0.2">
      <c r="A169" s="5">
        <v>1042351780</v>
      </c>
      <c r="B169" s="5" t="s">
        <v>458</v>
      </c>
      <c r="C169" s="5" t="s">
        <v>11</v>
      </c>
      <c r="D169" s="5" t="s">
        <v>19</v>
      </c>
      <c r="E169" s="5" t="s">
        <v>448</v>
      </c>
    </row>
    <row r="170" spans="1:5" ht="15.75" customHeight="1" x14ac:dyDescent="0.2">
      <c r="A170" s="5">
        <v>1042424991</v>
      </c>
      <c r="B170" s="5" t="s">
        <v>460</v>
      </c>
      <c r="C170" s="5" t="s">
        <v>11</v>
      </c>
      <c r="D170" s="5" t="s">
        <v>46</v>
      </c>
      <c r="E170" s="5" t="s">
        <v>271</v>
      </c>
    </row>
    <row r="171" spans="1:5" ht="15.75" customHeight="1" x14ac:dyDescent="0.2">
      <c r="A171" s="5">
        <v>9196036</v>
      </c>
      <c r="B171" s="5" t="s">
        <v>462</v>
      </c>
      <c r="C171" s="5" t="s">
        <v>18</v>
      </c>
      <c r="D171" s="5" t="s">
        <v>79</v>
      </c>
      <c r="E171" s="5" t="s">
        <v>463</v>
      </c>
    </row>
    <row r="172" spans="1:5" ht="15.75" customHeight="1" x14ac:dyDescent="0.2">
      <c r="A172" s="5">
        <v>1140879058</v>
      </c>
      <c r="B172" s="5" t="s">
        <v>465</v>
      </c>
      <c r="C172" s="5" t="s">
        <v>11</v>
      </c>
      <c r="D172" s="5" t="s">
        <v>19</v>
      </c>
      <c r="E172" s="5" t="s">
        <v>467</v>
      </c>
    </row>
    <row r="173" spans="1:5" ht="15.75" customHeight="1" x14ac:dyDescent="0.2">
      <c r="A173" s="5">
        <v>1042422861</v>
      </c>
      <c r="B173" s="5" t="s">
        <v>470</v>
      </c>
      <c r="C173" s="5" t="s">
        <v>40</v>
      </c>
      <c r="D173" s="5" t="s">
        <v>19</v>
      </c>
      <c r="E173" s="5" t="s">
        <v>467</v>
      </c>
    </row>
    <row r="174" spans="1:5" ht="15.75" customHeight="1" x14ac:dyDescent="0.2">
      <c r="A174" s="5">
        <v>1042971540</v>
      </c>
      <c r="B174" s="5" t="s">
        <v>474</v>
      </c>
      <c r="C174" s="5" t="s">
        <v>26</v>
      </c>
      <c r="D174" s="5" t="s">
        <v>46</v>
      </c>
      <c r="E174" s="5" t="s">
        <v>73</v>
      </c>
    </row>
    <row r="175" spans="1:5" ht="15.75" customHeight="1" x14ac:dyDescent="0.2">
      <c r="A175" s="5">
        <v>72337530</v>
      </c>
      <c r="B175" s="5" t="s">
        <v>477</v>
      </c>
      <c r="C175" s="5" t="s">
        <v>32</v>
      </c>
      <c r="D175" s="5" t="s">
        <v>36</v>
      </c>
      <c r="E175" s="5"/>
    </row>
    <row r="176" spans="1:5" ht="15.75" customHeight="1" x14ac:dyDescent="0.2">
      <c r="A176" s="5">
        <v>72310422</v>
      </c>
      <c r="B176" s="5" t="s">
        <v>478</v>
      </c>
      <c r="C176" s="5" t="s">
        <v>26</v>
      </c>
      <c r="D176" s="5" t="s">
        <v>79</v>
      </c>
      <c r="E176" s="5" t="s">
        <v>219</v>
      </c>
    </row>
    <row r="177" spans="1:5" ht="15.75" customHeight="1" x14ac:dyDescent="0.2">
      <c r="A177" s="5">
        <v>72055821</v>
      </c>
      <c r="B177" s="5" t="s">
        <v>225</v>
      </c>
      <c r="C177" s="5" t="s">
        <v>11</v>
      </c>
      <c r="D177" s="5" t="s">
        <v>19</v>
      </c>
      <c r="E177" s="5" t="s">
        <v>467</v>
      </c>
    </row>
    <row r="178" spans="1:5" ht="15.75" customHeight="1" x14ac:dyDescent="0.2">
      <c r="A178" s="5">
        <v>85127409</v>
      </c>
      <c r="B178" s="5" t="s">
        <v>485</v>
      </c>
      <c r="C178" s="5" t="s">
        <v>11</v>
      </c>
      <c r="D178" s="5" t="s">
        <v>46</v>
      </c>
      <c r="E178" s="5" t="s">
        <v>162</v>
      </c>
    </row>
    <row r="179" spans="1:5" ht="15.75" customHeight="1" x14ac:dyDescent="0.2">
      <c r="A179" s="5">
        <v>72310641</v>
      </c>
      <c r="B179" s="5" t="s">
        <v>486</v>
      </c>
      <c r="C179" s="5" t="s">
        <v>11</v>
      </c>
      <c r="D179" s="5" t="s">
        <v>46</v>
      </c>
      <c r="E179" s="5" t="s">
        <v>174</v>
      </c>
    </row>
    <row r="180" spans="1:5" ht="15.75" customHeight="1" x14ac:dyDescent="0.2">
      <c r="A180" s="5">
        <v>8530769</v>
      </c>
      <c r="B180" s="5" t="s">
        <v>487</v>
      </c>
      <c r="C180" s="5" t="s">
        <v>32</v>
      </c>
      <c r="D180" s="5" t="s">
        <v>36</v>
      </c>
      <c r="E180" s="5"/>
    </row>
    <row r="181" spans="1:5" ht="15.75" customHeight="1" x14ac:dyDescent="0.2">
      <c r="A181" s="5">
        <v>1128124959</v>
      </c>
      <c r="B181" s="5" t="s">
        <v>490</v>
      </c>
      <c r="C181" s="5" t="s">
        <v>40</v>
      </c>
      <c r="D181" s="5" t="s">
        <v>19</v>
      </c>
      <c r="E181" s="5" t="s">
        <v>494</v>
      </c>
    </row>
    <row r="182" spans="1:5" ht="15.75" customHeight="1" x14ac:dyDescent="0.2">
      <c r="A182" s="5">
        <v>1193551323</v>
      </c>
      <c r="B182" s="5" t="s">
        <v>495</v>
      </c>
      <c r="C182" s="5" t="s">
        <v>11</v>
      </c>
      <c r="D182" s="5" t="s">
        <v>27</v>
      </c>
      <c r="E182" s="5" t="s">
        <v>42</v>
      </c>
    </row>
    <row r="183" spans="1:5" ht="15.75" customHeight="1" x14ac:dyDescent="0.2">
      <c r="A183" s="5"/>
      <c r="B183" s="5" t="s">
        <v>498</v>
      </c>
      <c r="C183" s="5" t="s">
        <v>26</v>
      </c>
      <c r="D183" s="5" t="s">
        <v>79</v>
      </c>
      <c r="E183" s="5" t="s">
        <v>221</v>
      </c>
    </row>
    <row r="184" spans="1:5" ht="15.75" customHeight="1" x14ac:dyDescent="0.2">
      <c r="A184" s="5">
        <v>72182422</v>
      </c>
      <c r="B184" s="5" t="s">
        <v>499</v>
      </c>
      <c r="C184" s="5" t="s">
        <v>26</v>
      </c>
      <c r="D184" s="5" t="s">
        <v>27</v>
      </c>
      <c r="E184" s="5" t="s">
        <v>500</v>
      </c>
    </row>
    <row r="185" spans="1:5" ht="15.75" customHeight="1" x14ac:dyDescent="0.2">
      <c r="A185" s="5">
        <v>1047336680</v>
      </c>
      <c r="B185" s="5" t="s">
        <v>502</v>
      </c>
      <c r="C185" s="5" t="s">
        <v>18</v>
      </c>
      <c r="D185" s="5" t="s">
        <v>27</v>
      </c>
      <c r="E185" s="5" t="s">
        <v>180</v>
      </c>
    </row>
    <row r="186" spans="1:5" ht="15.75" customHeight="1" x14ac:dyDescent="0.2">
      <c r="A186" s="5">
        <v>72345932</v>
      </c>
      <c r="B186" s="5" t="s">
        <v>505</v>
      </c>
      <c r="C186" s="5" t="s">
        <v>26</v>
      </c>
      <c r="D186" s="5" t="s">
        <v>27</v>
      </c>
      <c r="E186" s="5" t="s">
        <v>392</v>
      </c>
    </row>
    <row r="187" spans="1:5" ht="15.75" customHeight="1" x14ac:dyDescent="0.2">
      <c r="A187" s="5">
        <v>1143133196</v>
      </c>
      <c r="B187" s="5" t="s">
        <v>510</v>
      </c>
      <c r="C187" s="5" t="s">
        <v>18</v>
      </c>
      <c r="D187" s="5" t="s">
        <v>46</v>
      </c>
      <c r="E187" s="5" t="s">
        <v>165</v>
      </c>
    </row>
    <row r="188" spans="1:5" ht="15.75" customHeight="1" x14ac:dyDescent="0.2">
      <c r="A188" s="5">
        <v>72181689</v>
      </c>
      <c r="B188" s="5" t="s">
        <v>511</v>
      </c>
      <c r="C188" s="5" t="s">
        <v>11</v>
      </c>
      <c r="D188" s="5" t="s">
        <v>79</v>
      </c>
      <c r="E188" s="5" t="s">
        <v>219</v>
      </c>
    </row>
    <row r="189" spans="1:5" ht="15.75" customHeight="1" x14ac:dyDescent="0.2">
      <c r="A189" s="5">
        <v>1123998396</v>
      </c>
      <c r="B189" s="5" t="s">
        <v>513</v>
      </c>
      <c r="C189" s="5" t="s">
        <v>11</v>
      </c>
      <c r="D189" s="5" t="s">
        <v>79</v>
      </c>
      <c r="E189" s="5" t="s">
        <v>515</v>
      </c>
    </row>
    <row r="190" spans="1:5" ht="15.75" customHeight="1" x14ac:dyDescent="0.2">
      <c r="A190" s="5">
        <v>1063143223</v>
      </c>
      <c r="B190" s="5" t="s">
        <v>516</v>
      </c>
      <c r="C190" s="5" t="s">
        <v>11</v>
      </c>
      <c r="D190" s="5" t="s">
        <v>19</v>
      </c>
      <c r="E190" s="5" t="s">
        <v>494</v>
      </c>
    </row>
    <row r="191" spans="1:5" ht="15.75" customHeight="1" x14ac:dyDescent="0.2">
      <c r="A191" s="5">
        <v>8526355</v>
      </c>
      <c r="B191" s="5" t="s">
        <v>518</v>
      </c>
      <c r="C191" s="5" t="s">
        <v>11</v>
      </c>
      <c r="D191" s="5" t="s">
        <v>27</v>
      </c>
      <c r="E191" s="5" t="s">
        <v>343</v>
      </c>
    </row>
    <row r="192" spans="1:5" ht="15.75" customHeight="1" x14ac:dyDescent="0.2">
      <c r="A192" s="5">
        <v>1091667199</v>
      </c>
      <c r="B192" s="5" t="s">
        <v>519</v>
      </c>
      <c r="C192" s="5" t="s">
        <v>11</v>
      </c>
      <c r="D192" s="5" t="s">
        <v>27</v>
      </c>
      <c r="E192" s="5" t="s">
        <v>180</v>
      </c>
    </row>
    <row r="193" spans="1:5" ht="15.75" customHeight="1" x14ac:dyDescent="0.2">
      <c r="A193" s="5">
        <v>8505802</v>
      </c>
      <c r="B193" s="5" t="s">
        <v>520</v>
      </c>
      <c r="C193" s="5" t="s">
        <v>11</v>
      </c>
      <c r="D193" s="5" t="s">
        <v>19</v>
      </c>
      <c r="E193" s="5" t="s">
        <v>494</v>
      </c>
    </row>
    <row r="194" spans="1:5" ht="15.75" customHeight="1" x14ac:dyDescent="0.2">
      <c r="A194" s="5">
        <v>72044918</v>
      </c>
      <c r="B194" s="5" t="s">
        <v>526</v>
      </c>
      <c r="C194" s="5" t="s">
        <v>26</v>
      </c>
      <c r="D194" s="5" t="s">
        <v>46</v>
      </c>
      <c r="E194" s="5" t="s">
        <v>121</v>
      </c>
    </row>
    <row r="195" spans="1:5" ht="15.75" customHeight="1" x14ac:dyDescent="0.2">
      <c r="A195" s="5">
        <v>72121487</v>
      </c>
      <c r="B195" s="5" t="s">
        <v>529</v>
      </c>
      <c r="C195" s="5" t="s">
        <v>26</v>
      </c>
      <c r="D195" s="5" t="s">
        <v>27</v>
      </c>
      <c r="E195" s="5" t="s">
        <v>254</v>
      </c>
    </row>
    <row r="196" spans="1:5" ht="15.75" customHeight="1" x14ac:dyDescent="0.2">
      <c r="A196" s="5">
        <v>72432687</v>
      </c>
      <c r="B196" s="5" t="s">
        <v>534</v>
      </c>
      <c r="C196" s="5" t="s">
        <v>26</v>
      </c>
      <c r="D196" s="5" t="s">
        <v>535</v>
      </c>
      <c r="E196" s="5"/>
    </row>
    <row r="197" spans="1:5" ht="15.75" customHeight="1" x14ac:dyDescent="0.2">
      <c r="A197" s="5">
        <v>1047226163</v>
      </c>
      <c r="B197" s="5" t="s">
        <v>537</v>
      </c>
      <c r="C197" s="5" t="s">
        <v>26</v>
      </c>
      <c r="D197" s="5" t="s">
        <v>350</v>
      </c>
      <c r="E197" s="5"/>
    </row>
    <row r="198" spans="1:5" ht="15.75" customHeight="1" x14ac:dyDescent="0.2">
      <c r="A198" s="5">
        <v>72175026</v>
      </c>
      <c r="B198" s="5" t="s">
        <v>540</v>
      </c>
      <c r="C198" s="5" t="s">
        <v>11</v>
      </c>
      <c r="D198" s="5" t="s">
        <v>19</v>
      </c>
      <c r="E198" s="5" t="s">
        <v>541</v>
      </c>
    </row>
    <row r="199" spans="1:5" ht="15.75" customHeight="1" x14ac:dyDescent="0.2">
      <c r="A199" s="5">
        <v>1043009502</v>
      </c>
      <c r="B199" s="5" t="s">
        <v>542</v>
      </c>
      <c r="C199" s="5" t="s">
        <v>11</v>
      </c>
      <c r="D199" s="5" t="s">
        <v>27</v>
      </c>
      <c r="E199" s="5" t="s">
        <v>227</v>
      </c>
    </row>
    <row r="200" spans="1:5" ht="15.75" customHeight="1" x14ac:dyDescent="0.2">
      <c r="A200" s="5">
        <v>19640203</v>
      </c>
      <c r="B200" s="5" t="s">
        <v>543</v>
      </c>
      <c r="C200" s="5" t="s">
        <v>11</v>
      </c>
      <c r="D200" s="5" t="s">
        <v>46</v>
      </c>
      <c r="E200" s="5" t="s">
        <v>545</v>
      </c>
    </row>
    <row r="201" spans="1:5" ht="15.75" customHeight="1" x14ac:dyDescent="0.2">
      <c r="A201" s="5">
        <v>72227729</v>
      </c>
      <c r="B201" s="5" t="s">
        <v>547</v>
      </c>
      <c r="C201" s="5" t="s">
        <v>11</v>
      </c>
      <c r="D201" s="5" t="s">
        <v>19</v>
      </c>
      <c r="E201" s="5" t="s">
        <v>541</v>
      </c>
    </row>
    <row r="202" spans="1:5" ht="15.75" customHeight="1" x14ac:dyDescent="0.2">
      <c r="A202" s="5">
        <v>1042426070</v>
      </c>
      <c r="B202" s="5" t="s">
        <v>550</v>
      </c>
      <c r="C202" s="5" t="s">
        <v>11</v>
      </c>
      <c r="D202" s="5" t="s">
        <v>27</v>
      </c>
      <c r="E202" s="5" t="s">
        <v>500</v>
      </c>
    </row>
    <row r="203" spans="1:5" ht="15.75" customHeight="1" x14ac:dyDescent="0.2">
      <c r="A203" s="5">
        <v>72232029</v>
      </c>
      <c r="B203" s="5" t="s">
        <v>552</v>
      </c>
      <c r="C203" s="5" t="s">
        <v>40</v>
      </c>
      <c r="D203" s="5" t="s">
        <v>19</v>
      </c>
      <c r="E203" s="5" t="s">
        <v>541</v>
      </c>
    </row>
    <row r="204" spans="1:5" ht="15.75" customHeight="1" x14ac:dyDescent="0.2">
      <c r="A204" s="5">
        <v>72273081</v>
      </c>
      <c r="B204" s="5" t="s">
        <v>553</v>
      </c>
      <c r="C204" s="5" t="s">
        <v>18</v>
      </c>
      <c r="D204" s="5" t="s">
        <v>46</v>
      </c>
      <c r="E204" s="5" t="s">
        <v>291</v>
      </c>
    </row>
    <row r="205" spans="1:5" ht="15.75" customHeight="1" x14ac:dyDescent="0.2">
      <c r="A205" s="5">
        <v>3746339</v>
      </c>
      <c r="B205" s="5" t="s">
        <v>554</v>
      </c>
      <c r="C205" s="5" t="s">
        <v>26</v>
      </c>
      <c r="D205" s="5" t="s">
        <v>79</v>
      </c>
      <c r="E205" s="5" t="s">
        <v>515</v>
      </c>
    </row>
    <row r="206" spans="1:5" ht="15.75" customHeight="1" x14ac:dyDescent="0.2">
      <c r="A206" s="5">
        <v>72049150</v>
      </c>
      <c r="B206" s="5" t="s">
        <v>555</v>
      </c>
      <c r="C206" s="5" t="s">
        <v>11</v>
      </c>
      <c r="D206" s="5" t="s">
        <v>79</v>
      </c>
      <c r="E206" s="5" t="s">
        <v>463</v>
      </c>
    </row>
    <row r="207" spans="1:5" ht="15.75" customHeight="1" x14ac:dyDescent="0.2">
      <c r="A207" s="5">
        <v>1140875023</v>
      </c>
      <c r="B207" s="5" t="s">
        <v>557</v>
      </c>
      <c r="C207" s="5" t="s">
        <v>18</v>
      </c>
      <c r="D207" s="5" t="s">
        <v>19</v>
      </c>
      <c r="E207" s="5" t="s">
        <v>558</v>
      </c>
    </row>
    <row r="208" spans="1:5" ht="15.75" customHeight="1" x14ac:dyDescent="0.2">
      <c r="A208" s="5">
        <v>1143154711</v>
      </c>
      <c r="B208" s="5" t="s">
        <v>560</v>
      </c>
      <c r="C208" s="5" t="s">
        <v>11</v>
      </c>
      <c r="D208" s="5" t="s">
        <v>19</v>
      </c>
      <c r="E208" s="5" t="s">
        <v>558</v>
      </c>
    </row>
    <row r="209" spans="1:5" ht="15.75" customHeight="1" x14ac:dyDescent="0.2">
      <c r="A209" s="5">
        <v>73158268</v>
      </c>
      <c r="B209" s="5" t="s">
        <v>563</v>
      </c>
      <c r="C209" s="5" t="s">
        <v>26</v>
      </c>
      <c r="D209" s="5" t="s">
        <v>19</v>
      </c>
      <c r="E209" s="5" t="s">
        <v>558</v>
      </c>
    </row>
    <row r="210" spans="1:5" ht="15.75" customHeight="1" x14ac:dyDescent="0.2">
      <c r="A210" s="5">
        <v>1149441148</v>
      </c>
      <c r="B210" s="5" t="s">
        <v>565</v>
      </c>
      <c r="C210" s="5" t="s">
        <v>11</v>
      </c>
      <c r="D210" s="5" t="s">
        <v>27</v>
      </c>
      <c r="E210" s="5" t="s">
        <v>223</v>
      </c>
    </row>
    <row r="211" spans="1:5" ht="15.75" customHeight="1" x14ac:dyDescent="0.2">
      <c r="A211" s="5">
        <v>1045719975</v>
      </c>
      <c r="B211" s="5" t="s">
        <v>566</v>
      </c>
      <c r="C211" s="5" t="s">
        <v>18</v>
      </c>
      <c r="D211" s="5" t="s">
        <v>19</v>
      </c>
      <c r="E211" s="5" t="s">
        <v>568</v>
      </c>
    </row>
    <row r="212" spans="1:5" ht="15.75" customHeight="1" x14ac:dyDescent="0.2">
      <c r="A212" s="5">
        <v>1042447504</v>
      </c>
      <c r="B212" s="5" t="s">
        <v>569</v>
      </c>
      <c r="C212" s="5" t="s">
        <v>11</v>
      </c>
      <c r="D212" s="5" t="s">
        <v>27</v>
      </c>
      <c r="E212" s="5" t="s">
        <v>97</v>
      </c>
    </row>
    <row r="213" spans="1:5" ht="15.75" customHeight="1" x14ac:dyDescent="0.2">
      <c r="A213" s="5">
        <v>1042346134</v>
      </c>
      <c r="B213" s="5" t="s">
        <v>572</v>
      </c>
      <c r="C213" s="5" t="s">
        <v>18</v>
      </c>
      <c r="D213" s="5" t="s">
        <v>79</v>
      </c>
      <c r="E213" s="5" t="s">
        <v>408</v>
      </c>
    </row>
    <row r="214" spans="1:5" ht="15.75" customHeight="1" x14ac:dyDescent="0.2">
      <c r="A214" s="5">
        <v>1193375189</v>
      </c>
      <c r="B214" s="5" t="s">
        <v>575</v>
      </c>
      <c r="C214" s="5" t="s">
        <v>11</v>
      </c>
      <c r="D214" s="5" t="s">
        <v>79</v>
      </c>
      <c r="E214" s="5" t="s">
        <v>147</v>
      </c>
    </row>
    <row r="215" spans="1:5" ht="15.75" customHeight="1" x14ac:dyDescent="0.2">
      <c r="A215" s="5">
        <v>72020710</v>
      </c>
      <c r="B215" s="5" t="s">
        <v>578</v>
      </c>
      <c r="C215" s="5" t="s">
        <v>18</v>
      </c>
      <c r="D215" s="5" t="s">
        <v>27</v>
      </c>
      <c r="E215" s="5" t="s">
        <v>335</v>
      </c>
    </row>
    <row r="216" spans="1:5" ht="15.75" customHeight="1" x14ac:dyDescent="0.2">
      <c r="A216" s="5">
        <v>1042995407</v>
      </c>
      <c r="B216" s="5" t="s">
        <v>580</v>
      </c>
      <c r="C216" s="5" t="s">
        <v>26</v>
      </c>
      <c r="D216" s="5" t="s">
        <v>27</v>
      </c>
      <c r="E216" s="5" t="s">
        <v>57</v>
      </c>
    </row>
    <row r="217" spans="1:5" ht="15.75" customHeight="1" x14ac:dyDescent="0.2">
      <c r="A217" s="5">
        <v>8718387</v>
      </c>
      <c r="B217" s="5" t="s">
        <v>581</v>
      </c>
      <c r="C217" s="5" t="s">
        <v>26</v>
      </c>
      <c r="D217" s="5" t="s">
        <v>19</v>
      </c>
      <c r="E217" s="5" t="s">
        <v>568</v>
      </c>
    </row>
    <row r="218" spans="1:5" ht="15.75" customHeight="1" x14ac:dyDescent="0.2">
      <c r="A218" s="5">
        <v>1129509319</v>
      </c>
      <c r="B218" s="5" t="s">
        <v>584</v>
      </c>
      <c r="C218" s="5" t="s">
        <v>40</v>
      </c>
      <c r="D218" s="5" t="s">
        <v>79</v>
      </c>
      <c r="E218" s="5" t="s">
        <v>87</v>
      </c>
    </row>
    <row r="219" spans="1:5" ht="15.75" customHeight="1" x14ac:dyDescent="0.2">
      <c r="A219" s="5">
        <v>1045712196</v>
      </c>
      <c r="B219" s="5" t="s">
        <v>588</v>
      </c>
      <c r="C219" s="5" t="s">
        <v>11</v>
      </c>
      <c r="D219" s="5" t="s">
        <v>19</v>
      </c>
      <c r="E219" s="5" t="s">
        <v>568</v>
      </c>
    </row>
    <row r="220" spans="1:5" ht="15.75" customHeight="1" x14ac:dyDescent="0.2">
      <c r="A220" s="5">
        <v>8769783</v>
      </c>
      <c r="B220" s="5" t="s">
        <v>589</v>
      </c>
      <c r="C220" s="5" t="s">
        <v>11</v>
      </c>
      <c r="D220" s="5" t="s">
        <v>19</v>
      </c>
      <c r="E220" s="5" t="s">
        <v>591</v>
      </c>
    </row>
    <row r="221" spans="1:5" ht="15.75" customHeight="1" x14ac:dyDescent="0.2">
      <c r="A221" s="5">
        <v>1002183350</v>
      </c>
      <c r="B221" s="5" t="s">
        <v>592</v>
      </c>
      <c r="C221" s="5" t="s">
        <v>26</v>
      </c>
      <c r="D221" s="5" t="s">
        <v>79</v>
      </c>
      <c r="E221" s="5" t="s">
        <v>127</v>
      </c>
    </row>
    <row r="222" spans="1:5" ht="15.75" customHeight="1" x14ac:dyDescent="0.2">
      <c r="A222" s="5">
        <v>1045739794</v>
      </c>
      <c r="B222" s="5" t="s">
        <v>594</v>
      </c>
      <c r="C222" s="5" t="s">
        <v>26</v>
      </c>
      <c r="D222" s="5" t="s">
        <v>79</v>
      </c>
      <c r="E222" s="5" t="s">
        <v>221</v>
      </c>
    </row>
    <row r="223" spans="1:5" ht="15.75" customHeight="1" x14ac:dyDescent="0.2">
      <c r="A223" s="5">
        <v>72315058</v>
      </c>
      <c r="B223" s="5" t="s">
        <v>595</v>
      </c>
      <c r="C223" s="5" t="s">
        <v>26</v>
      </c>
      <c r="D223" s="5" t="s">
        <v>19</v>
      </c>
      <c r="E223" s="5" t="s">
        <v>591</v>
      </c>
    </row>
    <row r="224" spans="1:5" ht="15.75" customHeight="1" x14ac:dyDescent="0.2">
      <c r="A224" s="5">
        <v>92552739</v>
      </c>
      <c r="B224" s="5" t="s">
        <v>596</v>
      </c>
      <c r="C224" s="5" t="s">
        <v>11</v>
      </c>
      <c r="D224" s="5" t="s">
        <v>79</v>
      </c>
      <c r="E224" s="5" t="s">
        <v>250</v>
      </c>
    </row>
    <row r="225" spans="1:5" ht="15.75" customHeight="1" x14ac:dyDescent="0.2">
      <c r="A225" s="5">
        <v>1047216404</v>
      </c>
      <c r="B225" s="5" t="s">
        <v>597</v>
      </c>
      <c r="C225" s="5" t="s">
        <v>11</v>
      </c>
      <c r="D225" s="5" t="s">
        <v>27</v>
      </c>
      <c r="E225" s="5" t="s">
        <v>392</v>
      </c>
    </row>
    <row r="226" spans="1:5" ht="15.75" customHeight="1" x14ac:dyDescent="0.2">
      <c r="A226" s="5">
        <v>1048321622</v>
      </c>
      <c r="B226" s="5" t="s">
        <v>599</v>
      </c>
      <c r="C226" s="5" t="s">
        <v>18</v>
      </c>
      <c r="D226" s="5" t="s">
        <v>19</v>
      </c>
      <c r="E226" s="5" t="s">
        <v>591</v>
      </c>
    </row>
    <row r="227" spans="1:5" ht="15.75" customHeight="1" x14ac:dyDescent="0.2">
      <c r="A227" s="5">
        <v>1043136473</v>
      </c>
      <c r="B227" s="5" t="s">
        <v>601</v>
      </c>
      <c r="C227" s="5" t="s">
        <v>18</v>
      </c>
      <c r="D227" s="5" t="s">
        <v>79</v>
      </c>
      <c r="E227" s="5" t="s">
        <v>313</v>
      </c>
    </row>
    <row r="228" spans="1:5" ht="15.75" customHeight="1" x14ac:dyDescent="0.2">
      <c r="A228" s="5">
        <v>72256351</v>
      </c>
      <c r="B228" s="5" t="s">
        <v>604</v>
      </c>
      <c r="C228" s="5" t="s">
        <v>26</v>
      </c>
      <c r="D228" s="5" t="s">
        <v>79</v>
      </c>
      <c r="E228" s="5" t="s">
        <v>190</v>
      </c>
    </row>
    <row r="229" spans="1:5" ht="15.75" customHeight="1" x14ac:dyDescent="0.2">
      <c r="A229" s="5">
        <v>1045677250</v>
      </c>
      <c r="B229" s="5" t="s">
        <v>609</v>
      </c>
      <c r="C229" s="5" t="s">
        <v>11</v>
      </c>
      <c r="D229" s="5" t="s">
        <v>79</v>
      </c>
      <c r="E229" s="5" t="s">
        <v>82</v>
      </c>
    </row>
    <row r="230" spans="1:5" ht="15.75" customHeight="1" x14ac:dyDescent="0.2">
      <c r="A230" s="5">
        <v>1042422999</v>
      </c>
      <c r="B230" s="5" t="s">
        <v>610</v>
      </c>
      <c r="C230" s="5" t="s">
        <v>18</v>
      </c>
      <c r="D230" s="5" t="s">
        <v>46</v>
      </c>
      <c r="E230" s="5" t="s">
        <v>267</v>
      </c>
    </row>
    <row r="231" spans="1:5" ht="15.75" customHeight="1" x14ac:dyDescent="0.2">
      <c r="A231" s="5">
        <v>72246706</v>
      </c>
      <c r="B231" s="5" t="s">
        <v>612</v>
      </c>
      <c r="C231" s="5" t="s">
        <v>11</v>
      </c>
      <c r="D231" s="5" t="s">
        <v>19</v>
      </c>
      <c r="E231" s="5" t="s">
        <v>614</v>
      </c>
    </row>
    <row r="232" spans="1:5" ht="15.75" customHeight="1" x14ac:dyDescent="0.2">
      <c r="A232" s="5">
        <v>8486120</v>
      </c>
      <c r="B232" s="5" t="s">
        <v>615</v>
      </c>
      <c r="C232" s="5" t="s">
        <v>11</v>
      </c>
      <c r="D232" s="5" t="s">
        <v>27</v>
      </c>
      <c r="E232" s="5" t="s">
        <v>254</v>
      </c>
    </row>
    <row r="233" spans="1:5" ht="15.75" customHeight="1" x14ac:dyDescent="0.2">
      <c r="A233" s="5">
        <v>73574130</v>
      </c>
      <c r="B233" s="5" t="s">
        <v>616</v>
      </c>
      <c r="C233" s="5" t="s">
        <v>26</v>
      </c>
      <c r="D233" s="5" t="s">
        <v>79</v>
      </c>
      <c r="E233" s="5" t="s">
        <v>408</v>
      </c>
    </row>
    <row r="234" spans="1:5" ht="15.75" customHeight="1" x14ac:dyDescent="0.2">
      <c r="A234" s="5">
        <v>8510934</v>
      </c>
      <c r="B234" s="5" t="s">
        <v>617</v>
      </c>
      <c r="C234" s="5" t="s">
        <v>11</v>
      </c>
      <c r="D234" s="5" t="s">
        <v>27</v>
      </c>
      <c r="E234" s="5" t="s">
        <v>28</v>
      </c>
    </row>
    <row r="235" spans="1:5" ht="15.75" customHeight="1" x14ac:dyDescent="0.2">
      <c r="A235" s="5">
        <v>1047215623</v>
      </c>
      <c r="B235" s="5" t="s">
        <v>621</v>
      </c>
      <c r="C235" s="5" t="s">
        <v>11</v>
      </c>
      <c r="D235" s="5" t="s">
        <v>19</v>
      </c>
      <c r="E235" s="5" t="s">
        <v>614</v>
      </c>
    </row>
    <row r="236" spans="1:5" ht="15.75" customHeight="1" x14ac:dyDescent="0.2">
      <c r="A236" s="5">
        <v>1214464189</v>
      </c>
      <c r="B236" s="5" t="s">
        <v>624</v>
      </c>
      <c r="C236" s="5" t="s">
        <v>18</v>
      </c>
      <c r="D236" s="5" t="s">
        <v>27</v>
      </c>
      <c r="E236" s="5" t="s">
        <v>97</v>
      </c>
    </row>
    <row r="237" spans="1:5" ht="15.75" customHeight="1" x14ac:dyDescent="0.2">
      <c r="A237" s="5">
        <v>1045734788</v>
      </c>
      <c r="B237" s="5" t="s">
        <v>531</v>
      </c>
      <c r="C237" s="5" t="s">
        <v>18</v>
      </c>
      <c r="D237" s="5" t="s">
        <v>79</v>
      </c>
      <c r="E237" s="5" t="s">
        <v>250</v>
      </c>
    </row>
    <row r="238" spans="1:5" ht="15.75" customHeight="1" x14ac:dyDescent="0.2">
      <c r="A238" s="5">
        <v>1002230833</v>
      </c>
      <c r="B238" s="5" t="s">
        <v>508</v>
      </c>
      <c r="C238" s="5" t="s">
        <v>18</v>
      </c>
      <c r="D238" s="5" t="s">
        <v>27</v>
      </c>
      <c r="E238" s="5" t="s">
        <v>52</v>
      </c>
    </row>
    <row r="239" spans="1:5" ht="15.75" customHeight="1" x14ac:dyDescent="0.2">
      <c r="A239" s="5">
        <v>72249584</v>
      </c>
      <c r="B239" s="5" t="s">
        <v>629</v>
      </c>
      <c r="C239" s="5" t="s">
        <v>11</v>
      </c>
      <c r="D239" s="5" t="s">
        <v>46</v>
      </c>
      <c r="E239" s="5" t="s">
        <v>356</v>
      </c>
    </row>
    <row r="240" spans="1:5" ht="15.75" customHeight="1" x14ac:dyDescent="0.2">
      <c r="A240" s="5">
        <v>15047016</v>
      </c>
      <c r="B240" s="5" t="s">
        <v>631</v>
      </c>
      <c r="C240" s="5" t="s">
        <v>40</v>
      </c>
      <c r="D240" s="5" t="s">
        <v>19</v>
      </c>
      <c r="E240" s="5" t="s">
        <v>614</v>
      </c>
    </row>
    <row r="241" spans="1:5" ht="15.75" customHeight="1" x14ac:dyDescent="0.2">
      <c r="A241" s="5">
        <v>1140818668</v>
      </c>
      <c r="B241" s="5" t="s">
        <v>633</v>
      </c>
      <c r="C241" s="5" t="s">
        <v>238</v>
      </c>
      <c r="D241" s="5" t="s">
        <v>239</v>
      </c>
      <c r="E241" s="5"/>
    </row>
    <row r="242" spans="1:5" ht="15.75" customHeight="1" x14ac:dyDescent="0.2">
      <c r="A242" s="5">
        <v>72259532</v>
      </c>
      <c r="B242" s="5" t="s">
        <v>634</v>
      </c>
      <c r="C242" s="5" t="s">
        <v>26</v>
      </c>
      <c r="D242" s="5" t="s">
        <v>79</v>
      </c>
      <c r="E242" s="5" t="s">
        <v>463</v>
      </c>
    </row>
    <row r="243" spans="1:5" ht="15.75" customHeight="1" x14ac:dyDescent="0.2">
      <c r="A243" s="5">
        <v>1042994386</v>
      </c>
      <c r="B243" s="5" t="s">
        <v>638</v>
      </c>
      <c r="C243" s="5" t="s">
        <v>26</v>
      </c>
      <c r="D243" s="5" t="s">
        <v>27</v>
      </c>
      <c r="E243" s="5" t="s">
        <v>223</v>
      </c>
    </row>
    <row r="244" spans="1:5" ht="15.75" customHeight="1" x14ac:dyDescent="0.2">
      <c r="A244" s="5">
        <v>1044601542</v>
      </c>
      <c r="B244" s="5" t="s">
        <v>640</v>
      </c>
      <c r="C244" s="5" t="s">
        <v>11</v>
      </c>
      <c r="D244" s="5" t="s">
        <v>79</v>
      </c>
      <c r="E244" s="5" t="s">
        <v>383</v>
      </c>
    </row>
    <row r="245" spans="1:5" ht="15.75" customHeight="1" x14ac:dyDescent="0.2">
      <c r="A245" s="5">
        <v>1053122294</v>
      </c>
      <c r="B245" s="5" t="s">
        <v>641</v>
      </c>
      <c r="C245" s="5" t="s">
        <v>11</v>
      </c>
      <c r="D245" s="5" t="s">
        <v>27</v>
      </c>
      <c r="E245" s="5" t="s">
        <v>52</v>
      </c>
    </row>
    <row r="246" spans="1:5" ht="15.75" customHeight="1" x14ac:dyDescent="0.2">
      <c r="A246" s="5">
        <v>72173598</v>
      </c>
      <c r="B246" s="5" t="s">
        <v>643</v>
      </c>
      <c r="C246" s="5" t="s">
        <v>26</v>
      </c>
      <c r="D246" s="5" t="s">
        <v>79</v>
      </c>
      <c r="E246" s="5" t="s">
        <v>346</v>
      </c>
    </row>
    <row r="247" spans="1:5" ht="15.75" customHeight="1" x14ac:dyDescent="0.2">
      <c r="A247" s="5">
        <v>72244142</v>
      </c>
      <c r="B247" s="5" t="s">
        <v>645</v>
      </c>
      <c r="C247" s="5" t="s">
        <v>26</v>
      </c>
      <c r="D247" s="5" t="s">
        <v>158</v>
      </c>
      <c r="E247" s="5"/>
    </row>
    <row r="248" spans="1:5" ht="15.75" customHeight="1" x14ac:dyDescent="0.2">
      <c r="A248" s="5">
        <v>73212936</v>
      </c>
      <c r="B248" s="5" t="s">
        <v>646</v>
      </c>
      <c r="C248" s="5" t="s">
        <v>11</v>
      </c>
      <c r="D248" s="5" t="s">
        <v>46</v>
      </c>
      <c r="E248" s="5" t="s">
        <v>132</v>
      </c>
    </row>
    <row r="249" spans="1:5" ht="15.75" customHeight="1" x14ac:dyDescent="0.2">
      <c r="A249" s="5">
        <v>72231335</v>
      </c>
      <c r="B249" s="5" t="s">
        <v>649</v>
      </c>
      <c r="C249" s="5" t="s">
        <v>26</v>
      </c>
      <c r="D249" s="5" t="s">
        <v>27</v>
      </c>
      <c r="E249" s="5" t="s">
        <v>295</v>
      </c>
    </row>
    <row r="250" spans="1:5" ht="15.75" customHeight="1" x14ac:dyDescent="0.2">
      <c r="A250" s="5">
        <v>1129498997</v>
      </c>
      <c r="B250" s="5" t="s">
        <v>430</v>
      </c>
      <c r="C250" s="5" t="s">
        <v>18</v>
      </c>
      <c r="D250" s="5" t="s">
        <v>79</v>
      </c>
      <c r="E250" s="5" t="s">
        <v>138</v>
      </c>
    </row>
    <row r="251" spans="1:5" ht="15.75" customHeight="1" x14ac:dyDescent="0.2">
      <c r="A251" s="5">
        <v>85150099</v>
      </c>
      <c r="B251" s="5" t="s">
        <v>651</v>
      </c>
      <c r="C251" s="5" t="s">
        <v>11</v>
      </c>
      <c r="D251" s="5" t="s">
        <v>453</v>
      </c>
      <c r="E251" s="5"/>
    </row>
    <row r="252" spans="1:5" ht="15.75" customHeight="1" x14ac:dyDescent="0.2">
      <c r="A252" s="5">
        <v>1002244119</v>
      </c>
      <c r="B252" s="5" t="s">
        <v>653</v>
      </c>
      <c r="C252" s="5" t="s">
        <v>18</v>
      </c>
      <c r="D252" s="5" t="s">
        <v>79</v>
      </c>
      <c r="E252" s="5" t="s">
        <v>353</v>
      </c>
    </row>
    <row r="253" spans="1:5" ht="15.75" customHeight="1" x14ac:dyDescent="0.2">
      <c r="A253" s="5">
        <v>8796948</v>
      </c>
      <c r="B253" s="5" t="s">
        <v>656</v>
      </c>
      <c r="C253" s="5" t="s">
        <v>11</v>
      </c>
      <c r="D253" s="5" t="s">
        <v>453</v>
      </c>
      <c r="E253" s="5"/>
    </row>
    <row r="254" spans="1:5" ht="15.75" customHeight="1" x14ac:dyDescent="0.2">
      <c r="A254" s="5">
        <v>8760795</v>
      </c>
      <c r="B254" s="5" t="s">
        <v>660</v>
      </c>
      <c r="C254" s="5" t="s">
        <v>32</v>
      </c>
      <c r="D254" s="5" t="s">
        <v>36</v>
      </c>
      <c r="E254" s="5"/>
    </row>
    <row r="255" spans="1:5" ht="15.75" customHeight="1" x14ac:dyDescent="0.2">
      <c r="A255" s="5">
        <v>1048204889</v>
      </c>
      <c r="B255" s="5" t="s">
        <v>663</v>
      </c>
      <c r="C255" s="5" t="s">
        <v>26</v>
      </c>
      <c r="D255" s="5" t="s">
        <v>19</v>
      </c>
      <c r="E255" s="5" t="s">
        <v>664</v>
      </c>
    </row>
    <row r="256" spans="1:5" ht="15.75" customHeight="1" x14ac:dyDescent="0.2">
      <c r="A256" s="5">
        <v>72204138</v>
      </c>
      <c r="B256" s="5" t="s">
        <v>665</v>
      </c>
      <c r="C256" s="5" t="s">
        <v>18</v>
      </c>
      <c r="D256" s="5" t="s">
        <v>27</v>
      </c>
      <c r="E256" s="5" t="s">
        <v>500</v>
      </c>
    </row>
    <row r="257" spans="1:5" ht="15.75" customHeight="1" x14ac:dyDescent="0.2">
      <c r="A257" s="5">
        <v>1007280257</v>
      </c>
      <c r="B257" s="5" t="s">
        <v>301</v>
      </c>
      <c r="C257" s="5" t="s">
        <v>18</v>
      </c>
      <c r="D257" s="5" t="s">
        <v>27</v>
      </c>
      <c r="E257" s="5" t="s">
        <v>28</v>
      </c>
    </row>
    <row r="258" spans="1:5" ht="15.75" customHeight="1" x14ac:dyDescent="0.2">
      <c r="A258" s="5">
        <v>72242021</v>
      </c>
      <c r="B258" s="5" t="s">
        <v>666</v>
      </c>
      <c r="C258" s="5" t="s">
        <v>18</v>
      </c>
      <c r="D258" s="5" t="s">
        <v>79</v>
      </c>
      <c r="E258" s="5" t="s">
        <v>515</v>
      </c>
    </row>
    <row r="259" spans="1:5" ht="15.75" customHeight="1" x14ac:dyDescent="0.2">
      <c r="A259" s="5">
        <v>1007236117</v>
      </c>
      <c r="B259" s="5" t="s">
        <v>611</v>
      </c>
      <c r="C259" s="5" t="s">
        <v>26</v>
      </c>
      <c r="D259" s="5" t="s">
        <v>46</v>
      </c>
      <c r="E259" s="5" t="s">
        <v>545</v>
      </c>
    </row>
    <row r="260" spans="1:5" ht="15.75" customHeight="1" x14ac:dyDescent="0.2">
      <c r="A260" s="5">
        <v>1042424390</v>
      </c>
      <c r="B260" s="5" t="s">
        <v>669</v>
      </c>
      <c r="C260" s="5" t="s">
        <v>18</v>
      </c>
      <c r="D260" s="5" t="s">
        <v>19</v>
      </c>
      <c r="E260" s="5" t="s">
        <v>664</v>
      </c>
    </row>
    <row r="261" spans="1:5" ht="15.75" customHeight="1" x14ac:dyDescent="0.2">
      <c r="A261" s="5">
        <v>19873470</v>
      </c>
      <c r="B261" s="5" t="s">
        <v>523</v>
      </c>
      <c r="C261" s="5" t="s">
        <v>18</v>
      </c>
      <c r="D261" s="5" t="s">
        <v>46</v>
      </c>
      <c r="E261" s="5" t="s">
        <v>545</v>
      </c>
    </row>
    <row r="262" spans="1:5" ht="15.75" customHeight="1" x14ac:dyDescent="0.2">
      <c r="A262" s="5">
        <v>1143239550</v>
      </c>
      <c r="B262" s="5" t="s">
        <v>480</v>
      </c>
      <c r="C262" s="5" t="s">
        <v>18</v>
      </c>
      <c r="D262" s="5" t="s">
        <v>46</v>
      </c>
      <c r="E262" s="5" t="s">
        <v>47</v>
      </c>
    </row>
    <row r="263" spans="1:5" ht="15.75" customHeight="1" x14ac:dyDescent="0.2">
      <c r="A263" s="5">
        <v>1193090252</v>
      </c>
      <c r="B263" s="5" t="s">
        <v>456</v>
      </c>
      <c r="C263" s="5" t="s">
        <v>11</v>
      </c>
      <c r="D263" s="5" t="s">
        <v>79</v>
      </c>
      <c r="E263" s="5" t="s">
        <v>127</v>
      </c>
    </row>
    <row r="264" spans="1:5" ht="15.75" customHeight="1" x14ac:dyDescent="0.2">
      <c r="A264" s="5">
        <v>1045672475</v>
      </c>
      <c r="B264" s="5" t="s">
        <v>672</v>
      </c>
      <c r="C264" s="5" t="s">
        <v>11</v>
      </c>
      <c r="D264" s="5" t="s">
        <v>19</v>
      </c>
      <c r="E264" s="5" t="s">
        <v>664</v>
      </c>
    </row>
    <row r="265" spans="1:5" ht="15.75" customHeight="1" x14ac:dyDescent="0.2">
      <c r="A265" s="5">
        <v>3743091</v>
      </c>
      <c r="B265" s="5" t="s">
        <v>409</v>
      </c>
      <c r="C265" s="5" t="s">
        <v>26</v>
      </c>
      <c r="D265" s="5" t="s">
        <v>453</v>
      </c>
      <c r="E265" s="5"/>
    </row>
    <row r="266" spans="1:5" ht="15.75" customHeight="1" x14ac:dyDescent="0.2">
      <c r="A266" s="5">
        <v>1043014004</v>
      </c>
      <c r="B266" s="5" t="s">
        <v>178</v>
      </c>
      <c r="C266" s="5" t="s">
        <v>26</v>
      </c>
      <c r="D266" s="5" t="s">
        <v>27</v>
      </c>
      <c r="E266" s="5" t="s">
        <v>227</v>
      </c>
    </row>
    <row r="267" spans="1:5" ht="15.75" customHeight="1" x14ac:dyDescent="0.2">
      <c r="A267" s="5">
        <v>1007118719</v>
      </c>
      <c r="B267" s="5" t="s">
        <v>269</v>
      </c>
      <c r="C267" s="5" t="s">
        <v>11</v>
      </c>
      <c r="D267" s="5" t="s">
        <v>79</v>
      </c>
      <c r="E267" s="5" t="s">
        <v>138</v>
      </c>
    </row>
    <row r="268" spans="1:5" ht="15.75" customHeight="1" x14ac:dyDescent="0.2">
      <c r="A268" s="5">
        <v>1084789626</v>
      </c>
      <c r="B268" s="5" t="s">
        <v>214</v>
      </c>
      <c r="C268" s="5" t="s">
        <v>11</v>
      </c>
      <c r="D268" s="5" t="s">
        <v>79</v>
      </c>
      <c r="E268" s="5" t="s">
        <v>221</v>
      </c>
    </row>
    <row r="269" spans="1:5" ht="15.75" customHeight="1" x14ac:dyDescent="0.2">
      <c r="A269" s="5">
        <v>1042456892</v>
      </c>
      <c r="B269" s="5" t="s">
        <v>181</v>
      </c>
      <c r="C269" s="5" t="s">
        <v>11</v>
      </c>
      <c r="D269" s="5" t="s">
        <v>79</v>
      </c>
      <c r="E269" s="5" t="s">
        <v>353</v>
      </c>
    </row>
    <row r="270" spans="1:5" ht="15.75" customHeight="1" x14ac:dyDescent="0.2"/>
    <row r="271" spans="1:5" ht="15.75" customHeight="1" x14ac:dyDescent="0.2"/>
    <row r="272" spans="1:5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AD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16.5703125" customWidth="1"/>
    <col min="2" max="2" width="10.5703125" customWidth="1"/>
    <col min="3" max="3" width="17.42578125" customWidth="1"/>
    <col min="4" max="4" width="25" customWidth="1"/>
    <col min="5" max="5" width="23.85546875" customWidth="1"/>
    <col min="6" max="6" width="36.85546875" customWidth="1"/>
    <col min="7" max="7" width="31.140625" customWidth="1"/>
    <col min="8" max="8" width="11.42578125" customWidth="1"/>
    <col min="9" max="9" width="10.42578125" customWidth="1"/>
    <col min="10" max="10" width="19.85546875" customWidth="1"/>
    <col min="11" max="11" width="22.28515625" customWidth="1"/>
    <col min="12" max="12" width="21.42578125" customWidth="1"/>
    <col min="13" max="13" width="7.85546875" customWidth="1"/>
    <col min="14" max="14" width="13.5703125" customWidth="1"/>
    <col min="15" max="15" width="16" customWidth="1"/>
    <col min="17" max="17" width="20.7109375" customWidth="1"/>
    <col min="18" max="18" width="13" customWidth="1"/>
    <col min="19" max="19" width="44.28515625" customWidth="1"/>
    <col min="20" max="20" width="19" customWidth="1"/>
    <col min="21" max="21" width="21" customWidth="1"/>
    <col min="22" max="22" width="23" customWidth="1"/>
    <col min="23" max="23" width="35.7109375" customWidth="1"/>
    <col min="24" max="24" width="16" customWidth="1"/>
    <col min="25" max="25" width="25.7109375" customWidth="1"/>
    <col min="26" max="26" width="49" customWidth="1"/>
    <col min="27" max="30" width="23.140625" customWidth="1"/>
  </cols>
  <sheetData>
    <row r="1" spans="1:30" ht="15.75" customHeight="1" x14ac:dyDescent="0.25">
      <c r="A1" s="2" t="s">
        <v>1</v>
      </c>
      <c r="B1" s="4" t="s">
        <v>7</v>
      </c>
      <c r="C1" s="4" t="s">
        <v>8</v>
      </c>
      <c r="D1" s="4" t="s">
        <v>9</v>
      </c>
      <c r="E1" s="4" t="s">
        <v>0</v>
      </c>
      <c r="F1" s="4" t="s">
        <v>12</v>
      </c>
      <c r="G1" s="4" t="s">
        <v>14</v>
      </c>
      <c r="H1" s="4" t="s">
        <v>15</v>
      </c>
      <c r="I1" s="4" t="s">
        <v>16</v>
      </c>
      <c r="J1" s="4" t="s">
        <v>21</v>
      </c>
      <c r="K1" s="4" t="s">
        <v>22</v>
      </c>
      <c r="L1" s="4" t="s">
        <v>25</v>
      </c>
      <c r="M1" s="4" t="s">
        <v>29</v>
      </c>
      <c r="N1" s="4" t="s">
        <v>31</v>
      </c>
      <c r="O1" s="4" t="s">
        <v>34</v>
      </c>
      <c r="P1" s="4" t="s">
        <v>35</v>
      </c>
      <c r="Q1" s="4" t="s">
        <v>37</v>
      </c>
      <c r="R1" s="4" t="s">
        <v>39</v>
      </c>
      <c r="S1" s="4" t="s">
        <v>41</v>
      </c>
      <c r="T1" s="4" t="s">
        <v>43</v>
      </c>
      <c r="U1" s="4" t="s">
        <v>45</v>
      </c>
      <c r="V1" s="4" t="s">
        <v>48</v>
      </c>
      <c r="W1" s="4" t="s">
        <v>51</v>
      </c>
      <c r="X1" s="4" t="s">
        <v>53</v>
      </c>
      <c r="Y1" s="4" t="s">
        <v>55</v>
      </c>
      <c r="Z1" s="4" t="s">
        <v>56</v>
      </c>
      <c r="AA1" s="4" t="s">
        <v>58</v>
      </c>
      <c r="AB1" s="4" t="s">
        <v>61</v>
      </c>
      <c r="AC1" s="4" t="s">
        <v>63</v>
      </c>
      <c r="AD1" s="4" t="s">
        <v>65</v>
      </c>
    </row>
    <row r="2" spans="1:30" ht="15.75" customHeight="1" x14ac:dyDescent="0.25">
      <c r="A2" s="10" t="s">
        <v>77</v>
      </c>
      <c r="B2" s="10" t="s">
        <v>86</v>
      </c>
      <c r="C2" s="10" t="s">
        <v>91</v>
      </c>
      <c r="D2" s="10" t="s">
        <v>92</v>
      </c>
      <c r="E2" s="10">
        <v>1042447504</v>
      </c>
      <c r="F2" s="11">
        <v>45853</v>
      </c>
      <c r="G2" s="10" t="s">
        <v>11</v>
      </c>
      <c r="H2" s="10" t="s">
        <v>99</v>
      </c>
      <c r="I2" s="13">
        <v>44870</v>
      </c>
      <c r="J2" s="10" t="str">
        <f t="shared" ref="J2:J256" ca="1" si="0">DATEDIF(I2,TODAY(),"Y")&amp;"  Años, "&amp;DATEDIF(I2,TODAY(),"Ym")&amp;"  Mes, "&amp;DATEDIF(I2,TODAY(),"MD")&amp;" Dias "</f>
        <v xml:space="preserve">3  Años, 9  Mes, 21 Dias </v>
      </c>
      <c r="K2" s="10" t="s">
        <v>113</v>
      </c>
      <c r="L2" s="19"/>
      <c r="M2" s="19" t="str">
        <f t="shared" ref="M2:M17" ca="1" si="1">IF(L2=0,"", DATEDIF(L2,TODAY(),"y"))</f>
        <v/>
      </c>
      <c r="N2" s="10" t="s">
        <v>120</v>
      </c>
      <c r="O2" s="10" t="s">
        <v>122</v>
      </c>
      <c r="P2" s="10" t="s">
        <v>124</v>
      </c>
      <c r="Q2" s="18" t="s">
        <v>128</v>
      </c>
      <c r="R2" s="10" t="s">
        <v>133</v>
      </c>
      <c r="S2" s="10" t="s">
        <v>163</v>
      </c>
      <c r="T2" s="10" t="s">
        <v>136</v>
      </c>
      <c r="U2" s="10">
        <v>3015829860</v>
      </c>
      <c r="V2" s="19"/>
      <c r="W2" s="10" t="s">
        <v>166</v>
      </c>
      <c r="X2" s="10" t="s">
        <v>136</v>
      </c>
      <c r="Y2" s="10" t="s">
        <v>169</v>
      </c>
      <c r="Z2" s="10" t="s">
        <v>170</v>
      </c>
      <c r="AA2" s="24"/>
      <c r="AB2" s="24"/>
      <c r="AC2" s="13">
        <v>45451</v>
      </c>
      <c r="AD2" s="24"/>
    </row>
    <row r="3" spans="1:30" ht="15.75" customHeight="1" x14ac:dyDescent="0.25">
      <c r="A3" s="10" t="s">
        <v>77</v>
      </c>
      <c r="B3" s="10" t="s">
        <v>86</v>
      </c>
      <c r="C3" s="10" t="s">
        <v>91</v>
      </c>
      <c r="D3" s="10" t="s">
        <v>92</v>
      </c>
      <c r="E3" s="10">
        <v>1042456892</v>
      </c>
      <c r="F3" s="23" t="s">
        <v>181</v>
      </c>
      <c r="G3" s="10" t="s">
        <v>11</v>
      </c>
      <c r="H3" s="10" t="s">
        <v>185</v>
      </c>
      <c r="I3" s="13">
        <v>45234</v>
      </c>
      <c r="J3" s="10" t="str">
        <f t="shared" ca="1" si="0"/>
        <v xml:space="preserve">2  Años, 9  Mes, 22 Dias </v>
      </c>
      <c r="K3" s="10" t="s">
        <v>113</v>
      </c>
      <c r="L3" s="26">
        <v>37253</v>
      </c>
      <c r="M3" s="10">
        <f t="shared" ca="1" si="1"/>
        <v>24</v>
      </c>
      <c r="N3" s="10" t="s">
        <v>120</v>
      </c>
      <c r="O3" s="10" t="s">
        <v>122</v>
      </c>
      <c r="P3" s="10" t="s">
        <v>142</v>
      </c>
      <c r="Q3" s="18" t="s">
        <v>128</v>
      </c>
      <c r="R3" s="10" t="s">
        <v>133</v>
      </c>
      <c r="S3" s="10" t="s">
        <v>196</v>
      </c>
      <c r="T3" s="10" t="s">
        <v>199</v>
      </c>
      <c r="U3" s="10">
        <v>3006533947</v>
      </c>
      <c r="V3" s="10">
        <v>3239271294</v>
      </c>
      <c r="W3" s="10" t="s">
        <v>202</v>
      </c>
      <c r="X3" s="10" t="s">
        <v>136</v>
      </c>
      <c r="Y3" s="10" t="s">
        <v>206</v>
      </c>
      <c r="Z3" s="10" t="s">
        <v>170</v>
      </c>
      <c r="AA3" s="24"/>
      <c r="AB3" s="24"/>
      <c r="AC3" s="13">
        <v>45329</v>
      </c>
      <c r="AD3" s="10" t="s">
        <v>209</v>
      </c>
    </row>
    <row r="4" spans="1:30" ht="15.75" customHeight="1" x14ac:dyDescent="0.25">
      <c r="A4" s="10" t="s">
        <v>77</v>
      </c>
      <c r="B4" s="10" t="s">
        <v>86</v>
      </c>
      <c r="C4" s="10" t="s">
        <v>91</v>
      </c>
      <c r="D4" s="10" t="s">
        <v>92</v>
      </c>
      <c r="E4" s="10">
        <v>1084789626</v>
      </c>
      <c r="F4" s="23" t="s">
        <v>214</v>
      </c>
      <c r="G4" s="10" t="s">
        <v>11</v>
      </c>
      <c r="H4" s="10" t="s">
        <v>217</v>
      </c>
      <c r="I4" s="30">
        <v>45251</v>
      </c>
      <c r="J4" s="10" t="str">
        <f t="shared" ca="1" si="0"/>
        <v xml:space="preserve">2  Años, 9  Mes, 5 Dias </v>
      </c>
      <c r="K4" s="10" t="s">
        <v>113</v>
      </c>
      <c r="L4" s="19"/>
      <c r="M4" s="19" t="str">
        <f t="shared" ca="1" si="1"/>
        <v/>
      </c>
      <c r="N4" s="10" t="s">
        <v>120</v>
      </c>
      <c r="O4" s="10" t="s">
        <v>122</v>
      </c>
      <c r="P4" s="10" t="s">
        <v>142</v>
      </c>
      <c r="Q4" s="18" t="s">
        <v>128</v>
      </c>
      <c r="R4" s="10" t="s">
        <v>133</v>
      </c>
      <c r="S4" s="10" t="s">
        <v>231</v>
      </c>
      <c r="T4" s="10" t="s">
        <v>233</v>
      </c>
      <c r="U4" s="10">
        <v>3007044759</v>
      </c>
      <c r="V4" s="10">
        <v>3007044759</v>
      </c>
      <c r="W4" s="10" t="s">
        <v>235</v>
      </c>
      <c r="X4" s="10" t="s">
        <v>136</v>
      </c>
      <c r="Y4" s="10" t="s">
        <v>203</v>
      </c>
      <c r="Z4" s="10" t="s">
        <v>170</v>
      </c>
      <c r="AA4" s="24"/>
      <c r="AB4" s="24"/>
      <c r="AC4" s="13">
        <v>45336</v>
      </c>
      <c r="AD4" s="10" t="s">
        <v>209</v>
      </c>
    </row>
    <row r="5" spans="1:30" ht="15.75" customHeight="1" x14ac:dyDescent="0.25">
      <c r="A5" s="10" t="s">
        <v>77</v>
      </c>
      <c r="B5" s="10" t="s">
        <v>90</v>
      </c>
      <c r="C5" s="10" t="s">
        <v>175</v>
      </c>
      <c r="D5" s="10" t="s">
        <v>92</v>
      </c>
      <c r="E5" s="10">
        <v>1082862449</v>
      </c>
      <c r="F5" s="23" t="s">
        <v>246</v>
      </c>
      <c r="G5" s="10" t="s">
        <v>11</v>
      </c>
      <c r="H5" s="10" t="s">
        <v>249</v>
      </c>
      <c r="I5" s="13">
        <v>45857</v>
      </c>
      <c r="J5" s="10" t="str">
        <f t="shared" ca="1" si="0"/>
        <v xml:space="preserve">1  Años, 1  Mes, 7 Dias </v>
      </c>
      <c r="K5" s="10" t="s">
        <v>113</v>
      </c>
      <c r="L5" s="13">
        <v>38518</v>
      </c>
      <c r="M5" s="10">
        <f t="shared" ca="1" si="1"/>
        <v>21</v>
      </c>
      <c r="N5" s="10" t="s">
        <v>120</v>
      </c>
      <c r="O5" s="10" t="s">
        <v>122</v>
      </c>
      <c r="P5" s="19"/>
      <c r="Q5" s="18" t="s">
        <v>128</v>
      </c>
      <c r="R5" s="10" t="s">
        <v>133</v>
      </c>
      <c r="S5" s="10" t="s">
        <v>262</v>
      </c>
      <c r="T5" s="10" t="s">
        <v>151</v>
      </c>
      <c r="U5" s="10">
        <v>3046122700</v>
      </c>
      <c r="V5" s="19"/>
      <c r="W5" s="10" t="s">
        <v>264</v>
      </c>
      <c r="X5" s="10" t="s">
        <v>136</v>
      </c>
      <c r="Y5" s="19"/>
      <c r="Z5" s="19"/>
      <c r="AA5" s="24"/>
      <c r="AB5" s="24"/>
      <c r="AC5" s="24"/>
      <c r="AD5" s="10" t="s">
        <v>209</v>
      </c>
    </row>
    <row r="6" spans="1:30" ht="15.75" customHeight="1" x14ac:dyDescent="0.25">
      <c r="A6" s="10" t="s">
        <v>77</v>
      </c>
      <c r="B6" s="10" t="s">
        <v>86</v>
      </c>
      <c r="C6" s="10" t="s">
        <v>91</v>
      </c>
      <c r="D6" s="10" t="s">
        <v>92</v>
      </c>
      <c r="E6" s="10">
        <v>1007118719</v>
      </c>
      <c r="F6" s="23" t="s">
        <v>269</v>
      </c>
      <c r="G6" s="10" t="s">
        <v>11</v>
      </c>
      <c r="H6" s="10" t="s">
        <v>270</v>
      </c>
      <c r="I6" s="13">
        <v>45058</v>
      </c>
      <c r="J6" s="10" t="str">
        <f t="shared" ca="1" si="0"/>
        <v xml:space="preserve">3  Años, 3  Mes, 14 Dias </v>
      </c>
      <c r="K6" s="10" t="s">
        <v>113</v>
      </c>
      <c r="L6" s="19"/>
      <c r="M6" s="19" t="str">
        <f t="shared" ca="1" si="1"/>
        <v/>
      </c>
      <c r="N6" s="10" t="s">
        <v>120</v>
      </c>
      <c r="O6" s="10" t="s">
        <v>122</v>
      </c>
      <c r="P6" s="10" t="s">
        <v>124</v>
      </c>
      <c r="Q6" s="18" t="s">
        <v>128</v>
      </c>
      <c r="R6" s="10" t="s">
        <v>133</v>
      </c>
      <c r="S6" s="10" t="s">
        <v>279</v>
      </c>
      <c r="T6" s="10" t="s">
        <v>136</v>
      </c>
      <c r="U6" s="10">
        <v>3012422193</v>
      </c>
      <c r="V6" s="19"/>
      <c r="W6" s="10" t="s">
        <v>280</v>
      </c>
      <c r="X6" s="10" t="s">
        <v>136</v>
      </c>
      <c r="Y6" s="10" t="s">
        <v>206</v>
      </c>
      <c r="Z6" s="10" t="s">
        <v>216</v>
      </c>
      <c r="AA6" s="33"/>
      <c r="AB6" s="33"/>
      <c r="AC6" s="35">
        <v>45290</v>
      </c>
      <c r="AD6" s="19"/>
    </row>
    <row r="7" spans="1:30" ht="15.75" customHeight="1" x14ac:dyDescent="0.25">
      <c r="A7" s="10" t="s">
        <v>77</v>
      </c>
      <c r="B7" s="10" t="s">
        <v>90</v>
      </c>
      <c r="C7" s="10" t="s">
        <v>175</v>
      </c>
      <c r="D7" s="10" t="s">
        <v>92</v>
      </c>
      <c r="E7" s="10">
        <v>1043014004</v>
      </c>
      <c r="F7" s="23" t="s">
        <v>178</v>
      </c>
      <c r="G7" s="10" t="s">
        <v>26</v>
      </c>
      <c r="H7" s="10" t="s">
        <v>184</v>
      </c>
      <c r="I7" s="13">
        <v>45831</v>
      </c>
      <c r="J7" s="10" t="str">
        <f t="shared" ca="1" si="0"/>
        <v xml:space="preserve">1  Años, 2  Mes, 3 Dias </v>
      </c>
      <c r="K7" s="10" t="s">
        <v>113</v>
      </c>
      <c r="L7" s="19"/>
      <c r="M7" s="19" t="str">
        <f t="shared" ca="1" si="1"/>
        <v/>
      </c>
      <c r="N7" s="10" t="s">
        <v>120</v>
      </c>
      <c r="O7" s="10" t="s">
        <v>122</v>
      </c>
      <c r="P7" s="10" t="s">
        <v>124</v>
      </c>
      <c r="Q7" s="18" t="s">
        <v>128</v>
      </c>
      <c r="R7" s="10" t="s">
        <v>133</v>
      </c>
      <c r="S7" s="10" t="s">
        <v>194</v>
      </c>
      <c r="T7" s="10" t="s">
        <v>195</v>
      </c>
      <c r="U7" s="10">
        <v>3022955907</v>
      </c>
      <c r="V7" s="10">
        <v>3022955907</v>
      </c>
      <c r="W7" s="19"/>
      <c r="X7" s="10" t="s">
        <v>136</v>
      </c>
      <c r="Y7" s="10" t="s">
        <v>203</v>
      </c>
      <c r="Z7" s="10" t="s">
        <v>170</v>
      </c>
      <c r="AA7" s="24"/>
      <c r="AB7" s="24"/>
      <c r="AC7" s="13">
        <v>45369</v>
      </c>
      <c r="AD7" s="10" t="s">
        <v>209</v>
      </c>
    </row>
    <row r="8" spans="1:30" ht="15.75" customHeight="1" x14ac:dyDescent="0.25">
      <c r="A8" s="10" t="s">
        <v>160</v>
      </c>
      <c r="B8" s="10" t="s">
        <v>86</v>
      </c>
      <c r="C8" s="10" t="s">
        <v>91</v>
      </c>
      <c r="D8" s="10" t="s">
        <v>92</v>
      </c>
      <c r="E8" s="37">
        <v>1044212661</v>
      </c>
      <c r="F8" s="38" t="s">
        <v>310</v>
      </c>
      <c r="G8" s="10" t="s">
        <v>26</v>
      </c>
      <c r="H8" s="10" t="s">
        <v>312</v>
      </c>
      <c r="I8" s="13">
        <v>45323</v>
      </c>
      <c r="J8" s="10" t="str">
        <f t="shared" ca="1" si="0"/>
        <v xml:space="preserve">2  Años, 6  Mes, 25 Dias </v>
      </c>
      <c r="K8" s="10" t="s">
        <v>113</v>
      </c>
      <c r="L8" s="36">
        <v>38439</v>
      </c>
      <c r="M8" s="10">
        <f t="shared" ca="1" si="1"/>
        <v>21</v>
      </c>
      <c r="N8" s="10" t="s">
        <v>320</v>
      </c>
      <c r="O8" s="10" t="s">
        <v>236</v>
      </c>
      <c r="P8" s="10" t="s">
        <v>142</v>
      </c>
      <c r="Q8" s="18" t="s">
        <v>128</v>
      </c>
      <c r="R8" s="10" t="s">
        <v>133</v>
      </c>
      <c r="S8" s="37" t="s">
        <v>325</v>
      </c>
      <c r="T8" s="10" t="s">
        <v>136</v>
      </c>
      <c r="U8" s="37">
        <v>3207578476</v>
      </c>
      <c r="V8" s="19"/>
      <c r="W8" s="40" t="s">
        <v>328</v>
      </c>
      <c r="X8" s="10" t="s">
        <v>136</v>
      </c>
      <c r="Y8" s="37" t="s">
        <v>155</v>
      </c>
      <c r="Z8" s="10" t="s">
        <v>288</v>
      </c>
      <c r="AA8" s="33"/>
      <c r="AB8" s="33"/>
      <c r="AC8" s="35">
        <v>45656</v>
      </c>
      <c r="AD8" s="19"/>
    </row>
    <row r="9" spans="1:30" ht="15.75" customHeight="1" x14ac:dyDescent="0.25">
      <c r="A9" s="10" t="s">
        <v>160</v>
      </c>
      <c r="B9" s="10" t="s">
        <v>86</v>
      </c>
      <c r="C9" s="10" t="s">
        <v>91</v>
      </c>
      <c r="D9" s="10" t="s">
        <v>92</v>
      </c>
      <c r="E9" s="10">
        <v>1045747486</v>
      </c>
      <c r="F9" s="23" t="s">
        <v>360</v>
      </c>
      <c r="G9" s="10" t="s">
        <v>361</v>
      </c>
      <c r="H9" s="10" t="s">
        <v>362</v>
      </c>
      <c r="I9" s="30">
        <v>45224</v>
      </c>
      <c r="J9" s="10" t="str">
        <f t="shared" ca="1" si="0"/>
        <v xml:space="preserve">2  Años, 10  Mes, 1 Dias </v>
      </c>
      <c r="K9" s="10" t="s">
        <v>113</v>
      </c>
      <c r="L9" s="19"/>
      <c r="M9" s="19" t="str">
        <f t="shared" ca="1" si="1"/>
        <v/>
      </c>
      <c r="N9" s="10" t="s">
        <v>320</v>
      </c>
      <c r="O9" s="10" t="s">
        <v>122</v>
      </c>
      <c r="P9" s="10" t="s">
        <v>142</v>
      </c>
      <c r="Q9" s="18" t="s">
        <v>128</v>
      </c>
      <c r="R9" s="10" t="s">
        <v>133</v>
      </c>
      <c r="S9" s="10" t="s">
        <v>372</v>
      </c>
      <c r="T9" s="10" t="s">
        <v>151</v>
      </c>
      <c r="U9" s="10">
        <v>3226626543</v>
      </c>
      <c r="V9" s="10">
        <v>3226626548</v>
      </c>
      <c r="W9" s="10" t="s">
        <v>376</v>
      </c>
      <c r="X9" s="10" t="s">
        <v>136</v>
      </c>
      <c r="Y9" s="10" t="s">
        <v>206</v>
      </c>
      <c r="Z9" s="10" t="s">
        <v>170</v>
      </c>
      <c r="AA9" s="24"/>
      <c r="AB9" s="24"/>
      <c r="AC9" s="13">
        <v>45567</v>
      </c>
      <c r="AD9" s="24"/>
    </row>
    <row r="10" spans="1:30" ht="15.75" customHeight="1" x14ac:dyDescent="0.25">
      <c r="A10" s="10" t="s">
        <v>77</v>
      </c>
      <c r="B10" s="10" t="s">
        <v>90</v>
      </c>
      <c r="C10" s="10" t="s">
        <v>175</v>
      </c>
      <c r="D10" s="10" t="s">
        <v>92</v>
      </c>
      <c r="E10" s="10">
        <v>1045673064</v>
      </c>
      <c r="F10" s="23" t="s">
        <v>382</v>
      </c>
      <c r="G10" s="10" t="s">
        <v>26</v>
      </c>
      <c r="H10" s="10" t="s">
        <v>184</v>
      </c>
      <c r="I10" s="13">
        <v>45831</v>
      </c>
      <c r="J10" s="10" t="str">
        <f t="shared" ca="1" si="0"/>
        <v xml:space="preserve">1  Años, 2  Mes, 3 Dias </v>
      </c>
      <c r="K10" s="12" t="s">
        <v>113</v>
      </c>
      <c r="L10" s="16">
        <v>32199</v>
      </c>
      <c r="M10" s="10">
        <f t="shared" ca="1" si="1"/>
        <v>38</v>
      </c>
      <c r="N10" s="10" t="s">
        <v>120</v>
      </c>
      <c r="O10" s="10" t="s">
        <v>122</v>
      </c>
      <c r="P10" s="12" t="s">
        <v>142</v>
      </c>
      <c r="Q10" s="18" t="s">
        <v>128</v>
      </c>
      <c r="R10" s="10" t="s">
        <v>133</v>
      </c>
      <c r="S10" s="12" t="s">
        <v>397</v>
      </c>
      <c r="T10" s="12" t="s">
        <v>136</v>
      </c>
      <c r="U10" s="12">
        <v>3044606563</v>
      </c>
      <c r="V10" s="5"/>
      <c r="W10" s="12" t="s">
        <v>400</v>
      </c>
      <c r="X10" s="12" t="s">
        <v>136</v>
      </c>
      <c r="Y10" s="12" t="s">
        <v>206</v>
      </c>
      <c r="Z10" s="5"/>
      <c r="AA10" s="5"/>
      <c r="AB10" s="5"/>
      <c r="AC10" s="5"/>
      <c r="AD10" s="10" t="s">
        <v>209</v>
      </c>
    </row>
    <row r="11" spans="1:30" ht="15.75" customHeight="1" x14ac:dyDescent="0.25">
      <c r="A11" s="10" t="s">
        <v>160</v>
      </c>
      <c r="B11" s="10" t="s">
        <v>86</v>
      </c>
      <c r="C11" s="10" t="s">
        <v>91</v>
      </c>
      <c r="D11" s="10" t="s">
        <v>92</v>
      </c>
      <c r="E11" s="10">
        <v>3743091</v>
      </c>
      <c r="F11" s="43" t="s">
        <v>409</v>
      </c>
      <c r="G11" s="12" t="s">
        <v>416</v>
      </c>
      <c r="H11" s="10" t="s">
        <v>418</v>
      </c>
      <c r="I11" s="13">
        <v>44843</v>
      </c>
      <c r="J11" s="10" t="str">
        <f t="shared" ca="1" si="0"/>
        <v xml:space="preserve">3  Años, 10  Mes, 17 Dias </v>
      </c>
      <c r="K11" s="10" t="s">
        <v>113</v>
      </c>
      <c r="L11" s="19"/>
      <c r="M11" s="19" t="str">
        <f t="shared" ca="1" si="1"/>
        <v/>
      </c>
      <c r="N11" s="10" t="s">
        <v>120</v>
      </c>
      <c r="O11" s="10" t="s">
        <v>122</v>
      </c>
      <c r="P11" s="10" t="s">
        <v>142</v>
      </c>
      <c r="Q11" s="18" t="s">
        <v>128</v>
      </c>
      <c r="R11" s="10" t="s">
        <v>133</v>
      </c>
      <c r="S11" s="10" t="s">
        <v>427</v>
      </c>
      <c r="T11" s="10" t="s">
        <v>136</v>
      </c>
      <c r="U11" s="10">
        <v>3004570182</v>
      </c>
      <c r="V11" s="19"/>
      <c r="W11" s="10" t="s">
        <v>429</v>
      </c>
      <c r="X11" s="10" t="s">
        <v>136</v>
      </c>
      <c r="Y11" s="10" t="s">
        <v>206</v>
      </c>
      <c r="Z11" s="10" t="s">
        <v>216</v>
      </c>
      <c r="AA11" s="33"/>
      <c r="AB11" s="33"/>
      <c r="AC11" s="35">
        <v>44896</v>
      </c>
      <c r="AD11" s="19"/>
    </row>
    <row r="12" spans="1:30" ht="15.75" customHeight="1" x14ac:dyDescent="0.25">
      <c r="A12" s="10" t="s">
        <v>77</v>
      </c>
      <c r="B12" s="10" t="s">
        <v>86</v>
      </c>
      <c r="C12" s="10" t="s">
        <v>91</v>
      </c>
      <c r="D12" s="10" t="s">
        <v>92</v>
      </c>
      <c r="E12" s="10">
        <v>72041260</v>
      </c>
      <c r="F12" s="43" t="s">
        <v>307</v>
      </c>
      <c r="G12" s="10" t="s">
        <v>11</v>
      </c>
      <c r="H12" s="10" t="s">
        <v>436</v>
      </c>
      <c r="I12" s="13">
        <v>44870</v>
      </c>
      <c r="J12" s="10" t="str">
        <f t="shared" ca="1" si="0"/>
        <v xml:space="preserve">3  Años, 9  Mes, 21 Dias </v>
      </c>
      <c r="K12" s="10" t="s">
        <v>113</v>
      </c>
      <c r="L12" s="19"/>
      <c r="M12" s="19" t="str">
        <f t="shared" ca="1" si="1"/>
        <v/>
      </c>
      <c r="N12" s="10" t="s">
        <v>120</v>
      </c>
      <c r="O12" s="10" t="s">
        <v>122</v>
      </c>
      <c r="P12" s="10" t="s">
        <v>142</v>
      </c>
      <c r="Q12" s="18" t="s">
        <v>128</v>
      </c>
      <c r="R12" s="10" t="s">
        <v>133</v>
      </c>
      <c r="S12" s="10" t="s">
        <v>443</v>
      </c>
      <c r="T12" s="10" t="s">
        <v>136</v>
      </c>
      <c r="U12" s="10">
        <v>3015051252</v>
      </c>
      <c r="V12" s="19"/>
      <c r="W12" s="10" t="s">
        <v>449</v>
      </c>
      <c r="X12" s="10" t="s">
        <v>136</v>
      </c>
      <c r="Y12" s="10" t="s">
        <v>203</v>
      </c>
      <c r="Z12" s="10" t="s">
        <v>216</v>
      </c>
      <c r="AA12" s="24"/>
      <c r="AB12" s="24"/>
      <c r="AC12" s="13">
        <v>45362</v>
      </c>
      <c r="AD12" s="24"/>
    </row>
    <row r="13" spans="1:30" ht="15.75" customHeight="1" x14ac:dyDescent="0.25">
      <c r="A13" s="10" t="s">
        <v>77</v>
      </c>
      <c r="B13" s="10" t="s">
        <v>86</v>
      </c>
      <c r="C13" s="10" t="s">
        <v>91</v>
      </c>
      <c r="D13" s="10" t="s">
        <v>92</v>
      </c>
      <c r="E13" s="10">
        <v>1193090252</v>
      </c>
      <c r="F13" s="23" t="s">
        <v>456</v>
      </c>
      <c r="G13" s="10" t="s">
        <v>11</v>
      </c>
      <c r="H13" s="10" t="s">
        <v>457</v>
      </c>
      <c r="I13" s="30">
        <v>45251</v>
      </c>
      <c r="J13" s="10" t="str">
        <f t="shared" ca="1" si="0"/>
        <v xml:space="preserve">2  Años, 9  Mes, 5 Dias </v>
      </c>
      <c r="K13" s="10" t="s">
        <v>113</v>
      </c>
      <c r="L13" s="19"/>
      <c r="M13" s="19" t="str">
        <f t="shared" ca="1" si="1"/>
        <v/>
      </c>
      <c r="N13" s="10" t="s">
        <v>120</v>
      </c>
      <c r="O13" s="10" t="s">
        <v>122</v>
      </c>
      <c r="P13" s="10" t="s">
        <v>142</v>
      </c>
      <c r="Q13" s="18" t="s">
        <v>128</v>
      </c>
      <c r="R13" s="10" t="s">
        <v>133</v>
      </c>
      <c r="S13" s="10" t="s">
        <v>468</v>
      </c>
      <c r="T13" s="10" t="s">
        <v>136</v>
      </c>
      <c r="U13" s="10">
        <v>3022053424</v>
      </c>
      <c r="V13" s="10">
        <v>3022053424</v>
      </c>
      <c r="W13" s="10" t="s">
        <v>472</v>
      </c>
      <c r="X13" s="10" t="s">
        <v>136</v>
      </c>
      <c r="Y13" s="10" t="s">
        <v>473</v>
      </c>
      <c r="Z13" s="10" t="s">
        <v>216</v>
      </c>
      <c r="AA13" s="24"/>
      <c r="AB13" s="24"/>
      <c r="AC13" s="13">
        <v>45329</v>
      </c>
      <c r="AD13" s="24"/>
    </row>
    <row r="14" spans="1:30" ht="15.75" customHeight="1" x14ac:dyDescent="0.25">
      <c r="A14" s="10" t="s">
        <v>77</v>
      </c>
      <c r="B14" s="10" t="s">
        <v>86</v>
      </c>
      <c r="C14" s="10" t="s">
        <v>91</v>
      </c>
      <c r="D14" s="10" t="s">
        <v>92</v>
      </c>
      <c r="E14" s="10">
        <v>1143239550</v>
      </c>
      <c r="F14" s="23" t="s">
        <v>480</v>
      </c>
      <c r="G14" s="10" t="s">
        <v>18</v>
      </c>
      <c r="H14" s="10" t="s">
        <v>482</v>
      </c>
      <c r="I14" s="13">
        <v>44843</v>
      </c>
      <c r="J14" s="10" t="str">
        <f t="shared" ca="1" si="0"/>
        <v xml:space="preserve">3  Años, 10  Mes, 17 Dias </v>
      </c>
      <c r="K14" s="10" t="s">
        <v>113</v>
      </c>
      <c r="L14" s="19"/>
      <c r="M14" s="19" t="str">
        <f t="shared" ca="1" si="1"/>
        <v/>
      </c>
      <c r="N14" s="10" t="s">
        <v>120</v>
      </c>
      <c r="O14" s="10" t="s">
        <v>122</v>
      </c>
      <c r="P14" s="10" t="s">
        <v>142</v>
      </c>
      <c r="Q14" s="18" t="s">
        <v>128</v>
      </c>
      <c r="R14" s="10" t="s">
        <v>133</v>
      </c>
      <c r="S14" s="10" t="s">
        <v>488</v>
      </c>
      <c r="T14" s="10" t="s">
        <v>136</v>
      </c>
      <c r="U14" s="10">
        <v>3044029804</v>
      </c>
      <c r="V14" s="19"/>
      <c r="W14" s="10" t="s">
        <v>491</v>
      </c>
      <c r="X14" s="10" t="s">
        <v>136</v>
      </c>
      <c r="Y14" s="10" t="s">
        <v>253</v>
      </c>
      <c r="Z14" s="10" t="s">
        <v>170</v>
      </c>
      <c r="AA14" s="24"/>
      <c r="AB14" s="24"/>
      <c r="AC14" s="13">
        <v>45331</v>
      </c>
      <c r="AD14" s="24"/>
    </row>
    <row r="15" spans="1:30" ht="15.75" customHeight="1" x14ac:dyDescent="0.25">
      <c r="A15" s="10" t="s">
        <v>160</v>
      </c>
      <c r="B15" s="10" t="s">
        <v>86</v>
      </c>
      <c r="C15" s="10" t="s">
        <v>91</v>
      </c>
      <c r="D15" s="10" t="s">
        <v>92</v>
      </c>
      <c r="E15" s="10">
        <v>1001917722</v>
      </c>
      <c r="F15" s="23" t="s">
        <v>501</v>
      </c>
      <c r="G15" s="12" t="s">
        <v>503</v>
      </c>
      <c r="H15" s="10" t="s">
        <v>504</v>
      </c>
      <c r="I15" s="30">
        <v>45245</v>
      </c>
      <c r="J15" s="10" t="str">
        <f t="shared" ca="1" si="0"/>
        <v xml:space="preserve">2  Años, 9  Mes, 11 Dias </v>
      </c>
      <c r="K15" s="10" t="s">
        <v>113</v>
      </c>
      <c r="L15" s="19"/>
      <c r="M15" s="19" t="str">
        <f t="shared" ca="1" si="1"/>
        <v/>
      </c>
      <c r="N15" s="10" t="s">
        <v>120</v>
      </c>
      <c r="O15" s="10" t="s">
        <v>236</v>
      </c>
      <c r="P15" s="10" t="s">
        <v>210</v>
      </c>
      <c r="Q15" s="18" t="s">
        <v>128</v>
      </c>
      <c r="R15" s="10" t="s">
        <v>133</v>
      </c>
      <c r="S15" s="10" t="s">
        <v>512</v>
      </c>
      <c r="T15" s="10" t="s">
        <v>136</v>
      </c>
      <c r="U15" s="10">
        <v>3108997135</v>
      </c>
      <c r="V15" s="10">
        <v>3108997135</v>
      </c>
      <c r="W15" s="10" t="s">
        <v>514</v>
      </c>
      <c r="X15" s="10" t="s">
        <v>136</v>
      </c>
      <c r="Y15" s="10" t="s">
        <v>169</v>
      </c>
      <c r="Z15" s="10" t="s">
        <v>373</v>
      </c>
      <c r="AA15" s="24"/>
      <c r="AB15" s="24"/>
      <c r="AC15" s="13">
        <v>45792</v>
      </c>
      <c r="AD15" s="10" t="s">
        <v>148</v>
      </c>
    </row>
    <row r="16" spans="1:30" ht="15.75" customHeight="1" x14ac:dyDescent="0.25">
      <c r="A16" s="10" t="s">
        <v>77</v>
      </c>
      <c r="B16" s="10" t="s">
        <v>86</v>
      </c>
      <c r="C16" s="10" t="s">
        <v>91</v>
      </c>
      <c r="D16" s="10" t="s">
        <v>92</v>
      </c>
      <c r="E16" s="46">
        <v>19873470</v>
      </c>
      <c r="F16" s="23" t="s">
        <v>523</v>
      </c>
      <c r="G16" s="10" t="s">
        <v>18</v>
      </c>
      <c r="H16" s="10" t="s">
        <v>524</v>
      </c>
      <c r="I16" s="13">
        <v>44843</v>
      </c>
      <c r="J16" s="10" t="str">
        <f t="shared" ca="1" si="0"/>
        <v xml:space="preserve">3  Años, 10  Mes, 17 Dias </v>
      </c>
      <c r="K16" s="10" t="s">
        <v>113</v>
      </c>
      <c r="L16" s="19"/>
      <c r="M16" s="19" t="str">
        <f t="shared" ca="1" si="1"/>
        <v/>
      </c>
      <c r="N16" s="10" t="s">
        <v>120</v>
      </c>
      <c r="O16" s="10" t="s">
        <v>122</v>
      </c>
      <c r="P16" s="10" t="s">
        <v>124</v>
      </c>
      <c r="Q16" s="18" t="s">
        <v>128</v>
      </c>
      <c r="R16" s="10" t="s">
        <v>133</v>
      </c>
      <c r="S16" s="10" t="s">
        <v>530</v>
      </c>
      <c r="T16" s="10" t="s">
        <v>136</v>
      </c>
      <c r="U16" s="10">
        <v>3244215998</v>
      </c>
      <c r="V16" s="19"/>
      <c r="W16" s="10" t="s">
        <v>532</v>
      </c>
      <c r="X16" s="10" t="s">
        <v>136</v>
      </c>
      <c r="Y16" s="10" t="s">
        <v>206</v>
      </c>
      <c r="Z16" s="10" t="s">
        <v>216</v>
      </c>
      <c r="AA16" s="24"/>
      <c r="AB16" s="24"/>
      <c r="AC16" s="13">
        <v>45830</v>
      </c>
      <c r="AD16" s="10" t="s">
        <v>209</v>
      </c>
    </row>
    <row r="17" spans="1:30" ht="15.75" customHeight="1" x14ac:dyDescent="0.25">
      <c r="A17" s="10" t="s">
        <v>77</v>
      </c>
      <c r="B17" s="10" t="s">
        <v>90</v>
      </c>
      <c r="C17" s="10" t="s">
        <v>175</v>
      </c>
      <c r="D17" s="10" t="s">
        <v>92</v>
      </c>
      <c r="E17" s="10">
        <v>72055821</v>
      </c>
      <c r="F17" s="23" t="s">
        <v>225</v>
      </c>
      <c r="G17" s="10" t="s">
        <v>11</v>
      </c>
      <c r="H17" s="10" t="s">
        <v>229</v>
      </c>
      <c r="I17" s="13">
        <v>45831</v>
      </c>
      <c r="J17" s="10" t="str">
        <f t="shared" ca="1" si="0"/>
        <v xml:space="preserve">1  Años, 2  Mes, 3 Dias </v>
      </c>
      <c r="K17" s="10" t="s">
        <v>113</v>
      </c>
      <c r="L17" s="19"/>
      <c r="M17" s="19" t="str">
        <f t="shared" ca="1" si="1"/>
        <v/>
      </c>
      <c r="N17" s="10" t="s">
        <v>120</v>
      </c>
      <c r="O17" s="10" t="s">
        <v>122</v>
      </c>
      <c r="P17" s="10" t="s">
        <v>124</v>
      </c>
      <c r="Q17" s="18" t="s">
        <v>128</v>
      </c>
      <c r="R17" s="10" t="s">
        <v>133</v>
      </c>
      <c r="S17" s="10" t="s">
        <v>248</v>
      </c>
      <c r="T17" s="10" t="s">
        <v>136</v>
      </c>
      <c r="U17" s="10">
        <v>3217729488</v>
      </c>
      <c r="V17" s="19"/>
      <c r="W17" s="10" t="s">
        <v>252</v>
      </c>
      <c r="X17" s="10" t="s">
        <v>136</v>
      </c>
      <c r="Y17" s="10" t="s">
        <v>253</v>
      </c>
      <c r="Z17" s="10" t="s">
        <v>255</v>
      </c>
      <c r="AA17" s="19"/>
      <c r="AB17" s="19"/>
      <c r="AC17" s="19"/>
      <c r="AD17" s="10" t="s">
        <v>209</v>
      </c>
    </row>
    <row r="18" spans="1:30" ht="15.75" customHeight="1" x14ac:dyDescent="0.25">
      <c r="A18" s="10" t="s">
        <v>77</v>
      </c>
      <c r="B18" s="10" t="s">
        <v>86</v>
      </c>
      <c r="C18" s="10" t="s">
        <v>91</v>
      </c>
      <c r="D18" s="10" t="s">
        <v>92</v>
      </c>
      <c r="E18" s="12">
        <v>72225004</v>
      </c>
      <c r="F18" s="15" t="s">
        <v>559</v>
      </c>
      <c r="G18" s="10" t="s">
        <v>26</v>
      </c>
      <c r="H18" s="12" t="s">
        <v>562</v>
      </c>
      <c r="I18" s="16">
        <v>45667</v>
      </c>
      <c r="J18" s="10" t="str">
        <f t="shared" ca="1" si="0"/>
        <v xml:space="preserve">1  Años, 7  Mes, 16 Dias </v>
      </c>
      <c r="K18" s="12" t="s">
        <v>113</v>
      </c>
      <c r="L18" s="5"/>
      <c r="M18" s="5"/>
      <c r="N18" s="10" t="s">
        <v>120</v>
      </c>
      <c r="O18" s="10" t="s">
        <v>567</v>
      </c>
      <c r="P18" s="12" t="s">
        <v>142</v>
      </c>
      <c r="Q18" s="18" t="s">
        <v>128</v>
      </c>
      <c r="R18" s="12" t="s">
        <v>133</v>
      </c>
      <c r="S18" s="12" t="s">
        <v>571</v>
      </c>
      <c r="T18" s="12" t="s">
        <v>136</v>
      </c>
      <c r="U18" s="12">
        <v>3006767921</v>
      </c>
      <c r="V18" s="5"/>
      <c r="W18" s="5"/>
      <c r="X18" s="12" t="s">
        <v>136</v>
      </c>
      <c r="Y18" s="12" t="s">
        <v>574</v>
      </c>
      <c r="Z18" s="12" t="s">
        <v>170</v>
      </c>
      <c r="AA18" s="20"/>
      <c r="AB18" s="20"/>
      <c r="AC18" s="16">
        <v>45700</v>
      </c>
      <c r="AD18" s="10" t="s">
        <v>148</v>
      </c>
    </row>
    <row r="19" spans="1:30" ht="15.75" customHeight="1" x14ac:dyDescent="0.25">
      <c r="A19" s="10" t="s">
        <v>160</v>
      </c>
      <c r="B19" s="10" t="s">
        <v>86</v>
      </c>
      <c r="C19" s="10" t="s">
        <v>91</v>
      </c>
      <c r="D19" s="10" t="s">
        <v>92</v>
      </c>
      <c r="E19" s="10">
        <v>7628806</v>
      </c>
      <c r="F19" s="23" t="s">
        <v>582</v>
      </c>
      <c r="G19" s="10" t="s">
        <v>583</v>
      </c>
      <c r="H19" s="10" t="s">
        <v>585</v>
      </c>
      <c r="I19" s="30">
        <v>44845</v>
      </c>
      <c r="J19" s="10" t="str">
        <f t="shared" ca="1" si="0"/>
        <v xml:space="preserve">3  Años, 10  Mes, 15 Dias </v>
      </c>
      <c r="K19" s="10" t="s">
        <v>113</v>
      </c>
      <c r="L19" s="19"/>
      <c r="M19" s="19" t="str">
        <f t="shared" ref="M19:M20" ca="1" si="2">IF(L19=0,"", DATEDIF(L19,TODAY(),"y"))</f>
        <v/>
      </c>
      <c r="N19" s="10" t="s">
        <v>120</v>
      </c>
      <c r="O19" s="10" t="s">
        <v>122</v>
      </c>
      <c r="P19" s="10" t="s">
        <v>142</v>
      </c>
      <c r="Q19" s="18" t="s">
        <v>128</v>
      </c>
      <c r="R19" s="10" t="s">
        <v>133</v>
      </c>
      <c r="S19" s="10" t="s">
        <v>602</v>
      </c>
      <c r="T19" s="10" t="s">
        <v>136</v>
      </c>
      <c r="U19" s="10">
        <v>3116747988</v>
      </c>
      <c r="V19" s="19"/>
      <c r="W19" s="10" t="s">
        <v>603</v>
      </c>
      <c r="X19" s="10" t="s">
        <v>136</v>
      </c>
      <c r="Y19" s="10" t="s">
        <v>606</v>
      </c>
      <c r="Z19" s="10" t="s">
        <v>170</v>
      </c>
      <c r="AA19" s="24"/>
      <c r="AB19" s="24"/>
      <c r="AC19" s="13">
        <v>45391</v>
      </c>
      <c r="AD19" s="24"/>
    </row>
    <row r="20" spans="1:30" ht="15.75" customHeight="1" x14ac:dyDescent="0.25">
      <c r="A20" s="10" t="s">
        <v>77</v>
      </c>
      <c r="B20" s="10" t="s">
        <v>86</v>
      </c>
      <c r="C20" s="10" t="s">
        <v>91</v>
      </c>
      <c r="D20" s="10" t="s">
        <v>92</v>
      </c>
      <c r="E20" s="10">
        <v>1007236117</v>
      </c>
      <c r="F20" s="23" t="s">
        <v>611</v>
      </c>
      <c r="G20" s="10" t="s">
        <v>26</v>
      </c>
      <c r="H20" s="10" t="s">
        <v>613</v>
      </c>
      <c r="I20" s="30">
        <v>45220</v>
      </c>
      <c r="J20" s="10" t="str">
        <f t="shared" ca="1" si="0"/>
        <v xml:space="preserve">2  Años, 10  Mes, 5 Dias </v>
      </c>
      <c r="K20" s="10" t="s">
        <v>113</v>
      </c>
      <c r="L20" s="19"/>
      <c r="M20" s="19" t="str">
        <f t="shared" ca="1" si="2"/>
        <v/>
      </c>
      <c r="N20" s="10" t="s">
        <v>120</v>
      </c>
      <c r="O20" s="10" t="s">
        <v>122</v>
      </c>
      <c r="P20" s="10" t="s">
        <v>142</v>
      </c>
      <c r="Q20" s="18" t="s">
        <v>128</v>
      </c>
      <c r="R20" s="10" t="s">
        <v>133</v>
      </c>
      <c r="S20" s="10" t="s">
        <v>620</v>
      </c>
      <c r="T20" s="10" t="s">
        <v>507</v>
      </c>
      <c r="U20" s="10">
        <v>3148163023</v>
      </c>
      <c r="V20" s="10">
        <v>3148163023</v>
      </c>
      <c r="W20" s="10" t="s">
        <v>622</v>
      </c>
      <c r="X20" s="10" t="s">
        <v>136</v>
      </c>
      <c r="Y20" s="10" t="s">
        <v>206</v>
      </c>
      <c r="Z20" s="10" t="s">
        <v>170</v>
      </c>
      <c r="AA20" s="24"/>
      <c r="AB20" s="24"/>
      <c r="AC20" s="13">
        <v>45597</v>
      </c>
      <c r="AD20" s="24"/>
    </row>
    <row r="21" spans="1:30" ht="15.75" customHeight="1" x14ac:dyDescent="0.25">
      <c r="A21" s="10" t="s">
        <v>77</v>
      </c>
      <c r="B21" s="10" t="s">
        <v>86</v>
      </c>
      <c r="C21" s="10" t="s">
        <v>91</v>
      </c>
      <c r="D21" s="10" t="s">
        <v>92</v>
      </c>
      <c r="E21" s="12">
        <v>8539578</v>
      </c>
      <c r="F21" s="15" t="s">
        <v>627</v>
      </c>
      <c r="G21" s="10" t="s">
        <v>11</v>
      </c>
      <c r="H21" s="12" t="s">
        <v>628</v>
      </c>
      <c r="I21" s="16">
        <v>45555</v>
      </c>
      <c r="J21" s="10" t="str">
        <f t="shared" ca="1" si="0"/>
        <v xml:space="preserve">1  Años, 11  Mes, 6 Dias </v>
      </c>
      <c r="K21" s="10" t="s">
        <v>113</v>
      </c>
      <c r="L21" s="5"/>
      <c r="M21" s="5"/>
      <c r="N21" s="10" t="s">
        <v>120</v>
      </c>
      <c r="O21" s="10" t="s">
        <v>277</v>
      </c>
      <c r="P21" s="12" t="s">
        <v>142</v>
      </c>
      <c r="Q21" s="18" t="s">
        <v>128</v>
      </c>
      <c r="R21" s="10" t="s">
        <v>133</v>
      </c>
      <c r="S21" s="12" t="s">
        <v>635</v>
      </c>
      <c r="T21" s="10" t="s">
        <v>136</v>
      </c>
      <c r="U21" s="12">
        <v>3205476222</v>
      </c>
      <c r="V21" s="5"/>
      <c r="W21" s="12" t="s">
        <v>637</v>
      </c>
      <c r="X21" s="10" t="s">
        <v>136</v>
      </c>
      <c r="Y21" s="12" t="s">
        <v>215</v>
      </c>
      <c r="Z21" s="12" t="s">
        <v>170</v>
      </c>
      <c r="AA21" s="33"/>
      <c r="AB21" s="33"/>
      <c r="AC21" s="35">
        <v>45656</v>
      </c>
      <c r="AD21" s="5"/>
    </row>
    <row r="22" spans="1:30" ht="15.75" customHeight="1" x14ac:dyDescent="0.25">
      <c r="A22" s="10" t="s">
        <v>77</v>
      </c>
      <c r="B22" s="10" t="s">
        <v>90</v>
      </c>
      <c r="C22" s="10" t="s">
        <v>175</v>
      </c>
      <c r="D22" s="12" t="s">
        <v>92</v>
      </c>
      <c r="E22" s="12">
        <v>1042459298</v>
      </c>
      <c r="F22" s="23" t="s">
        <v>642</v>
      </c>
      <c r="G22" s="10" t="s">
        <v>11</v>
      </c>
      <c r="H22" s="10" t="s">
        <v>644</v>
      </c>
      <c r="I22" s="13">
        <v>45833</v>
      </c>
      <c r="J22" s="10" t="str">
        <f t="shared" ca="1" si="0"/>
        <v xml:space="preserve">1  Años, 2  Mes, 1 Dias </v>
      </c>
      <c r="K22" s="12" t="s">
        <v>113</v>
      </c>
      <c r="L22" s="20"/>
      <c r="M22" s="5"/>
      <c r="N22" s="10" t="s">
        <v>120</v>
      </c>
      <c r="O22" s="10" t="s">
        <v>122</v>
      </c>
      <c r="P22" s="12" t="s">
        <v>124</v>
      </c>
      <c r="Q22" s="18" t="s">
        <v>648</v>
      </c>
      <c r="R22" s="12" t="s">
        <v>133</v>
      </c>
      <c r="S22" s="12" t="s">
        <v>650</v>
      </c>
      <c r="T22" s="12" t="s">
        <v>151</v>
      </c>
      <c r="U22" s="12">
        <v>3006966647</v>
      </c>
      <c r="V22" s="5"/>
      <c r="W22" s="5"/>
      <c r="X22" s="12" t="s">
        <v>136</v>
      </c>
      <c r="Y22" s="12" t="s">
        <v>605</v>
      </c>
      <c r="Z22" s="12" t="s">
        <v>170</v>
      </c>
      <c r="AA22" s="20"/>
      <c r="AB22" s="20"/>
      <c r="AC22" s="16">
        <v>45830</v>
      </c>
      <c r="AD22" s="10" t="s">
        <v>209</v>
      </c>
    </row>
    <row r="23" spans="1:30" ht="15.75" customHeight="1" x14ac:dyDescent="0.25">
      <c r="A23" s="10" t="s">
        <v>77</v>
      </c>
      <c r="B23" s="10" t="s">
        <v>86</v>
      </c>
      <c r="C23" s="10" t="s">
        <v>91</v>
      </c>
      <c r="D23" s="10" t="s">
        <v>92</v>
      </c>
      <c r="E23" s="10">
        <v>8770986</v>
      </c>
      <c r="F23" s="23" t="s">
        <v>658</v>
      </c>
      <c r="G23" s="10" t="s">
        <v>11</v>
      </c>
      <c r="H23" s="10" t="s">
        <v>661</v>
      </c>
      <c r="I23" s="13">
        <v>45303</v>
      </c>
      <c r="J23" s="10" t="str">
        <f t="shared" ca="1" si="0"/>
        <v xml:space="preserve">2  Años, 7  Mes, 14 Dias </v>
      </c>
      <c r="K23" s="10" t="s">
        <v>113</v>
      </c>
      <c r="L23" s="52">
        <v>25860</v>
      </c>
      <c r="M23" s="10">
        <f t="shared" ref="M23:M24" ca="1" si="3">IF(L23=0,"", DATEDIF(L23,TODAY(),"y"))</f>
        <v>55</v>
      </c>
      <c r="N23" s="10" t="s">
        <v>120</v>
      </c>
      <c r="O23" s="10" t="s">
        <v>122</v>
      </c>
      <c r="P23" s="10" t="s">
        <v>210</v>
      </c>
      <c r="Q23" s="18" t="s">
        <v>128</v>
      </c>
      <c r="R23" s="10" t="s">
        <v>133</v>
      </c>
      <c r="S23" s="10" t="s">
        <v>670</v>
      </c>
      <c r="T23" s="10" t="s">
        <v>151</v>
      </c>
      <c r="U23" s="10">
        <v>3104313690</v>
      </c>
      <c r="V23" s="19"/>
      <c r="W23" s="10" t="s">
        <v>671</v>
      </c>
      <c r="X23" s="10" t="s">
        <v>136</v>
      </c>
      <c r="Y23" s="10" t="s">
        <v>673</v>
      </c>
      <c r="Z23" s="10" t="s">
        <v>170</v>
      </c>
      <c r="AA23" s="24"/>
      <c r="AB23" s="24"/>
      <c r="AC23" s="13">
        <v>45428</v>
      </c>
      <c r="AD23" s="24"/>
    </row>
    <row r="24" spans="1:30" ht="15.75" customHeight="1" x14ac:dyDescent="0.25">
      <c r="A24" s="10" t="s">
        <v>77</v>
      </c>
      <c r="B24" s="10" t="s">
        <v>86</v>
      </c>
      <c r="C24" s="10" t="s">
        <v>91</v>
      </c>
      <c r="D24" s="10" t="s">
        <v>92</v>
      </c>
      <c r="E24" s="10">
        <v>72242021</v>
      </c>
      <c r="F24" s="23" t="s">
        <v>666</v>
      </c>
      <c r="G24" s="10" t="s">
        <v>18</v>
      </c>
      <c r="H24" s="54" t="s">
        <v>679</v>
      </c>
      <c r="I24" s="13">
        <v>45155</v>
      </c>
      <c r="J24" s="10" t="str">
        <f t="shared" ca="1" si="0"/>
        <v xml:space="preserve">3  Años, 0  Mes, 9 Dias </v>
      </c>
      <c r="K24" s="10" t="s">
        <v>113</v>
      </c>
      <c r="L24" s="19"/>
      <c r="M24" s="19" t="str">
        <f t="shared" ca="1" si="3"/>
        <v/>
      </c>
      <c r="N24" s="10" t="s">
        <v>120</v>
      </c>
      <c r="O24" s="10" t="s">
        <v>122</v>
      </c>
      <c r="P24" s="10" t="s">
        <v>124</v>
      </c>
      <c r="Q24" s="18" t="s">
        <v>128</v>
      </c>
      <c r="R24" s="10" t="s">
        <v>133</v>
      </c>
      <c r="S24" s="10" t="s">
        <v>682</v>
      </c>
      <c r="T24" s="10" t="s">
        <v>136</v>
      </c>
      <c r="U24" s="10">
        <v>3017272500</v>
      </c>
      <c r="V24" s="10">
        <v>3017272500</v>
      </c>
      <c r="W24" s="10" t="s">
        <v>683</v>
      </c>
      <c r="X24" s="10" t="s">
        <v>136</v>
      </c>
      <c r="Y24" s="10" t="s">
        <v>169</v>
      </c>
      <c r="Z24" s="10" t="s">
        <v>216</v>
      </c>
      <c r="AA24" s="33"/>
      <c r="AB24" s="33"/>
      <c r="AC24" s="35">
        <v>45290</v>
      </c>
      <c r="AD24" s="19"/>
    </row>
    <row r="25" spans="1:30" ht="15.75" customHeight="1" x14ac:dyDescent="0.25">
      <c r="A25" s="10" t="s">
        <v>160</v>
      </c>
      <c r="B25" s="10" t="s">
        <v>86</v>
      </c>
      <c r="C25" s="10" t="s">
        <v>91</v>
      </c>
      <c r="D25" s="10" t="s">
        <v>92</v>
      </c>
      <c r="E25" s="12">
        <v>1002421252</v>
      </c>
      <c r="F25" s="15" t="s">
        <v>687</v>
      </c>
      <c r="G25" s="12" t="s">
        <v>688</v>
      </c>
      <c r="H25" s="10" t="s">
        <v>690</v>
      </c>
      <c r="I25" s="16">
        <v>45538</v>
      </c>
      <c r="J25" s="10" t="str">
        <f t="shared" ca="1" si="0"/>
        <v xml:space="preserve">1  Años, 11  Mes, 23 Dias </v>
      </c>
      <c r="K25" s="10" t="s">
        <v>113</v>
      </c>
      <c r="L25" s="19"/>
      <c r="M25" s="19"/>
      <c r="N25" s="10" t="s">
        <v>320</v>
      </c>
      <c r="O25" s="10" t="s">
        <v>236</v>
      </c>
      <c r="P25" s="12" t="s">
        <v>142</v>
      </c>
      <c r="Q25" s="18" t="s">
        <v>128</v>
      </c>
      <c r="R25" s="10" t="s">
        <v>133</v>
      </c>
      <c r="S25" s="12" t="s">
        <v>695</v>
      </c>
      <c r="T25" s="10" t="s">
        <v>136</v>
      </c>
      <c r="U25" s="12">
        <v>3173599505</v>
      </c>
      <c r="V25" s="19"/>
      <c r="W25" s="12" t="s">
        <v>698</v>
      </c>
      <c r="X25" s="10" t="s">
        <v>136</v>
      </c>
      <c r="Y25" s="12" t="s">
        <v>700</v>
      </c>
      <c r="Z25" s="12" t="s">
        <v>170</v>
      </c>
      <c r="AA25" s="24"/>
      <c r="AB25" s="24"/>
      <c r="AC25" s="13">
        <v>45718</v>
      </c>
      <c r="AD25" s="10" t="s">
        <v>701</v>
      </c>
    </row>
    <row r="26" spans="1:30" ht="15.75" customHeight="1" x14ac:dyDescent="0.25">
      <c r="A26" s="10" t="s">
        <v>77</v>
      </c>
      <c r="B26" s="10" t="s">
        <v>90</v>
      </c>
      <c r="C26" s="10" t="s">
        <v>175</v>
      </c>
      <c r="D26" s="10" t="s">
        <v>92</v>
      </c>
      <c r="E26" s="10">
        <v>1007280257</v>
      </c>
      <c r="F26" s="23" t="s">
        <v>301</v>
      </c>
      <c r="G26" s="10" t="s">
        <v>18</v>
      </c>
      <c r="H26" s="10" t="s">
        <v>303</v>
      </c>
      <c r="I26" s="13">
        <v>45831</v>
      </c>
      <c r="J26" s="10" t="str">
        <f t="shared" ca="1" si="0"/>
        <v xml:space="preserve">1  Años, 2  Mes, 3 Dias </v>
      </c>
      <c r="K26" s="10" t="s">
        <v>113</v>
      </c>
      <c r="L26" s="24"/>
      <c r="M26" s="19" t="str">
        <f t="shared" ref="M26:M29" ca="1" si="4">IF(L26=0,"", DATEDIF(L26,TODAY(),"y"))</f>
        <v/>
      </c>
      <c r="N26" s="10" t="s">
        <v>120</v>
      </c>
      <c r="O26" s="10" t="s">
        <v>122</v>
      </c>
      <c r="P26" s="10" t="s">
        <v>142</v>
      </c>
      <c r="Q26" s="18" t="s">
        <v>128</v>
      </c>
      <c r="R26" s="10" t="s">
        <v>133</v>
      </c>
      <c r="S26" s="10" t="s">
        <v>314</v>
      </c>
      <c r="T26" s="10" t="s">
        <v>136</v>
      </c>
      <c r="U26" s="10">
        <v>3136822365</v>
      </c>
      <c r="V26" s="19"/>
      <c r="W26" s="10" t="s">
        <v>322</v>
      </c>
      <c r="X26" s="10" t="s">
        <v>136</v>
      </c>
      <c r="Y26" s="10" t="s">
        <v>206</v>
      </c>
      <c r="Z26" s="10" t="s">
        <v>170</v>
      </c>
      <c r="AA26" s="19"/>
      <c r="AB26" s="19"/>
      <c r="AC26" s="19"/>
      <c r="AD26" s="10" t="s">
        <v>209</v>
      </c>
    </row>
    <row r="27" spans="1:30" ht="15.75" customHeight="1" x14ac:dyDescent="0.25">
      <c r="A27" s="10" t="s">
        <v>77</v>
      </c>
      <c r="B27" s="10" t="s">
        <v>86</v>
      </c>
      <c r="C27" s="10" t="s">
        <v>91</v>
      </c>
      <c r="D27" s="10" t="s">
        <v>92</v>
      </c>
      <c r="E27" s="10">
        <v>72204138</v>
      </c>
      <c r="F27" s="23" t="s">
        <v>665</v>
      </c>
      <c r="G27" s="10" t="s">
        <v>18</v>
      </c>
      <c r="H27" s="15" t="s">
        <v>719</v>
      </c>
      <c r="I27" s="13">
        <v>44843</v>
      </c>
      <c r="J27" s="10" t="str">
        <f t="shared" ca="1" si="0"/>
        <v xml:space="preserve">3  Años, 10  Mes, 17 Dias </v>
      </c>
      <c r="K27" s="10" t="s">
        <v>113</v>
      </c>
      <c r="L27" s="19"/>
      <c r="M27" s="19" t="str">
        <f t="shared" ca="1" si="4"/>
        <v/>
      </c>
      <c r="N27" s="10" t="s">
        <v>120</v>
      </c>
      <c r="O27" s="10" t="s">
        <v>122</v>
      </c>
      <c r="P27" s="10" t="s">
        <v>142</v>
      </c>
      <c r="Q27" s="18" t="s">
        <v>128</v>
      </c>
      <c r="R27" s="10" t="s">
        <v>133</v>
      </c>
      <c r="S27" s="10" t="s">
        <v>721</v>
      </c>
      <c r="T27" s="10" t="s">
        <v>136</v>
      </c>
      <c r="U27" s="10">
        <v>3142375483</v>
      </c>
      <c r="V27" s="19"/>
      <c r="W27" s="10" t="s">
        <v>723</v>
      </c>
      <c r="X27" s="10" t="s">
        <v>136</v>
      </c>
      <c r="Y27" s="10" t="s">
        <v>206</v>
      </c>
      <c r="Z27" s="10" t="s">
        <v>216</v>
      </c>
      <c r="AA27" s="24"/>
      <c r="AB27" s="24"/>
      <c r="AC27" s="13">
        <v>45830</v>
      </c>
      <c r="AD27" s="10" t="s">
        <v>209</v>
      </c>
    </row>
    <row r="28" spans="1:30" ht="15.75" customHeight="1" x14ac:dyDescent="0.25">
      <c r="A28" s="10" t="s">
        <v>160</v>
      </c>
      <c r="B28" s="10" t="s">
        <v>86</v>
      </c>
      <c r="C28" s="10" t="s">
        <v>91</v>
      </c>
      <c r="D28" s="10" t="s">
        <v>92</v>
      </c>
      <c r="E28" s="12">
        <v>1043436601</v>
      </c>
      <c r="F28" s="15" t="s">
        <v>726</v>
      </c>
      <c r="G28" s="12" t="s">
        <v>688</v>
      </c>
      <c r="H28" s="12" t="s">
        <v>727</v>
      </c>
      <c r="I28" s="16">
        <v>45730</v>
      </c>
      <c r="J28" s="10" t="str">
        <f t="shared" ca="1" si="0"/>
        <v xml:space="preserve">1  Años, 5  Mes, 12 Dias </v>
      </c>
      <c r="K28" s="10" t="s">
        <v>113</v>
      </c>
      <c r="L28" s="5"/>
      <c r="M28" s="19" t="str">
        <f t="shared" ca="1" si="4"/>
        <v/>
      </c>
      <c r="N28" s="10" t="s">
        <v>120</v>
      </c>
      <c r="O28" s="10" t="s">
        <v>730</v>
      </c>
      <c r="P28" s="12" t="s">
        <v>124</v>
      </c>
      <c r="Q28" s="18" t="s">
        <v>128</v>
      </c>
      <c r="R28" s="10" t="s">
        <v>133</v>
      </c>
      <c r="S28" s="12" t="s">
        <v>731</v>
      </c>
      <c r="T28" s="10" t="s">
        <v>136</v>
      </c>
      <c r="U28" s="12">
        <v>3244151012</v>
      </c>
      <c r="V28" s="5"/>
      <c r="W28" s="12" t="s">
        <v>732</v>
      </c>
      <c r="X28" s="12" t="s">
        <v>136</v>
      </c>
      <c r="Y28" s="12" t="s">
        <v>574</v>
      </c>
      <c r="Z28" s="5"/>
      <c r="AA28" s="20"/>
      <c r="AB28" s="20"/>
      <c r="AC28" s="16">
        <v>45746</v>
      </c>
      <c r="AD28" s="10" t="s">
        <v>148</v>
      </c>
    </row>
    <row r="29" spans="1:30" ht="15.75" customHeight="1" x14ac:dyDescent="0.25">
      <c r="A29" s="10" t="s">
        <v>77</v>
      </c>
      <c r="B29" s="10" t="s">
        <v>86</v>
      </c>
      <c r="C29" s="10" t="s">
        <v>91</v>
      </c>
      <c r="D29" s="10" t="s">
        <v>92</v>
      </c>
      <c r="E29" s="10">
        <v>72274994</v>
      </c>
      <c r="F29" s="23" t="s">
        <v>88</v>
      </c>
      <c r="G29" s="10" t="s">
        <v>11</v>
      </c>
      <c r="H29" s="10" t="s">
        <v>737</v>
      </c>
      <c r="I29" s="13">
        <v>44843</v>
      </c>
      <c r="J29" s="10" t="str">
        <f t="shared" ca="1" si="0"/>
        <v xml:space="preserve">3  Años, 10  Mes, 17 Dias </v>
      </c>
      <c r="K29" s="10" t="s">
        <v>113</v>
      </c>
      <c r="L29" s="19"/>
      <c r="M29" s="19" t="str">
        <f t="shared" ca="1" si="4"/>
        <v/>
      </c>
      <c r="N29" s="10" t="s">
        <v>120</v>
      </c>
      <c r="O29" s="10" t="s">
        <v>122</v>
      </c>
      <c r="P29" s="10" t="s">
        <v>124</v>
      </c>
      <c r="Q29" s="18" t="s">
        <v>128</v>
      </c>
      <c r="R29" s="10" t="s">
        <v>133</v>
      </c>
      <c r="S29" s="10" t="s">
        <v>738</v>
      </c>
      <c r="T29" s="10" t="s">
        <v>136</v>
      </c>
      <c r="U29" s="10">
        <v>3007140655</v>
      </c>
      <c r="V29" s="19"/>
      <c r="W29" s="10" t="s">
        <v>739</v>
      </c>
      <c r="X29" s="10" t="s">
        <v>136</v>
      </c>
      <c r="Y29" s="10" t="s">
        <v>203</v>
      </c>
      <c r="Z29" s="10" t="s">
        <v>373</v>
      </c>
      <c r="AA29" s="19"/>
      <c r="AB29" s="19"/>
      <c r="AC29" s="19"/>
      <c r="AD29" s="10" t="s">
        <v>209</v>
      </c>
    </row>
    <row r="30" spans="1:30" ht="15.75" customHeight="1" x14ac:dyDescent="0.25">
      <c r="A30" s="10" t="s">
        <v>77</v>
      </c>
      <c r="B30" s="10" t="s">
        <v>86</v>
      </c>
      <c r="C30" s="10" t="s">
        <v>91</v>
      </c>
      <c r="D30" s="10" t="s">
        <v>92</v>
      </c>
      <c r="E30" s="12">
        <v>72297359</v>
      </c>
      <c r="F30" s="15" t="s">
        <v>744</v>
      </c>
      <c r="G30" s="10" t="s">
        <v>26</v>
      </c>
      <c r="H30" s="12" t="s">
        <v>745</v>
      </c>
      <c r="I30" s="16">
        <v>45667</v>
      </c>
      <c r="J30" s="10" t="str">
        <f t="shared" ca="1" si="0"/>
        <v xml:space="preserve">1  Años, 7  Mes, 16 Dias </v>
      </c>
      <c r="K30" s="12" t="s">
        <v>113</v>
      </c>
      <c r="L30" s="5"/>
      <c r="M30" s="5"/>
      <c r="N30" s="10" t="s">
        <v>120</v>
      </c>
      <c r="O30" s="10" t="s">
        <v>122</v>
      </c>
      <c r="P30" s="12" t="s">
        <v>142</v>
      </c>
      <c r="Q30" s="18" t="s">
        <v>128</v>
      </c>
      <c r="R30" s="12" t="s">
        <v>133</v>
      </c>
      <c r="S30" s="12" t="s">
        <v>749</v>
      </c>
      <c r="T30" s="12" t="s">
        <v>136</v>
      </c>
      <c r="U30" s="12">
        <v>3012673128</v>
      </c>
      <c r="V30" s="5"/>
      <c r="W30" s="5"/>
      <c r="X30" s="12" t="s">
        <v>136</v>
      </c>
      <c r="Y30" s="12" t="s">
        <v>539</v>
      </c>
      <c r="Z30" s="12" t="s">
        <v>170</v>
      </c>
      <c r="AA30" s="20"/>
      <c r="AB30" s="20"/>
      <c r="AC30" s="16">
        <v>45702</v>
      </c>
      <c r="AD30" s="10" t="s">
        <v>148</v>
      </c>
    </row>
    <row r="31" spans="1:30" ht="15.75" customHeight="1" x14ac:dyDescent="0.25">
      <c r="A31" s="10" t="s">
        <v>160</v>
      </c>
      <c r="B31" s="10" t="s">
        <v>86</v>
      </c>
      <c r="C31" s="10" t="s">
        <v>91</v>
      </c>
      <c r="D31" s="10" t="s">
        <v>92</v>
      </c>
      <c r="E31" s="10">
        <v>1143166195</v>
      </c>
      <c r="F31" s="23" t="s">
        <v>753</v>
      </c>
      <c r="G31" s="10" t="s">
        <v>754</v>
      </c>
      <c r="H31" s="10" t="s">
        <v>755</v>
      </c>
      <c r="I31" s="30">
        <v>45251</v>
      </c>
      <c r="J31" s="10" t="str">
        <f t="shared" ca="1" si="0"/>
        <v xml:space="preserve">2  Años, 9  Mes, 5 Dias </v>
      </c>
      <c r="K31" s="10" t="s">
        <v>113</v>
      </c>
      <c r="L31" s="19"/>
      <c r="M31" s="19" t="str">
        <f t="shared" ref="M31:M33" ca="1" si="5">IF(L31=0,"", DATEDIF(L31,TODAY(),"y"))</f>
        <v/>
      </c>
      <c r="N31" s="10" t="s">
        <v>120</v>
      </c>
      <c r="O31" s="10" t="s">
        <v>236</v>
      </c>
      <c r="P31" s="10" t="s">
        <v>142</v>
      </c>
      <c r="Q31" s="18" t="s">
        <v>128</v>
      </c>
      <c r="R31" s="10" t="s">
        <v>133</v>
      </c>
      <c r="S31" s="10" t="s">
        <v>763</v>
      </c>
      <c r="T31" s="10" t="s">
        <v>136</v>
      </c>
      <c r="U31" s="10">
        <v>3044916704</v>
      </c>
      <c r="V31" s="10">
        <v>3044916704</v>
      </c>
      <c r="W31" s="10" t="s">
        <v>765</v>
      </c>
      <c r="X31" s="10" t="s">
        <v>136</v>
      </c>
      <c r="Y31" s="10" t="s">
        <v>203</v>
      </c>
      <c r="Z31" s="10" t="s">
        <v>170</v>
      </c>
      <c r="AA31" s="24"/>
      <c r="AB31" s="24"/>
      <c r="AC31" s="13">
        <v>45303</v>
      </c>
      <c r="AD31" s="24"/>
    </row>
    <row r="32" spans="1:30" ht="15.75" customHeight="1" x14ac:dyDescent="0.25">
      <c r="A32" s="10" t="s">
        <v>77</v>
      </c>
      <c r="B32" s="10" t="s">
        <v>90</v>
      </c>
      <c r="C32" s="10" t="s">
        <v>175</v>
      </c>
      <c r="D32" s="10" t="s">
        <v>92</v>
      </c>
      <c r="E32" s="12">
        <v>1006533896</v>
      </c>
      <c r="F32" s="15" t="s">
        <v>773</v>
      </c>
      <c r="G32" s="10" t="s">
        <v>26</v>
      </c>
      <c r="H32" s="10" t="s">
        <v>774</v>
      </c>
      <c r="I32" s="16">
        <v>45880</v>
      </c>
      <c r="J32" s="10" t="str">
        <f t="shared" ca="1" si="0"/>
        <v xml:space="preserve">1  Años, 0  Mes, 15 Dias </v>
      </c>
      <c r="K32" s="12" t="s">
        <v>113</v>
      </c>
      <c r="L32" s="53">
        <v>37389</v>
      </c>
      <c r="M32" s="10">
        <f t="shared" ca="1" si="5"/>
        <v>24</v>
      </c>
      <c r="N32" s="10" t="s">
        <v>120</v>
      </c>
      <c r="O32" s="10" t="s">
        <v>236</v>
      </c>
      <c r="P32" s="5"/>
      <c r="Q32" s="18" t="s">
        <v>128</v>
      </c>
      <c r="R32" s="10" t="s">
        <v>133</v>
      </c>
      <c r="S32" s="12" t="s">
        <v>782</v>
      </c>
      <c r="T32" s="12" t="s">
        <v>151</v>
      </c>
      <c r="U32" s="12">
        <v>3202286405</v>
      </c>
      <c r="V32" s="5"/>
      <c r="W32" s="5"/>
      <c r="X32" s="10" t="s">
        <v>136</v>
      </c>
      <c r="Y32" s="5"/>
      <c r="Z32" s="5"/>
      <c r="AA32" s="20"/>
      <c r="AB32" s="20"/>
      <c r="AC32" s="20"/>
      <c r="AD32" s="10" t="s">
        <v>209</v>
      </c>
    </row>
    <row r="33" spans="1:30" ht="15.75" customHeight="1" x14ac:dyDescent="0.25">
      <c r="A33" s="10" t="s">
        <v>77</v>
      </c>
      <c r="B33" s="10" t="s">
        <v>90</v>
      </c>
      <c r="C33" s="10" t="s">
        <v>175</v>
      </c>
      <c r="D33" s="10" t="s">
        <v>92</v>
      </c>
      <c r="E33" s="10">
        <v>1048208138</v>
      </c>
      <c r="F33" s="23" t="s">
        <v>793</v>
      </c>
      <c r="G33" s="10" t="s">
        <v>26</v>
      </c>
      <c r="H33" s="10" t="s">
        <v>794</v>
      </c>
      <c r="I33" s="13">
        <v>45863</v>
      </c>
      <c r="J33" s="10" t="str">
        <f t="shared" ca="1" si="0"/>
        <v xml:space="preserve">1  Años, 1  Mes, 1 Dias </v>
      </c>
      <c r="K33" s="10" t="s">
        <v>113</v>
      </c>
      <c r="L33" s="13">
        <v>31904</v>
      </c>
      <c r="M33" s="10">
        <f t="shared" ca="1" si="5"/>
        <v>39</v>
      </c>
      <c r="N33" s="10" t="s">
        <v>120</v>
      </c>
      <c r="O33" s="10" t="s">
        <v>122</v>
      </c>
      <c r="P33" s="10" t="s">
        <v>142</v>
      </c>
      <c r="Q33" s="18" t="s">
        <v>128</v>
      </c>
      <c r="R33" s="10" t="s">
        <v>133</v>
      </c>
      <c r="S33" s="10" t="s">
        <v>797</v>
      </c>
      <c r="T33" s="10" t="s">
        <v>151</v>
      </c>
      <c r="U33" s="10">
        <v>3017291708</v>
      </c>
      <c r="V33" s="19"/>
      <c r="W33" s="19"/>
      <c r="X33" s="10" t="s">
        <v>136</v>
      </c>
      <c r="Y33" s="19"/>
      <c r="Z33" s="19"/>
      <c r="AA33" s="24"/>
      <c r="AB33" s="24"/>
      <c r="AC33" s="24"/>
      <c r="AD33" s="10" t="s">
        <v>209</v>
      </c>
    </row>
    <row r="34" spans="1:30" ht="15.75" customHeight="1" x14ac:dyDescent="0.25">
      <c r="A34" s="10" t="s">
        <v>77</v>
      </c>
      <c r="B34" s="10" t="s">
        <v>90</v>
      </c>
      <c r="C34" s="10" t="s">
        <v>175</v>
      </c>
      <c r="D34" s="10" t="s">
        <v>92</v>
      </c>
      <c r="E34" s="12">
        <v>1129486331</v>
      </c>
      <c r="F34" s="23" t="s">
        <v>805</v>
      </c>
      <c r="G34" s="10" t="s">
        <v>655</v>
      </c>
      <c r="H34" s="10" t="s">
        <v>807</v>
      </c>
      <c r="I34" s="13">
        <v>45831</v>
      </c>
      <c r="J34" s="10" t="str">
        <f t="shared" ca="1" si="0"/>
        <v xml:space="preserve">1  Años, 2  Mes, 3 Dias </v>
      </c>
      <c r="K34" s="12" t="s">
        <v>113</v>
      </c>
      <c r="L34" s="20"/>
      <c r="M34" s="5"/>
      <c r="N34" s="10" t="s">
        <v>120</v>
      </c>
      <c r="O34" s="10" t="s">
        <v>122</v>
      </c>
      <c r="P34" s="12" t="s">
        <v>142</v>
      </c>
      <c r="Q34" s="18" t="s">
        <v>128</v>
      </c>
      <c r="R34" s="12" t="s">
        <v>133</v>
      </c>
      <c r="S34" s="12" t="s">
        <v>809</v>
      </c>
      <c r="T34" s="12" t="s">
        <v>136</v>
      </c>
      <c r="U34" s="12">
        <v>3023649938</v>
      </c>
      <c r="V34" s="5"/>
      <c r="W34" s="12" t="s">
        <v>811</v>
      </c>
      <c r="X34" s="12" t="s">
        <v>136</v>
      </c>
      <c r="Y34" s="12" t="s">
        <v>813</v>
      </c>
      <c r="Z34" s="12" t="s">
        <v>170</v>
      </c>
      <c r="AA34" s="20"/>
      <c r="AB34" s="20"/>
      <c r="AC34" s="20"/>
      <c r="AD34" s="13" t="s">
        <v>209</v>
      </c>
    </row>
    <row r="35" spans="1:30" ht="15.75" customHeight="1" x14ac:dyDescent="0.25">
      <c r="A35" s="10" t="s">
        <v>77</v>
      </c>
      <c r="B35" s="10" t="s">
        <v>86</v>
      </c>
      <c r="C35" s="10" t="s">
        <v>91</v>
      </c>
      <c r="D35" s="10" t="s">
        <v>92</v>
      </c>
      <c r="E35" s="10">
        <v>1129486331</v>
      </c>
      <c r="F35" s="23" t="s">
        <v>805</v>
      </c>
      <c r="G35" s="10" t="s">
        <v>11</v>
      </c>
      <c r="H35" s="10" t="s">
        <v>817</v>
      </c>
      <c r="I35" s="13">
        <v>45309</v>
      </c>
      <c r="J35" s="10" t="str">
        <f t="shared" ca="1" si="0"/>
        <v xml:space="preserve">2  Años, 7  Mes, 8 Dias </v>
      </c>
      <c r="K35" s="10" t="s">
        <v>113</v>
      </c>
      <c r="L35" s="13">
        <v>37732</v>
      </c>
      <c r="M35" s="10">
        <f t="shared" ref="M35:M40" ca="1" si="6">IF(L35=0,"", DATEDIF(L35,TODAY(),"y"))</f>
        <v>23</v>
      </c>
      <c r="N35" s="10" t="s">
        <v>120</v>
      </c>
      <c r="O35" s="10" t="s">
        <v>236</v>
      </c>
      <c r="P35" s="10" t="s">
        <v>142</v>
      </c>
      <c r="Q35" s="18" t="s">
        <v>128</v>
      </c>
      <c r="R35" s="10" t="s">
        <v>133</v>
      </c>
      <c r="S35" s="10" t="s">
        <v>824</v>
      </c>
      <c r="T35" s="10" t="s">
        <v>136</v>
      </c>
      <c r="U35" s="10">
        <v>3003955959</v>
      </c>
      <c r="V35" s="19"/>
      <c r="W35" s="40" t="s">
        <v>826</v>
      </c>
      <c r="X35" s="10" t="s">
        <v>136</v>
      </c>
      <c r="Y35" s="10" t="s">
        <v>831</v>
      </c>
      <c r="Z35" s="10" t="s">
        <v>170</v>
      </c>
      <c r="AA35" s="24"/>
      <c r="AB35" s="24"/>
      <c r="AC35" s="13">
        <v>45350</v>
      </c>
      <c r="AD35" s="24"/>
    </row>
    <row r="36" spans="1:30" ht="15.75" customHeight="1" x14ac:dyDescent="0.25">
      <c r="A36" s="10" t="s">
        <v>160</v>
      </c>
      <c r="B36" s="10" t="s">
        <v>90</v>
      </c>
      <c r="C36" s="10" t="s">
        <v>175</v>
      </c>
      <c r="D36" s="10" t="s">
        <v>92</v>
      </c>
      <c r="E36" s="10">
        <v>1005627773</v>
      </c>
      <c r="F36" s="23" t="s">
        <v>337</v>
      </c>
      <c r="G36" s="10" t="s">
        <v>339</v>
      </c>
      <c r="H36" s="10" t="s">
        <v>340</v>
      </c>
      <c r="I36" s="13">
        <v>45847</v>
      </c>
      <c r="J36" s="10" t="str">
        <f t="shared" ca="1" si="0"/>
        <v xml:space="preserve">1  Años, 1  Mes, 17 Dias </v>
      </c>
      <c r="K36" s="10" t="s">
        <v>113</v>
      </c>
      <c r="L36" s="19"/>
      <c r="M36" s="19" t="str">
        <f t="shared" ca="1" si="6"/>
        <v/>
      </c>
      <c r="N36" s="10" t="s">
        <v>320</v>
      </c>
      <c r="O36" s="10" t="s">
        <v>122</v>
      </c>
      <c r="P36" s="10" t="s">
        <v>142</v>
      </c>
      <c r="Q36" s="18" t="s">
        <v>128</v>
      </c>
      <c r="R36" s="10" t="s">
        <v>133</v>
      </c>
      <c r="S36" s="10" t="s">
        <v>348</v>
      </c>
      <c r="T36" s="10" t="s">
        <v>136</v>
      </c>
      <c r="U36" s="10">
        <v>3022256443</v>
      </c>
      <c r="V36" s="19"/>
      <c r="W36" s="10" t="s">
        <v>839</v>
      </c>
      <c r="X36" s="10" t="s">
        <v>136</v>
      </c>
      <c r="Y36" s="10" t="s">
        <v>253</v>
      </c>
      <c r="Z36" s="10" t="s">
        <v>373</v>
      </c>
      <c r="AA36" s="10">
        <v>3245212892</v>
      </c>
      <c r="AB36" s="10" t="s">
        <v>293</v>
      </c>
      <c r="AC36" s="13">
        <v>45830</v>
      </c>
      <c r="AD36" s="10" t="s">
        <v>209</v>
      </c>
    </row>
    <row r="37" spans="1:30" ht="15.75" customHeight="1" x14ac:dyDescent="0.25">
      <c r="A37" s="10" t="s">
        <v>77</v>
      </c>
      <c r="B37" s="10" t="s">
        <v>86</v>
      </c>
      <c r="C37" s="10" t="s">
        <v>91</v>
      </c>
      <c r="D37" s="10" t="s">
        <v>92</v>
      </c>
      <c r="E37" s="10">
        <v>8760795</v>
      </c>
      <c r="F37" s="23" t="s">
        <v>660</v>
      </c>
      <c r="G37" s="10" t="s">
        <v>32</v>
      </c>
      <c r="H37" s="10" t="s">
        <v>842</v>
      </c>
      <c r="I37" s="13">
        <v>44843</v>
      </c>
      <c r="J37" s="10" t="str">
        <f t="shared" ca="1" si="0"/>
        <v xml:space="preserve">3  Años, 10  Mes, 17 Dias </v>
      </c>
      <c r="K37" s="10" t="s">
        <v>113</v>
      </c>
      <c r="L37" s="19"/>
      <c r="M37" s="19" t="str">
        <f t="shared" ca="1" si="6"/>
        <v/>
      </c>
      <c r="N37" s="10" t="s">
        <v>120</v>
      </c>
      <c r="O37" s="10" t="s">
        <v>122</v>
      </c>
      <c r="P37" s="10" t="s">
        <v>142</v>
      </c>
      <c r="Q37" s="18" t="s">
        <v>128</v>
      </c>
      <c r="R37" s="10" t="s">
        <v>133</v>
      </c>
      <c r="S37" s="10" t="s">
        <v>844</v>
      </c>
      <c r="T37" s="10" t="s">
        <v>136</v>
      </c>
      <c r="U37" s="10">
        <v>3012571381</v>
      </c>
      <c r="V37" s="19"/>
      <c r="W37" s="10" t="s">
        <v>845</v>
      </c>
      <c r="X37" s="10" t="s">
        <v>136</v>
      </c>
      <c r="Y37" s="10" t="s">
        <v>206</v>
      </c>
      <c r="Z37" s="10" t="s">
        <v>216</v>
      </c>
      <c r="AA37" s="24"/>
      <c r="AB37" s="24"/>
      <c r="AC37" s="24"/>
      <c r="AD37" s="10" t="s">
        <v>209</v>
      </c>
    </row>
    <row r="38" spans="1:30" ht="15.75" customHeight="1" x14ac:dyDescent="0.25">
      <c r="A38" s="10" t="s">
        <v>160</v>
      </c>
      <c r="B38" s="10" t="s">
        <v>86</v>
      </c>
      <c r="C38" s="10" t="s">
        <v>91</v>
      </c>
      <c r="D38" s="10" t="s">
        <v>92</v>
      </c>
      <c r="E38" s="10">
        <v>8796948</v>
      </c>
      <c r="F38" s="23" t="s">
        <v>656</v>
      </c>
      <c r="G38" s="10" t="s">
        <v>848</v>
      </c>
      <c r="H38" s="10" t="s">
        <v>849</v>
      </c>
      <c r="I38" s="13">
        <v>44843</v>
      </c>
      <c r="J38" s="10" t="str">
        <f t="shared" ca="1" si="0"/>
        <v xml:space="preserve">3  Años, 10  Mes, 17 Dias </v>
      </c>
      <c r="K38" s="10" t="s">
        <v>113</v>
      </c>
      <c r="L38" s="24"/>
      <c r="M38" s="19" t="str">
        <f t="shared" ca="1" si="6"/>
        <v/>
      </c>
      <c r="N38" s="10" t="s">
        <v>120</v>
      </c>
      <c r="O38" s="10" t="s">
        <v>122</v>
      </c>
      <c r="P38" s="10" t="s">
        <v>210</v>
      </c>
      <c r="Q38" s="18" t="s">
        <v>128</v>
      </c>
      <c r="R38" s="10" t="s">
        <v>133</v>
      </c>
      <c r="S38" s="10" t="s">
        <v>853</v>
      </c>
      <c r="T38" s="10" t="s">
        <v>136</v>
      </c>
      <c r="U38" s="10">
        <v>3015341976</v>
      </c>
      <c r="V38" s="19"/>
      <c r="W38" s="10" t="s">
        <v>855</v>
      </c>
      <c r="X38" s="10" t="s">
        <v>136</v>
      </c>
      <c r="Y38" s="10" t="s">
        <v>206</v>
      </c>
      <c r="Z38" s="10" t="s">
        <v>216</v>
      </c>
      <c r="AA38" s="24"/>
      <c r="AB38" s="24"/>
      <c r="AC38" s="13">
        <v>45830</v>
      </c>
      <c r="AD38" s="10" t="s">
        <v>209</v>
      </c>
    </row>
    <row r="39" spans="1:30" ht="15.75" customHeight="1" x14ac:dyDescent="0.25">
      <c r="A39" s="10" t="s">
        <v>77</v>
      </c>
      <c r="B39" s="10" t="s">
        <v>86</v>
      </c>
      <c r="C39" s="10" t="s">
        <v>91</v>
      </c>
      <c r="D39" s="10" t="s">
        <v>92</v>
      </c>
      <c r="E39" s="10">
        <v>1221967065</v>
      </c>
      <c r="F39" s="23" t="s">
        <v>447</v>
      </c>
      <c r="G39" s="10" t="s">
        <v>11</v>
      </c>
      <c r="H39" s="10" t="s">
        <v>450</v>
      </c>
      <c r="I39" s="13">
        <v>45853</v>
      </c>
      <c r="J39" s="10" t="str">
        <f t="shared" ca="1" si="0"/>
        <v xml:space="preserve">1  Años, 1  Mes, 11 Dias </v>
      </c>
      <c r="K39" s="10" t="s">
        <v>113</v>
      </c>
      <c r="L39" s="13">
        <v>34931</v>
      </c>
      <c r="M39" s="10">
        <f t="shared" ca="1" si="6"/>
        <v>31</v>
      </c>
      <c r="N39" s="10" t="s">
        <v>320</v>
      </c>
      <c r="O39" s="10" t="s">
        <v>122</v>
      </c>
      <c r="P39" s="10" t="s">
        <v>142</v>
      </c>
      <c r="Q39" s="18" t="s">
        <v>128</v>
      </c>
      <c r="R39" s="10" t="s">
        <v>133</v>
      </c>
      <c r="S39" s="10" t="s">
        <v>459</v>
      </c>
      <c r="T39" s="10" t="s">
        <v>136</v>
      </c>
      <c r="U39" s="10">
        <v>3122006692</v>
      </c>
      <c r="V39" s="19"/>
      <c r="W39" s="10" t="s">
        <v>461</v>
      </c>
      <c r="X39" s="10" t="s">
        <v>136</v>
      </c>
      <c r="Y39" s="19"/>
      <c r="Z39" s="19"/>
      <c r="AA39" s="10">
        <v>3043388173</v>
      </c>
      <c r="AB39" s="10" t="s">
        <v>420</v>
      </c>
      <c r="AC39" s="13">
        <v>45863</v>
      </c>
      <c r="AD39" s="10" t="s">
        <v>209</v>
      </c>
    </row>
    <row r="40" spans="1:30" ht="15.75" customHeight="1" x14ac:dyDescent="0.25">
      <c r="A40" s="10" t="s">
        <v>77</v>
      </c>
      <c r="B40" s="10" t="s">
        <v>86</v>
      </c>
      <c r="C40" s="10" t="s">
        <v>91</v>
      </c>
      <c r="D40" s="10" t="s">
        <v>92</v>
      </c>
      <c r="E40" s="10">
        <v>1001879420</v>
      </c>
      <c r="F40" s="23" t="s">
        <v>865</v>
      </c>
      <c r="G40" s="10" t="s">
        <v>18</v>
      </c>
      <c r="H40" s="10" t="s">
        <v>866</v>
      </c>
      <c r="I40" s="13">
        <v>45303</v>
      </c>
      <c r="J40" s="10" t="str">
        <f t="shared" ca="1" si="0"/>
        <v xml:space="preserve">2  Años, 7  Mes, 14 Dias </v>
      </c>
      <c r="K40" s="10" t="s">
        <v>113</v>
      </c>
      <c r="L40" s="52">
        <v>32433</v>
      </c>
      <c r="M40" s="10">
        <f t="shared" ca="1" si="6"/>
        <v>37</v>
      </c>
      <c r="N40" s="10" t="s">
        <v>120</v>
      </c>
      <c r="O40" s="10" t="s">
        <v>122</v>
      </c>
      <c r="P40" s="10" t="s">
        <v>142</v>
      </c>
      <c r="Q40" s="18" t="s">
        <v>128</v>
      </c>
      <c r="R40" s="10" t="s">
        <v>133</v>
      </c>
      <c r="S40" s="10" t="s">
        <v>872</v>
      </c>
      <c r="T40" s="10" t="s">
        <v>136</v>
      </c>
      <c r="U40" s="10">
        <v>3244394422</v>
      </c>
      <c r="V40" s="19"/>
      <c r="W40" s="10" t="s">
        <v>873</v>
      </c>
      <c r="X40" s="10" t="s">
        <v>136</v>
      </c>
      <c r="Y40" s="10" t="s">
        <v>155</v>
      </c>
      <c r="Z40" s="10" t="s">
        <v>255</v>
      </c>
      <c r="AA40" s="63"/>
      <c r="AB40" s="63"/>
      <c r="AC40" s="63"/>
      <c r="AD40" s="10" t="s">
        <v>209</v>
      </c>
    </row>
    <row r="41" spans="1:30" ht="15.75" customHeight="1" x14ac:dyDescent="0.25">
      <c r="A41" s="10" t="s">
        <v>160</v>
      </c>
      <c r="B41" s="10" t="s">
        <v>86</v>
      </c>
      <c r="C41" s="10" t="s">
        <v>91</v>
      </c>
      <c r="D41" s="10" t="s">
        <v>92</v>
      </c>
      <c r="E41" s="12">
        <v>1002236377</v>
      </c>
      <c r="F41" s="15" t="s">
        <v>878</v>
      </c>
      <c r="G41" s="12" t="s">
        <v>688</v>
      </c>
      <c r="H41" s="5"/>
      <c r="I41" s="16">
        <v>45789</v>
      </c>
      <c r="J41" s="10" t="str">
        <f t="shared" ca="1" si="0"/>
        <v xml:space="preserve">1  Años, 3  Mes, 14 Dias </v>
      </c>
      <c r="K41" s="12" t="s">
        <v>113</v>
      </c>
      <c r="L41" s="13">
        <v>37461</v>
      </c>
      <c r="M41" s="10">
        <v>22</v>
      </c>
      <c r="N41" s="10" t="s">
        <v>320</v>
      </c>
      <c r="O41" s="10" t="s">
        <v>236</v>
      </c>
      <c r="P41" s="5"/>
      <c r="Q41" s="18" t="s">
        <v>128</v>
      </c>
      <c r="R41" s="10" t="s">
        <v>133</v>
      </c>
      <c r="S41" s="12" t="s">
        <v>885</v>
      </c>
      <c r="T41" s="5"/>
      <c r="U41" s="12">
        <v>3207424663</v>
      </c>
      <c r="V41" s="5"/>
      <c r="W41" s="12" t="s">
        <v>886</v>
      </c>
      <c r="X41" s="12" t="s">
        <v>136</v>
      </c>
      <c r="Y41" s="12" t="s">
        <v>831</v>
      </c>
      <c r="Z41" s="12" t="s">
        <v>72</v>
      </c>
      <c r="AA41" s="31"/>
      <c r="AB41" s="31"/>
      <c r="AC41" s="31"/>
      <c r="AD41" s="10" t="s">
        <v>209</v>
      </c>
    </row>
    <row r="42" spans="1:30" ht="15.75" customHeight="1" x14ac:dyDescent="0.25">
      <c r="A42" s="10" t="s">
        <v>77</v>
      </c>
      <c r="B42" s="10" t="s">
        <v>86</v>
      </c>
      <c r="C42" s="10" t="s">
        <v>91</v>
      </c>
      <c r="D42" s="10" t="s">
        <v>92</v>
      </c>
      <c r="E42" s="10">
        <v>1002244119</v>
      </c>
      <c r="F42" s="23" t="s">
        <v>653</v>
      </c>
      <c r="G42" s="10" t="s">
        <v>18</v>
      </c>
      <c r="H42" s="29" t="s">
        <v>892</v>
      </c>
      <c r="I42" s="30">
        <v>45251</v>
      </c>
      <c r="J42" s="10" t="str">
        <f t="shared" ca="1" si="0"/>
        <v xml:space="preserve">2  Años, 9  Mes, 5 Dias </v>
      </c>
      <c r="K42" s="10" t="s">
        <v>113</v>
      </c>
      <c r="L42" s="19"/>
      <c r="M42" s="19" t="str">
        <f t="shared" ref="M42:M48" ca="1" si="7">IF(L42=0,"", DATEDIF(L42,TODAY(),"y"))</f>
        <v/>
      </c>
      <c r="N42" s="10" t="s">
        <v>120</v>
      </c>
      <c r="O42" s="10" t="s">
        <v>122</v>
      </c>
      <c r="P42" s="10" t="s">
        <v>142</v>
      </c>
      <c r="Q42" s="18" t="s">
        <v>128</v>
      </c>
      <c r="R42" s="10" t="s">
        <v>133</v>
      </c>
      <c r="S42" s="10" t="s">
        <v>898</v>
      </c>
      <c r="T42" s="10" t="s">
        <v>899</v>
      </c>
      <c r="U42" s="10">
        <v>3207592505</v>
      </c>
      <c r="V42" s="10">
        <v>3207592505</v>
      </c>
      <c r="W42" s="10" t="s">
        <v>902</v>
      </c>
      <c r="X42" s="10" t="s">
        <v>136</v>
      </c>
      <c r="Y42" s="10" t="s">
        <v>206</v>
      </c>
      <c r="Z42" s="10" t="s">
        <v>170</v>
      </c>
      <c r="AA42" s="33"/>
      <c r="AB42" s="33"/>
      <c r="AC42" s="35">
        <v>45290</v>
      </c>
      <c r="AD42" s="19"/>
    </row>
    <row r="43" spans="1:30" ht="15.75" customHeight="1" x14ac:dyDescent="0.25">
      <c r="A43" s="10" t="s">
        <v>160</v>
      </c>
      <c r="B43" s="10" t="s">
        <v>86</v>
      </c>
      <c r="C43" s="10" t="s">
        <v>91</v>
      </c>
      <c r="D43" s="10" t="s">
        <v>92</v>
      </c>
      <c r="E43" s="10">
        <v>85150099</v>
      </c>
      <c r="F43" s="23" t="s">
        <v>651</v>
      </c>
      <c r="G43" s="10" t="s">
        <v>848</v>
      </c>
      <c r="H43" s="29" t="s">
        <v>905</v>
      </c>
      <c r="I43" s="13">
        <v>44843</v>
      </c>
      <c r="J43" s="10" t="str">
        <f t="shared" ca="1" si="0"/>
        <v xml:space="preserve">3  Años, 10  Mes, 17 Dias </v>
      </c>
      <c r="K43" s="10" t="s">
        <v>113</v>
      </c>
      <c r="L43" s="24"/>
      <c r="M43" s="19" t="str">
        <f t="shared" ca="1" si="7"/>
        <v/>
      </c>
      <c r="N43" s="10" t="s">
        <v>120</v>
      </c>
      <c r="O43" s="10" t="s">
        <v>122</v>
      </c>
      <c r="P43" s="10" t="s">
        <v>142</v>
      </c>
      <c r="Q43" s="18" t="s">
        <v>128</v>
      </c>
      <c r="R43" s="10" t="s">
        <v>133</v>
      </c>
      <c r="S43" s="10" t="s">
        <v>909</v>
      </c>
      <c r="T43" s="10" t="s">
        <v>136</v>
      </c>
      <c r="U43" s="10">
        <v>3043811733</v>
      </c>
      <c r="V43" s="19"/>
      <c r="W43" s="10" t="s">
        <v>912</v>
      </c>
      <c r="X43" s="10" t="s">
        <v>136</v>
      </c>
      <c r="Y43" s="10" t="s">
        <v>206</v>
      </c>
      <c r="Z43" s="10" t="s">
        <v>216</v>
      </c>
      <c r="AA43" s="24"/>
      <c r="AB43" s="24"/>
      <c r="AC43" s="13">
        <v>45830</v>
      </c>
      <c r="AD43" s="10" t="s">
        <v>209</v>
      </c>
    </row>
    <row r="44" spans="1:30" ht="15.75" customHeight="1" x14ac:dyDescent="0.25">
      <c r="A44" s="10" t="s">
        <v>77</v>
      </c>
      <c r="B44" s="10" t="s">
        <v>86</v>
      </c>
      <c r="C44" s="10" t="s">
        <v>91</v>
      </c>
      <c r="D44" s="10" t="s">
        <v>92</v>
      </c>
      <c r="E44" s="10">
        <v>72056393</v>
      </c>
      <c r="F44" s="23" t="s">
        <v>917</v>
      </c>
      <c r="G44" s="10" t="s">
        <v>26</v>
      </c>
      <c r="H44" s="10" t="s">
        <v>918</v>
      </c>
      <c r="I44" s="13">
        <v>45423</v>
      </c>
      <c r="J44" s="10" t="str">
        <f t="shared" ca="1" si="0"/>
        <v xml:space="preserve">2  Años, 3  Mes, 15 Dias </v>
      </c>
      <c r="K44" s="10" t="s">
        <v>113</v>
      </c>
      <c r="L44" s="13">
        <v>31218</v>
      </c>
      <c r="M44" s="10">
        <f t="shared" ca="1" si="7"/>
        <v>41</v>
      </c>
      <c r="N44" s="10" t="s">
        <v>120</v>
      </c>
      <c r="O44" s="10" t="s">
        <v>122</v>
      </c>
      <c r="P44" s="10" t="s">
        <v>124</v>
      </c>
      <c r="Q44" s="18" t="s">
        <v>128</v>
      </c>
      <c r="R44" s="10" t="s">
        <v>133</v>
      </c>
      <c r="S44" s="10" t="s">
        <v>921</v>
      </c>
      <c r="T44" s="10" t="s">
        <v>136</v>
      </c>
      <c r="U44" s="10" t="s">
        <v>922</v>
      </c>
      <c r="V44" s="19"/>
      <c r="W44" s="19"/>
      <c r="X44" s="10" t="s">
        <v>136</v>
      </c>
      <c r="Y44" s="19"/>
      <c r="Z44" s="19"/>
      <c r="AA44" s="33"/>
      <c r="AB44" s="33"/>
      <c r="AC44" s="35">
        <v>45656</v>
      </c>
      <c r="AD44" s="19"/>
    </row>
    <row r="45" spans="1:30" ht="15.75" customHeight="1" x14ac:dyDescent="0.25">
      <c r="A45" s="10" t="s">
        <v>77</v>
      </c>
      <c r="B45" s="10" t="s">
        <v>90</v>
      </c>
      <c r="C45" s="10" t="s">
        <v>175</v>
      </c>
      <c r="D45" s="10" t="s">
        <v>92</v>
      </c>
      <c r="E45" s="10">
        <v>1129498997</v>
      </c>
      <c r="F45" s="23" t="s">
        <v>430</v>
      </c>
      <c r="G45" s="10" t="s">
        <v>18</v>
      </c>
      <c r="H45" s="10" t="s">
        <v>432</v>
      </c>
      <c r="I45" s="13">
        <v>45831</v>
      </c>
      <c r="J45" s="10" t="str">
        <f t="shared" ca="1" si="0"/>
        <v xml:space="preserve">1  Años, 2  Mes, 3 Dias </v>
      </c>
      <c r="K45" s="10" t="s">
        <v>113</v>
      </c>
      <c r="L45" s="19"/>
      <c r="M45" s="19" t="str">
        <f t="shared" ca="1" si="7"/>
        <v/>
      </c>
      <c r="N45" s="10" t="s">
        <v>120</v>
      </c>
      <c r="O45" s="10" t="s">
        <v>122</v>
      </c>
      <c r="P45" s="10" t="s">
        <v>142</v>
      </c>
      <c r="Q45" s="18" t="s">
        <v>128</v>
      </c>
      <c r="R45" s="10" t="s">
        <v>133</v>
      </c>
      <c r="S45" s="10" t="s">
        <v>439</v>
      </c>
      <c r="T45" s="10" t="s">
        <v>136</v>
      </c>
      <c r="U45" s="10">
        <v>3246035593</v>
      </c>
      <c r="V45" s="19"/>
      <c r="W45" s="10" t="s">
        <v>442</v>
      </c>
      <c r="X45" s="10" t="s">
        <v>136</v>
      </c>
      <c r="Y45" s="10" t="s">
        <v>253</v>
      </c>
      <c r="Z45" s="10" t="s">
        <v>255</v>
      </c>
      <c r="AA45" s="24"/>
      <c r="AB45" s="24"/>
      <c r="AC45" s="24"/>
      <c r="AD45" s="10" t="s">
        <v>209</v>
      </c>
    </row>
    <row r="46" spans="1:30" ht="15.75" customHeight="1" x14ac:dyDescent="0.25">
      <c r="A46" s="10" t="s">
        <v>77</v>
      </c>
      <c r="B46" s="10" t="s">
        <v>90</v>
      </c>
      <c r="C46" s="10" t="s">
        <v>175</v>
      </c>
      <c r="D46" s="10" t="s">
        <v>92</v>
      </c>
      <c r="E46" s="10">
        <v>72231335</v>
      </c>
      <c r="F46" s="23" t="s">
        <v>649</v>
      </c>
      <c r="G46" s="10" t="s">
        <v>26</v>
      </c>
      <c r="H46" s="10" t="s">
        <v>938</v>
      </c>
      <c r="I46" s="13">
        <v>45880</v>
      </c>
      <c r="J46" s="10" t="str">
        <f t="shared" ca="1" si="0"/>
        <v xml:space="preserve">1  Años, 0  Mes, 15 Dias </v>
      </c>
      <c r="K46" s="10" t="s">
        <v>113</v>
      </c>
      <c r="L46" s="19"/>
      <c r="M46" s="19" t="str">
        <f t="shared" ca="1" si="7"/>
        <v/>
      </c>
      <c r="N46" s="10" t="s">
        <v>120</v>
      </c>
      <c r="O46" s="10" t="s">
        <v>122</v>
      </c>
      <c r="P46" s="10" t="s">
        <v>142</v>
      </c>
      <c r="Q46" s="18" t="s">
        <v>128</v>
      </c>
      <c r="R46" s="10" t="s">
        <v>133</v>
      </c>
      <c r="S46" s="10" t="s">
        <v>815</v>
      </c>
      <c r="T46" s="10" t="s">
        <v>136</v>
      </c>
      <c r="U46" s="10">
        <v>3153165347</v>
      </c>
      <c r="V46" s="19"/>
      <c r="W46" s="10" t="s">
        <v>818</v>
      </c>
      <c r="X46" s="10" t="s">
        <v>136</v>
      </c>
      <c r="Y46" s="10" t="s">
        <v>206</v>
      </c>
      <c r="Z46" s="10" t="s">
        <v>255</v>
      </c>
      <c r="AA46" s="24"/>
      <c r="AB46" s="24"/>
      <c r="AC46" s="13">
        <v>45830</v>
      </c>
      <c r="AD46" s="13" t="s">
        <v>209</v>
      </c>
    </row>
    <row r="47" spans="1:30" ht="15.75" customHeight="1" x14ac:dyDescent="0.25">
      <c r="A47" s="10" t="s">
        <v>77</v>
      </c>
      <c r="B47" s="10" t="s">
        <v>86</v>
      </c>
      <c r="C47" s="10" t="s">
        <v>91</v>
      </c>
      <c r="D47" s="10" t="s">
        <v>92</v>
      </c>
      <c r="E47" s="10">
        <v>73212936</v>
      </c>
      <c r="F47" s="23" t="s">
        <v>646</v>
      </c>
      <c r="G47" s="10" t="s">
        <v>11</v>
      </c>
      <c r="H47" s="10" t="s">
        <v>942</v>
      </c>
      <c r="I47" s="30">
        <v>45283</v>
      </c>
      <c r="J47" s="10" t="str">
        <f t="shared" ca="1" si="0"/>
        <v xml:space="preserve">2  Años, 8  Mes, 3 Dias </v>
      </c>
      <c r="K47" s="10" t="s">
        <v>113</v>
      </c>
      <c r="L47" s="19"/>
      <c r="M47" s="19" t="str">
        <f t="shared" ca="1" si="7"/>
        <v/>
      </c>
      <c r="N47" s="10" t="s">
        <v>120</v>
      </c>
      <c r="O47" s="10" t="s">
        <v>236</v>
      </c>
      <c r="P47" s="10" t="s">
        <v>124</v>
      </c>
      <c r="Q47" s="18" t="s">
        <v>128</v>
      </c>
      <c r="R47" s="10" t="s">
        <v>133</v>
      </c>
      <c r="S47" s="10" t="s">
        <v>946</v>
      </c>
      <c r="T47" s="10" t="s">
        <v>136</v>
      </c>
      <c r="U47" s="10">
        <v>3014538213</v>
      </c>
      <c r="V47" s="10">
        <v>3014538213</v>
      </c>
      <c r="W47" s="10" t="s">
        <v>948</v>
      </c>
      <c r="X47" s="10" t="s">
        <v>136</v>
      </c>
      <c r="Y47" s="10" t="s">
        <v>206</v>
      </c>
      <c r="Z47" s="10" t="s">
        <v>170</v>
      </c>
      <c r="AA47" s="24"/>
      <c r="AB47" s="24"/>
      <c r="AC47" s="13">
        <v>45394</v>
      </c>
      <c r="AD47" s="24"/>
    </row>
    <row r="48" spans="1:30" ht="15.75" customHeight="1" x14ac:dyDescent="0.25">
      <c r="A48" s="10" t="s">
        <v>77</v>
      </c>
      <c r="B48" s="10" t="s">
        <v>86</v>
      </c>
      <c r="C48" s="10" t="s">
        <v>91</v>
      </c>
      <c r="D48" s="10" t="s">
        <v>92</v>
      </c>
      <c r="E48" s="10">
        <v>72244142</v>
      </c>
      <c r="F48" s="23" t="s">
        <v>645</v>
      </c>
      <c r="G48" s="10" t="s">
        <v>26</v>
      </c>
      <c r="H48" s="10" t="s">
        <v>954</v>
      </c>
      <c r="I48" s="13">
        <v>45265</v>
      </c>
      <c r="J48" s="10" t="str">
        <f t="shared" ca="1" si="0"/>
        <v xml:space="preserve">2  Años, 8  Mes, 21 Dias </v>
      </c>
      <c r="K48" s="10" t="s">
        <v>113</v>
      </c>
      <c r="L48" s="19"/>
      <c r="M48" s="19" t="str">
        <f t="shared" ca="1" si="7"/>
        <v/>
      </c>
      <c r="N48" s="10" t="s">
        <v>120</v>
      </c>
      <c r="O48" s="10" t="s">
        <v>122</v>
      </c>
      <c r="P48" s="10" t="s">
        <v>210</v>
      </c>
      <c r="Q48" s="18" t="s">
        <v>128</v>
      </c>
      <c r="R48" s="10" t="s">
        <v>133</v>
      </c>
      <c r="S48" s="10" t="s">
        <v>956</v>
      </c>
      <c r="T48" s="10" t="s">
        <v>151</v>
      </c>
      <c r="U48" s="10">
        <v>3012203066</v>
      </c>
      <c r="V48" s="10">
        <v>3012203066</v>
      </c>
      <c r="W48" s="10" t="s">
        <v>959</v>
      </c>
      <c r="X48" s="10" t="s">
        <v>136</v>
      </c>
      <c r="Y48" s="10" t="s">
        <v>203</v>
      </c>
      <c r="Z48" s="10" t="s">
        <v>170</v>
      </c>
      <c r="AA48" s="24"/>
      <c r="AB48" s="24"/>
      <c r="AC48" s="13">
        <v>45393</v>
      </c>
      <c r="AD48" s="24"/>
    </row>
    <row r="49" spans="1:30" ht="15.75" customHeight="1" x14ac:dyDescent="0.25">
      <c r="A49" s="10" t="s">
        <v>77</v>
      </c>
      <c r="B49" s="10" t="s">
        <v>90</v>
      </c>
      <c r="C49" s="10" t="s">
        <v>175</v>
      </c>
      <c r="D49" s="12" t="s">
        <v>92</v>
      </c>
      <c r="E49" s="12">
        <v>1045685962</v>
      </c>
      <c r="F49" s="15" t="s">
        <v>961</v>
      </c>
      <c r="G49" s="10" t="s">
        <v>26</v>
      </c>
      <c r="H49" s="10" t="s">
        <v>962</v>
      </c>
      <c r="I49" s="13">
        <v>45875</v>
      </c>
      <c r="J49" s="10" t="str">
        <f t="shared" ca="1" si="0"/>
        <v xml:space="preserve">1  Años, 0  Mes, 20 Dias </v>
      </c>
      <c r="K49" s="12" t="s">
        <v>113</v>
      </c>
      <c r="L49" s="16">
        <v>32904</v>
      </c>
      <c r="M49" s="12">
        <v>35</v>
      </c>
      <c r="N49" s="10" t="s">
        <v>120</v>
      </c>
      <c r="O49" s="10" t="s">
        <v>122</v>
      </c>
      <c r="P49" s="12" t="s">
        <v>142</v>
      </c>
      <c r="Q49" s="18" t="s">
        <v>128</v>
      </c>
      <c r="R49" s="12" t="s">
        <v>133</v>
      </c>
      <c r="S49" s="12" t="s">
        <v>968</v>
      </c>
      <c r="T49" s="12" t="s">
        <v>136</v>
      </c>
      <c r="U49" s="12">
        <v>3212818561</v>
      </c>
      <c r="V49" s="5"/>
      <c r="W49" s="12" t="s">
        <v>969</v>
      </c>
      <c r="X49" s="12" t="s">
        <v>136</v>
      </c>
      <c r="Y49" s="12" t="s">
        <v>215</v>
      </c>
      <c r="Z49" s="12" t="s">
        <v>255</v>
      </c>
      <c r="AA49" s="20"/>
      <c r="AB49" s="20"/>
      <c r="AC49" s="20"/>
      <c r="AD49" s="10" t="s">
        <v>209</v>
      </c>
    </row>
    <row r="50" spans="1:30" ht="15.75" customHeight="1" x14ac:dyDescent="0.25">
      <c r="A50" s="10" t="s">
        <v>77</v>
      </c>
      <c r="B50" s="10" t="s">
        <v>86</v>
      </c>
      <c r="C50" s="10" t="s">
        <v>91</v>
      </c>
      <c r="D50" s="10" t="s">
        <v>92</v>
      </c>
      <c r="E50" s="10">
        <v>72173598</v>
      </c>
      <c r="F50" s="23" t="s">
        <v>643</v>
      </c>
      <c r="G50" s="10" t="s">
        <v>26</v>
      </c>
      <c r="H50" s="10" t="s">
        <v>972</v>
      </c>
      <c r="I50" s="13">
        <v>44843</v>
      </c>
      <c r="J50" s="10" t="str">
        <f t="shared" ca="1" si="0"/>
        <v xml:space="preserve">3  Años, 10  Mes, 17 Dias </v>
      </c>
      <c r="K50" s="10" t="s">
        <v>113</v>
      </c>
      <c r="L50" s="19"/>
      <c r="M50" s="19" t="str">
        <f ca="1">IF(L50=0,"", DATEDIF(L50,TODAY(),"y"))</f>
        <v/>
      </c>
      <c r="N50" s="10" t="s">
        <v>120</v>
      </c>
      <c r="O50" s="10" t="s">
        <v>122</v>
      </c>
      <c r="P50" s="10" t="s">
        <v>142</v>
      </c>
      <c r="Q50" s="18" t="s">
        <v>128</v>
      </c>
      <c r="R50" s="10" t="s">
        <v>133</v>
      </c>
      <c r="S50" s="10" t="s">
        <v>979</v>
      </c>
      <c r="T50" s="10" t="s">
        <v>136</v>
      </c>
      <c r="U50" s="10">
        <v>3042855542</v>
      </c>
      <c r="V50" s="19"/>
      <c r="W50" s="10" t="s">
        <v>845</v>
      </c>
      <c r="X50" s="10" t="s">
        <v>136</v>
      </c>
      <c r="Y50" s="10" t="s">
        <v>253</v>
      </c>
      <c r="Z50" s="10" t="s">
        <v>255</v>
      </c>
      <c r="AA50" s="24"/>
      <c r="AB50" s="24"/>
      <c r="AC50" s="13">
        <v>45830</v>
      </c>
      <c r="AD50" s="10" t="s">
        <v>209</v>
      </c>
    </row>
    <row r="51" spans="1:30" ht="15.75" customHeight="1" x14ac:dyDescent="0.25">
      <c r="A51" s="10" t="s">
        <v>160</v>
      </c>
      <c r="B51" s="10" t="s">
        <v>86</v>
      </c>
      <c r="C51" s="10" t="s">
        <v>91</v>
      </c>
      <c r="D51" s="10" t="s">
        <v>92</v>
      </c>
      <c r="E51" s="12">
        <v>1045681533</v>
      </c>
      <c r="F51" s="15" t="s">
        <v>982</v>
      </c>
      <c r="G51" s="12" t="s">
        <v>983</v>
      </c>
      <c r="H51" s="19"/>
      <c r="I51" s="16">
        <v>45538</v>
      </c>
      <c r="J51" s="10" t="str">
        <f t="shared" ca="1" si="0"/>
        <v xml:space="preserve">1  Años, 11  Mes, 23 Dias </v>
      </c>
      <c r="K51" s="10" t="s">
        <v>113</v>
      </c>
      <c r="L51" s="63"/>
      <c r="M51" s="19"/>
      <c r="N51" s="10" t="s">
        <v>320</v>
      </c>
      <c r="O51" s="10" t="s">
        <v>277</v>
      </c>
      <c r="P51" s="12" t="s">
        <v>124</v>
      </c>
      <c r="Q51" s="18" t="s">
        <v>128</v>
      </c>
      <c r="R51" s="10" t="s">
        <v>133</v>
      </c>
      <c r="S51" s="12" t="s">
        <v>987</v>
      </c>
      <c r="T51" s="10" t="s">
        <v>136</v>
      </c>
      <c r="U51" s="12">
        <v>3018016480</v>
      </c>
      <c r="V51" s="19"/>
      <c r="W51" s="12" t="s">
        <v>988</v>
      </c>
      <c r="X51" s="10" t="s">
        <v>136</v>
      </c>
      <c r="Y51" s="12" t="s">
        <v>155</v>
      </c>
      <c r="Z51" s="12" t="s">
        <v>170</v>
      </c>
      <c r="AA51" s="33"/>
      <c r="AB51" s="33"/>
      <c r="AC51" s="35">
        <v>45656</v>
      </c>
      <c r="AD51" s="19"/>
    </row>
    <row r="52" spans="1:30" ht="15.75" customHeight="1" x14ac:dyDescent="0.25">
      <c r="A52" s="10" t="s">
        <v>160</v>
      </c>
      <c r="B52" s="10" t="s">
        <v>90</v>
      </c>
      <c r="C52" s="10" t="s">
        <v>175</v>
      </c>
      <c r="D52" s="10" t="s">
        <v>92</v>
      </c>
      <c r="E52" s="12">
        <v>1001797750</v>
      </c>
      <c r="F52" s="23" t="s">
        <v>677</v>
      </c>
      <c r="G52" s="10" t="s">
        <v>678</v>
      </c>
      <c r="H52" s="10" t="s">
        <v>680</v>
      </c>
      <c r="I52" s="13">
        <v>45831</v>
      </c>
      <c r="J52" s="10" t="str">
        <f t="shared" ca="1" si="0"/>
        <v xml:space="preserve">1  Años, 2  Mes, 3 Dias </v>
      </c>
      <c r="K52" s="12" t="s">
        <v>113</v>
      </c>
      <c r="L52" s="53">
        <v>35000</v>
      </c>
      <c r="M52" s="12">
        <v>29</v>
      </c>
      <c r="N52" s="10" t="s">
        <v>320</v>
      </c>
      <c r="O52" s="10" t="s">
        <v>236</v>
      </c>
      <c r="P52" s="12" t="s">
        <v>124</v>
      </c>
      <c r="Q52" s="18" t="s">
        <v>128</v>
      </c>
      <c r="R52" s="12" t="s">
        <v>133</v>
      </c>
      <c r="S52" s="12" t="s">
        <v>684</v>
      </c>
      <c r="T52" s="12" t="s">
        <v>136</v>
      </c>
      <c r="U52" s="12">
        <v>3245611276</v>
      </c>
      <c r="V52" s="5"/>
      <c r="W52" s="12" t="s">
        <v>685</v>
      </c>
      <c r="X52" s="12" t="s">
        <v>136</v>
      </c>
      <c r="Y52" s="12" t="s">
        <v>539</v>
      </c>
      <c r="Z52" s="12" t="s">
        <v>170</v>
      </c>
      <c r="AA52" s="20"/>
      <c r="AB52" s="20"/>
      <c r="AC52" s="20"/>
      <c r="AD52" s="13" t="s">
        <v>209</v>
      </c>
    </row>
    <row r="53" spans="1:30" ht="15.75" customHeight="1" x14ac:dyDescent="0.25">
      <c r="A53" s="10" t="s">
        <v>77</v>
      </c>
      <c r="B53" s="10" t="s">
        <v>86</v>
      </c>
      <c r="C53" s="10" t="s">
        <v>91</v>
      </c>
      <c r="D53" s="10" t="s">
        <v>92</v>
      </c>
      <c r="E53" s="10">
        <v>1053122294</v>
      </c>
      <c r="F53" s="23" t="s">
        <v>641</v>
      </c>
      <c r="G53" s="10" t="s">
        <v>11</v>
      </c>
      <c r="H53" s="10" t="s">
        <v>1002</v>
      </c>
      <c r="I53" s="13">
        <v>44986</v>
      </c>
      <c r="J53" s="10" t="str">
        <f t="shared" ca="1" si="0"/>
        <v xml:space="preserve">3  Años, 5  Mes, 25 Dias </v>
      </c>
      <c r="K53" s="10" t="s">
        <v>113</v>
      </c>
      <c r="L53" s="63"/>
      <c r="M53" s="19" t="str">
        <f t="shared" ref="M53:M60" ca="1" si="8">IF(L53=0,"", DATEDIF(L53,TODAY(),"y"))</f>
        <v/>
      </c>
      <c r="N53" s="10" t="s">
        <v>120</v>
      </c>
      <c r="O53" s="10" t="s">
        <v>122</v>
      </c>
      <c r="P53" s="10" t="s">
        <v>124</v>
      </c>
      <c r="Q53" s="18" t="s">
        <v>128</v>
      </c>
      <c r="R53" s="10" t="s">
        <v>133</v>
      </c>
      <c r="S53" s="10" t="s">
        <v>1011</v>
      </c>
      <c r="T53" s="10" t="s">
        <v>136</v>
      </c>
      <c r="U53" s="10">
        <v>3014579995</v>
      </c>
      <c r="V53" s="10">
        <v>3014579995</v>
      </c>
      <c r="W53" s="10" t="s">
        <v>1014</v>
      </c>
      <c r="X53" s="10" t="s">
        <v>136</v>
      </c>
      <c r="Y53" s="10" t="s">
        <v>253</v>
      </c>
      <c r="Z53" s="10" t="s">
        <v>170</v>
      </c>
      <c r="AA53" s="24"/>
      <c r="AB53" s="24"/>
      <c r="AC53" s="13">
        <v>45362</v>
      </c>
      <c r="AD53" s="24"/>
    </row>
    <row r="54" spans="1:30" ht="15.75" customHeight="1" x14ac:dyDescent="0.25">
      <c r="A54" s="10" t="s">
        <v>77</v>
      </c>
      <c r="B54" s="10" t="s">
        <v>90</v>
      </c>
      <c r="C54" s="10" t="s">
        <v>175</v>
      </c>
      <c r="D54" s="10" t="s">
        <v>92</v>
      </c>
      <c r="E54" s="12">
        <v>5799530</v>
      </c>
      <c r="F54" s="15" t="s">
        <v>481</v>
      </c>
      <c r="G54" s="10" t="s">
        <v>655</v>
      </c>
      <c r="H54" s="10" t="s">
        <v>483</v>
      </c>
      <c r="I54" s="16">
        <v>45870</v>
      </c>
      <c r="J54" s="10" t="str">
        <f t="shared" ca="1" si="0"/>
        <v xml:space="preserve">1  Años, 0  Mes, 25 Dias </v>
      </c>
      <c r="K54" s="12" t="s">
        <v>113</v>
      </c>
      <c r="L54" s="16">
        <v>32361</v>
      </c>
      <c r="M54" s="10">
        <f t="shared" ca="1" si="8"/>
        <v>38</v>
      </c>
      <c r="N54" s="10" t="s">
        <v>120</v>
      </c>
      <c r="O54" s="10" t="s">
        <v>122</v>
      </c>
      <c r="P54" s="5"/>
      <c r="Q54" s="18" t="s">
        <v>128</v>
      </c>
      <c r="R54" s="10" t="s">
        <v>133</v>
      </c>
      <c r="S54" s="12" t="s">
        <v>492</v>
      </c>
      <c r="T54" s="12" t="s">
        <v>136</v>
      </c>
      <c r="U54" s="12">
        <v>3002921153</v>
      </c>
      <c r="V54" s="5"/>
      <c r="W54" s="5"/>
      <c r="X54" s="10" t="s">
        <v>136</v>
      </c>
      <c r="Y54" s="5"/>
      <c r="Z54" s="5"/>
      <c r="AA54" s="20"/>
      <c r="AB54" s="20"/>
      <c r="AC54" s="20"/>
      <c r="AD54" s="13" t="s">
        <v>209</v>
      </c>
    </row>
    <row r="55" spans="1:30" ht="15.75" customHeight="1" x14ac:dyDescent="0.25">
      <c r="A55" s="10" t="s">
        <v>160</v>
      </c>
      <c r="B55" s="10" t="s">
        <v>86</v>
      </c>
      <c r="C55" s="10" t="s">
        <v>91</v>
      </c>
      <c r="D55" s="10" t="s">
        <v>92</v>
      </c>
      <c r="E55" s="10">
        <v>1001995669</v>
      </c>
      <c r="F55" s="23" t="s">
        <v>1025</v>
      </c>
      <c r="G55" s="10" t="s">
        <v>754</v>
      </c>
      <c r="H55" s="10" t="s">
        <v>1026</v>
      </c>
      <c r="I55" s="13">
        <v>45188</v>
      </c>
      <c r="J55" s="10" t="str">
        <f t="shared" ca="1" si="0"/>
        <v xml:space="preserve">2  Años, 11  Mes, 7 Dias </v>
      </c>
      <c r="K55" s="10" t="s">
        <v>113</v>
      </c>
      <c r="L55" s="19"/>
      <c r="M55" s="19" t="str">
        <f t="shared" ca="1" si="8"/>
        <v/>
      </c>
      <c r="N55" s="10" t="s">
        <v>120</v>
      </c>
      <c r="O55" s="10" t="s">
        <v>122</v>
      </c>
      <c r="P55" s="10" t="s">
        <v>124</v>
      </c>
      <c r="Q55" s="18" t="s">
        <v>128</v>
      </c>
      <c r="R55" s="10" t="s">
        <v>133</v>
      </c>
      <c r="S55" s="10" t="s">
        <v>1030</v>
      </c>
      <c r="T55" s="10" t="s">
        <v>136</v>
      </c>
      <c r="U55" s="10">
        <v>3012657835</v>
      </c>
      <c r="V55" s="19"/>
      <c r="W55" s="10" t="s">
        <v>1032</v>
      </c>
      <c r="X55" s="10" t="s">
        <v>136</v>
      </c>
      <c r="Y55" s="10" t="s">
        <v>253</v>
      </c>
      <c r="Z55" s="10" t="s">
        <v>170</v>
      </c>
      <c r="AA55" s="24"/>
      <c r="AB55" s="24"/>
      <c r="AC55" s="13">
        <v>45451</v>
      </c>
      <c r="AD55" s="24"/>
    </row>
    <row r="56" spans="1:30" ht="15.75" customHeight="1" x14ac:dyDescent="0.25">
      <c r="A56" s="10" t="s">
        <v>160</v>
      </c>
      <c r="B56" s="10" t="s">
        <v>86</v>
      </c>
      <c r="C56" s="10" t="s">
        <v>91</v>
      </c>
      <c r="D56" s="10" t="s">
        <v>92</v>
      </c>
      <c r="E56" s="10">
        <v>1001995669</v>
      </c>
      <c r="F56" s="23" t="s">
        <v>1025</v>
      </c>
      <c r="G56" s="12" t="s">
        <v>1034</v>
      </c>
      <c r="H56" s="10" t="s">
        <v>1026</v>
      </c>
      <c r="I56" s="13">
        <v>45831</v>
      </c>
      <c r="J56" s="10" t="str">
        <f t="shared" ca="1" si="0"/>
        <v xml:space="preserve">1  Años, 2  Mes, 3 Dias </v>
      </c>
      <c r="K56" s="10" t="s">
        <v>113</v>
      </c>
      <c r="L56" s="19"/>
      <c r="M56" s="19" t="str">
        <f t="shared" ca="1" si="8"/>
        <v/>
      </c>
      <c r="N56" s="10" t="s">
        <v>120</v>
      </c>
      <c r="O56" s="10" t="s">
        <v>122</v>
      </c>
      <c r="P56" s="10" t="s">
        <v>124</v>
      </c>
      <c r="Q56" s="18" t="s">
        <v>128</v>
      </c>
      <c r="R56" s="10" t="s">
        <v>133</v>
      </c>
      <c r="S56" s="10" t="s">
        <v>1030</v>
      </c>
      <c r="T56" s="10" t="s">
        <v>136</v>
      </c>
      <c r="U56" s="10">
        <v>3012657835</v>
      </c>
      <c r="V56" s="19"/>
      <c r="W56" s="10" t="s">
        <v>1032</v>
      </c>
      <c r="X56" s="10" t="s">
        <v>136</v>
      </c>
      <c r="Y56" s="10" t="s">
        <v>253</v>
      </c>
      <c r="Z56" s="10" t="s">
        <v>170</v>
      </c>
      <c r="AA56" s="24"/>
      <c r="AB56" s="24"/>
      <c r="AC56" s="13">
        <v>45842</v>
      </c>
      <c r="AD56" s="13" t="s">
        <v>209</v>
      </c>
    </row>
    <row r="57" spans="1:30" ht="15.75" customHeight="1" x14ac:dyDescent="0.25">
      <c r="A57" s="10" t="s">
        <v>77</v>
      </c>
      <c r="B57" s="10" t="s">
        <v>86</v>
      </c>
      <c r="C57" s="10" t="s">
        <v>91</v>
      </c>
      <c r="D57" s="10" t="s">
        <v>92</v>
      </c>
      <c r="E57" s="10">
        <v>1044601542</v>
      </c>
      <c r="F57" s="23" t="s">
        <v>640</v>
      </c>
      <c r="G57" s="10" t="s">
        <v>11</v>
      </c>
      <c r="H57" s="10" t="s">
        <v>1041</v>
      </c>
      <c r="I57" s="30">
        <v>45275</v>
      </c>
      <c r="J57" s="10" t="str">
        <f t="shared" ca="1" si="0"/>
        <v xml:space="preserve">2  Años, 8  Mes, 11 Dias </v>
      </c>
      <c r="K57" s="10" t="s">
        <v>113</v>
      </c>
      <c r="L57" s="19"/>
      <c r="M57" s="19" t="str">
        <f t="shared" ca="1" si="8"/>
        <v/>
      </c>
      <c r="N57" s="10" t="s">
        <v>120</v>
      </c>
      <c r="O57" s="10" t="s">
        <v>122</v>
      </c>
      <c r="P57" s="10" t="s">
        <v>124</v>
      </c>
      <c r="Q57" s="18" t="s">
        <v>128</v>
      </c>
      <c r="R57" s="10" t="s">
        <v>133</v>
      </c>
      <c r="S57" s="10" t="s">
        <v>1045</v>
      </c>
      <c r="T57" s="10" t="s">
        <v>136</v>
      </c>
      <c r="U57" s="10">
        <v>3042120619</v>
      </c>
      <c r="V57" s="10">
        <v>3042120619</v>
      </c>
      <c r="W57" s="10" t="s">
        <v>1046</v>
      </c>
      <c r="X57" s="10" t="s">
        <v>136</v>
      </c>
      <c r="Y57" s="10" t="s">
        <v>791</v>
      </c>
      <c r="Z57" s="10" t="s">
        <v>216</v>
      </c>
      <c r="AA57" s="24"/>
      <c r="AB57" s="24"/>
      <c r="AC57" s="13">
        <v>45329</v>
      </c>
      <c r="AD57" s="24"/>
    </row>
    <row r="58" spans="1:30" ht="15.75" customHeight="1" x14ac:dyDescent="0.25">
      <c r="A58" s="10" t="s">
        <v>77</v>
      </c>
      <c r="B58" s="10" t="s">
        <v>86</v>
      </c>
      <c r="C58" s="10" t="s">
        <v>91</v>
      </c>
      <c r="D58" s="10" t="s">
        <v>92</v>
      </c>
      <c r="E58" s="10">
        <v>1042994386</v>
      </c>
      <c r="F58" s="23" t="s">
        <v>638</v>
      </c>
      <c r="G58" s="10" t="s">
        <v>26</v>
      </c>
      <c r="H58" s="10" t="s">
        <v>1049</v>
      </c>
      <c r="I58" s="13">
        <v>45497</v>
      </c>
      <c r="J58" s="10" t="str">
        <f t="shared" ca="1" si="0"/>
        <v xml:space="preserve">2  Años, 1  Mes, 2 Dias </v>
      </c>
      <c r="K58" s="10" t="s">
        <v>113</v>
      </c>
      <c r="L58" s="19"/>
      <c r="M58" s="19" t="str">
        <f t="shared" ca="1" si="8"/>
        <v/>
      </c>
      <c r="N58" s="10" t="s">
        <v>120</v>
      </c>
      <c r="O58" s="10" t="s">
        <v>122</v>
      </c>
      <c r="P58" s="10" t="s">
        <v>124</v>
      </c>
      <c r="Q58" s="18" t="s">
        <v>128</v>
      </c>
      <c r="R58" s="10" t="s">
        <v>133</v>
      </c>
      <c r="S58" s="10" t="s">
        <v>1052</v>
      </c>
      <c r="T58" s="10" t="s">
        <v>136</v>
      </c>
      <c r="U58" s="10">
        <v>3225154016</v>
      </c>
      <c r="V58" s="19"/>
      <c r="W58" s="10" t="s">
        <v>1053</v>
      </c>
      <c r="X58" s="10" t="s">
        <v>136</v>
      </c>
      <c r="Y58" s="10" t="s">
        <v>203</v>
      </c>
      <c r="Z58" s="10" t="s">
        <v>170</v>
      </c>
      <c r="AA58" s="24"/>
      <c r="AB58" s="24"/>
      <c r="AC58" s="13">
        <v>45399</v>
      </c>
      <c r="AD58" s="24"/>
    </row>
    <row r="59" spans="1:30" ht="15.75" customHeight="1" x14ac:dyDescent="0.25">
      <c r="A59" s="10" t="s">
        <v>77</v>
      </c>
      <c r="B59" s="10" t="s">
        <v>86</v>
      </c>
      <c r="C59" s="10" t="s">
        <v>91</v>
      </c>
      <c r="D59" s="10" t="s">
        <v>92</v>
      </c>
      <c r="E59" s="10">
        <v>72259532</v>
      </c>
      <c r="F59" s="23" t="s">
        <v>634</v>
      </c>
      <c r="G59" s="10" t="s">
        <v>26</v>
      </c>
      <c r="H59" s="46" t="s">
        <v>1055</v>
      </c>
      <c r="I59" s="13">
        <v>45063</v>
      </c>
      <c r="J59" s="10" t="str">
        <f t="shared" ca="1" si="0"/>
        <v xml:space="preserve">3  Años, 3  Mes, 9 Dias </v>
      </c>
      <c r="K59" s="10" t="s">
        <v>113</v>
      </c>
      <c r="L59" s="24"/>
      <c r="M59" s="19" t="str">
        <f t="shared" ca="1" si="8"/>
        <v/>
      </c>
      <c r="N59" s="10" t="s">
        <v>120</v>
      </c>
      <c r="O59" s="10" t="s">
        <v>122</v>
      </c>
      <c r="P59" s="10" t="s">
        <v>142</v>
      </c>
      <c r="Q59" s="18" t="s">
        <v>128</v>
      </c>
      <c r="R59" s="10" t="s">
        <v>133</v>
      </c>
      <c r="S59" s="10" t="s">
        <v>1057</v>
      </c>
      <c r="T59" s="10" t="s">
        <v>507</v>
      </c>
      <c r="U59" s="10">
        <v>3052728812</v>
      </c>
      <c r="V59" s="10">
        <v>3052728812</v>
      </c>
      <c r="W59" s="10" t="s">
        <v>1059</v>
      </c>
      <c r="X59" s="10" t="s">
        <v>136</v>
      </c>
      <c r="Y59" s="10" t="s">
        <v>206</v>
      </c>
      <c r="Z59" s="10" t="s">
        <v>216</v>
      </c>
      <c r="AA59" s="24"/>
      <c r="AB59" s="24"/>
      <c r="AC59" s="13">
        <v>45830</v>
      </c>
      <c r="AD59" s="13" t="s">
        <v>209</v>
      </c>
    </row>
    <row r="60" spans="1:30" ht="15.75" customHeight="1" x14ac:dyDescent="0.25">
      <c r="A60" s="10" t="s">
        <v>77</v>
      </c>
      <c r="B60" s="10" t="s">
        <v>86</v>
      </c>
      <c r="C60" s="10" t="s">
        <v>91</v>
      </c>
      <c r="D60" s="10" t="s">
        <v>92</v>
      </c>
      <c r="E60" s="10">
        <v>1001891780</v>
      </c>
      <c r="F60" s="23" t="s">
        <v>1063</v>
      </c>
      <c r="G60" s="10" t="s">
        <v>11</v>
      </c>
      <c r="H60" s="10" t="s">
        <v>1064</v>
      </c>
      <c r="I60" s="13">
        <v>45309</v>
      </c>
      <c r="J60" s="10" t="str">
        <f t="shared" ca="1" si="0"/>
        <v xml:space="preserve">2  Años, 7  Mes, 8 Dias </v>
      </c>
      <c r="K60" s="10" t="s">
        <v>113</v>
      </c>
      <c r="L60" s="13">
        <v>37944</v>
      </c>
      <c r="M60" s="10">
        <f t="shared" ca="1" si="8"/>
        <v>22</v>
      </c>
      <c r="N60" s="10" t="s">
        <v>120</v>
      </c>
      <c r="O60" s="10" t="s">
        <v>236</v>
      </c>
      <c r="P60" s="10" t="s">
        <v>142</v>
      </c>
      <c r="Q60" s="18" t="s">
        <v>128</v>
      </c>
      <c r="R60" s="10" t="s">
        <v>133</v>
      </c>
      <c r="S60" s="10" t="s">
        <v>1067</v>
      </c>
      <c r="T60" s="10" t="s">
        <v>136</v>
      </c>
      <c r="U60" s="10">
        <v>3007104410</v>
      </c>
      <c r="V60" s="19"/>
      <c r="W60" s="40" t="s">
        <v>1069</v>
      </c>
      <c r="X60" s="10" t="s">
        <v>136</v>
      </c>
      <c r="Y60" s="10" t="s">
        <v>169</v>
      </c>
      <c r="Z60" s="10" t="s">
        <v>170</v>
      </c>
      <c r="AA60" s="24"/>
      <c r="AB60" s="24"/>
      <c r="AC60" s="13">
        <v>45352</v>
      </c>
      <c r="AD60" s="24"/>
    </row>
    <row r="61" spans="1:30" ht="15.75" customHeight="1" x14ac:dyDescent="0.25">
      <c r="A61" s="10" t="s">
        <v>160</v>
      </c>
      <c r="B61" s="10" t="s">
        <v>86</v>
      </c>
      <c r="C61" s="10" t="s">
        <v>91</v>
      </c>
      <c r="D61" s="10" t="s">
        <v>92</v>
      </c>
      <c r="E61" s="10">
        <v>1044431473</v>
      </c>
      <c r="F61" s="23" t="s">
        <v>1079</v>
      </c>
      <c r="G61" s="10" t="s">
        <v>1080</v>
      </c>
      <c r="H61" s="10" t="s">
        <v>1081</v>
      </c>
      <c r="I61" s="13">
        <v>45526</v>
      </c>
      <c r="J61" s="10" t="str">
        <f t="shared" ca="1" si="0"/>
        <v xml:space="preserve">2  Años, 0  Mes, 4 Dias </v>
      </c>
      <c r="K61" s="10" t="s">
        <v>113</v>
      </c>
      <c r="L61" s="19"/>
      <c r="M61" s="19"/>
      <c r="N61" s="10" t="s">
        <v>320</v>
      </c>
      <c r="O61" s="10" t="s">
        <v>122</v>
      </c>
      <c r="P61" s="10">
        <v>0</v>
      </c>
      <c r="Q61" s="18" t="s">
        <v>128</v>
      </c>
      <c r="R61" s="10" t="s">
        <v>133</v>
      </c>
      <c r="S61" s="10" t="s">
        <v>1085</v>
      </c>
      <c r="T61" s="10" t="s">
        <v>136</v>
      </c>
      <c r="U61" s="10">
        <v>3046519098</v>
      </c>
      <c r="V61" s="19"/>
      <c r="W61" s="10" t="s">
        <v>1086</v>
      </c>
      <c r="X61" s="10" t="s">
        <v>1087</v>
      </c>
      <c r="Y61" s="10" t="s">
        <v>539</v>
      </c>
      <c r="Z61" s="10" t="s">
        <v>170</v>
      </c>
      <c r="AA61" s="33"/>
      <c r="AB61" s="33"/>
      <c r="AC61" s="35">
        <v>45656</v>
      </c>
      <c r="AD61" s="24"/>
    </row>
    <row r="62" spans="1:30" ht="15.75" customHeight="1" x14ac:dyDescent="0.25">
      <c r="A62" s="10" t="s">
        <v>77</v>
      </c>
      <c r="B62" s="10" t="s">
        <v>86</v>
      </c>
      <c r="C62" s="10" t="s">
        <v>91</v>
      </c>
      <c r="D62" s="10" t="s">
        <v>92</v>
      </c>
      <c r="E62" s="10">
        <v>1140818668</v>
      </c>
      <c r="F62" s="23" t="s">
        <v>633</v>
      </c>
      <c r="G62" s="10" t="s">
        <v>238</v>
      </c>
      <c r="H62" s="10" t="s">
        <v>1089</v>
      </c>
      <c r="I62" s="30">
        <v>45220</v>
      </c>
      <c r="J62" s="10" t="str">
        <f t="shared" ca="1" si="0"/>
        <v xml:space="preserve">2  Años, 10  Mes, 5 Dias </v>
      </c>
      <c r="K62" s="10" t="s">
        <v>113</v>
      </c>
      <c r="L62" s="24"/>
      <c r="M62" s="19" t="str">
        <f t="shared" ref="M62:M64" ca="1" si="9">IF(L62=0,"", DATEDIF(L62,TODAY(),"y"))</f>
        <v/>
      </c>
      <c r="N62" s="10" t="s">
        <v>120</v>
      </c>
      <c r="O62" s="10" t="s">
        <v>122</v>
      </c>
      <c r="P62" s="10" t="s">
        <v>142</v>
      </c>
      <c r="Q62" s="18" t="s">
        <v>128</v>
      </c>
      <c r="R62" s="10" t="s">
        <v>133</v>
      </c>
      <c r="S62" s="10" t="s">
        <v>1096</v>
      </c>
      <c r="T62" s="10" t="s">
        <v>136</v>
      </c>
      <c r="U62" s="10">
        <v>3216096647</v>
      </c>
      <c r="V62" s="10">
        <v>3609865</v>
      </c>
      <c r="W62" s="10" t="s">
        <v>1097</v>
      </c>
      <c r="X62" s="10" t="s">
        <v>136</v>
      </c>
      <c r="Y62" s="10" t="s">
        <v>206</v>
      </c>
      <c r="Z62" s="10" t="s">
        <v>255</v>
      </c>
      <c r="AA62" s="24"/>
      <c r="AB62" s="24"/>
      <c r="AC62" s="13">
        <v>45391</v>
      </c>
      <c r="AD62" s="24"/>
    </row>
    <row r="63" spans="1:30" ht="15.75" customHeight="1" x14ac:dyDescent="0.25">
      <c r="A63" s="10" t="s">
        <v>160</v>
      </c>
      <c r="B63" s="10" t="s">
        <v>90</v>
      </c>
      <c r="C63" s="10" t="s">
        <v>175</v>
      </c>
      <c r="D63" s="12" t="s">
        <v>92</v>
      </c>
      <c r="E63" s="12">
        <v>1140904903</v>
      </c>
      <c r="F63" s="23" t="s">
        <v>1100</v>
      </c>
      <c r="G63" s="10" t="s">
        <v>1102</v>
      </c>
      <c r="H63" s="12" t="s">
        <v>1103</v>
      </c>
      <c r="I63" s="13">
        <v>45831</v>
      </c>
      <c r="J63" s="10" t="str">
        <f t="shared" ca="1" si="0"/>
        <v xml:space="preserve">1  Años, 2  Mes, 3 Dias </v>
      </c>
      <c r="K63" s="12" t="s">
        <v>113</v>
      </c>
      <c r="L63" s="16">
        <v>36470</v>
      </c>
      <c r="M63" s="10">
        <f t="shared" ca="1" si="9"/>
        <v>26</v>
      </c>
      <c r="N63" s="10" t="s">
        <v>120</v>
      </c>
      <c r="O63" s="10" t="s">
        <v>122</v>
      </c>
      <c r="P63" s="12" t="s">
        <v>124</v>
      </c>
      <c r="Q63" s="18" t="s">
        <v>128</v>
      </c>
      <c r="R63" s="12" t="s">
        <v>133</v>
      </c>
      <c r="S63" s="5"/>
      <c r="T63" s="12" t="s">
        <v>136</v>
      </c>
      <c r="U63" s="12">
        <v>3153617881</v>
      </c>
      <c r="V63" s="5"/>
      <c r="W63" s="12" t="s">
        <v>1106</v>
      </c>
      <c r="X63" s="12" t="s">
        <v>136</v>
      </c>
      <c r="Y63" s="5"/>
      <c r="Z63" s="5"/>
      <c r="AA63" s="20"/>
      <c r="AB63" s="20"/>
      <c r="AC63" s="20"/>
      <c r="AD63" s="10" t="s">
        <v>209</v>
      </c>
    </row>
    <row r="64" spans="1:30" ht="15.75" customHeight="1" x14ac:dyDescent="0.25">
      <c r="A64" s="10" t="s">
        <v>77</v>
      </c>
      <c r="B64" s="10" t="s">
        <v>90</v>
      </c>
      <c r="C64" s="10" t="s">
        <v>175</v>
      </c>
      <c r="D64" s="10" t="s">
        <v>92</v>
      </c>
      <c r="E64" s="10">
        <v>8499245</v>
      </c>
      <c r="F64" s="23" t="s">
        <v>299</v>
      </c>
      <c r="G64" s="10" t="s">
        <v>741</v>
      </c>
      <c r="H64" s="10" t="s">
        <v>981</v>
      </c>
      <c r="I64" s="13">
        <v>45862</v>
      </c>
      <c r="J64" s="10" t="str">
        <f t="shared" ca="1" si="0"/>
        <v xml:space="preserve">1  Años, 1  Mes, 2 Dias </v>
      </c>
      <c r="K64" s="10" t="s">
        <v>113</v>
      </c>
      <c r="L64" s="13">
        <v>31243</v>
      </c>
      <c r="M64" s="10">
        <f t="shared" ca="1" si="9"/>
        <v>41</v>
      </c>
      <c r="N64" s="10" t="s">
        <v>120</v>
      </c>
      <c r="O64" s="10" t="s">
        <v>122</v>
      </c>
      <c r="P64" s="10" t="s">
        <v>142</v>
      </c>
      <c r="Q64" s="18" t="s">
        <v>128</v>
      </c>
      <c r="R64" s="10" t="s">
        <v>133</v>
      </c>
      <c r="S64" s="10" t="s">
        <v>989</v>
      </c>
      <c r="T64" s="10" t="s">
        <v>990</v>
      </c>
      <c r="U64" s="10">
        <v>3052117430</v>
      </c>
      <c r="V64" s="19"/>
      <c r="W64" s="10" t="s">
        <v>991</v>
      </c>
      <c r="X64" s="10" t="s">
        <v>136</v>
      </c>
      <c r="Y64" s="10" t="s">
        <v>206</v>
      </c>
      <c r="Z64" s="10" t="s">
        <v>170</v>
      </c>
      <c r="AA64" s="24"/>
      <c r="AB64" s="24"/>
      <c r="AC64" s="13">
        <v>45757</v>
      </c>
      <c r="AD64" s="13" t="s">
        <v>1114</v>
      </c>
    </row>
    <row r="65" spans="1:30" ht="15.75" customHeight="1" x14ac:dyDescent="0.25">
      <c r="A65" s="10" t="s">
        <v>77</v>
      </c>
      <c r="B65" s="10" t="s">
        <v>86</v>
      </c>
      <c r="C65" s="10" t="s">
        <v>91</v>
      </c>
      <c r="D65" s="10" t="s">
        <v>92</v>
      </c>
      <c r="E65" s="10">
        <v>8786919</v>
      </c>
      <c r="F65" s="23" t="s">
        <v>1116</v>
      </c>
      <c r="G65" s="10" t="s">
        <v>26</v>
      </c>
      <c r="H65" s="10" t="s">
        <v>1117</v>
      </c>
      <c r="I65" s="13">
        <v>45422</v>
      </c>
      <c r="J65" s="10" t="str">
        <f t="shared" ca="1" si="0"/>
        <v xml:space="preserve">2  Años, 3  Mes, 16 Dias </v>
      </c>
      <c r="K65" s="10" t="s">
        <v>113</v>
      </c>
      <c r="L65" s="36">
        <v>38412</v>
      </c>
      <c r="M65" s="10">
        <v>19</v>
      </c>
      <c r="N65" s="10" t="s">
        <v>320</v>
      </c>
      <c r="O65" s="10" t="s">
        <v>122</v>
      </c>
      <c r="P65" s="10" t="s">
        <v>142</v>
      </c>
      <c r="Q65" s="18" t="s">
        <v>128</v>
      </c>
      <c r="R65" s="10" t="s">
        <v>133</v>
      </c>
      <c r="S65" s="10" t="s">
        <v>1121</v>
      </c>
      <c r="T65" s="10" t="s">
        <v>1122</v>
      </c>
      <c r="U65" s="10" t="s">
        <v>1123</v>
      </c>
      <c r="V65" s="19"/>
      <c r="W65" s="59" t="s">
        <v>1124</v>
      </c>
      <c r="X65" s="10" t="s">
        <v>136</v>
      </c>
      <c r="Y65" s="37" t="s">
        <v>169</v>
      </c>
      <c r="Z65" s="10" t="s">
        <v>170</v>
      </c>
      <c r="AA65" s="33"/>
      <c r="AB65" s="33"/>
      <c r="AC65" s="35">
        <v>45656</v>
      </c>
      <c r="AD65" s="24"/>
    </row>
    <row r="66" spans="1:30" ht="15.75" customHeight="1" x14ac:dyDescent="0.25">
      <c r="A66" s="10" t="s">
        <v>77</v>
      </c>
      <c r="B66" s="10" t="s">
        <v>86</v>
      </c>
      <c r="C66" s="10" t="s">
        <v>91</v>
      </c>
      <c r="D66" s="10" t="s">
        <v>92</v>
      </c>
      <c r="E66" s="10">
        <v>1129513527</v>
      </c>
      <c r="F66" s="23" t="s">
        <v>1131</v>
      </c>
      <c r="G66" s="10" t="s">
        <v>26</v>
      </c>
      <c r="H66" s="10" t="s">
        <v>1132</v>
      </c>
      <c r="I66" s="13">
        <v>45497</v>
      </c>
      <c r="J66" s="10" t="str">
        <f t="shared" ca="1" si="0"/>
        <v xml:space="preserve">2  Años, 1  Mes, 2 Dias </v>
      </c>
      <c r="K66" s="10" t="s">
        <v>113</v>
      </c>
      <c r="L66" s="19"/>
      <c r="M66" s="19"/>
      <c r="N66" s="10" t="s">
        <v>120</v>
      </c>
      <c r="O66" s="10" t="s">
        <v>122</v>
      </c>
      <c r="P66" s="10" t="s">
        <v>142</v>
      </c>
      <c r="Q66" s="18" t="s">
        <v>128</v>
      </c>
      <c r="R66" s="10" t="s">
        <v>133</v>
      </c>
      <c r="S66" s="10" t="s">
        <v>1137</v>
      </c>
      <c r="T66" s="10" t="s">
        <v>136</v>
      </c>
      <c r="U66" s="10">
        <v>3052116945</v>
      </c>
      <c r="V66" s="19"/>
      <c r="W66" s="40" t="s">
        <v>1139</v>
      </c>
      <c r="X66" s="10" t="s">
        <v>136</v>
      </c>
      <c r="Y66" s="10" t="s">
        <v>155</v>
      </c>
      <c r="Z66" s="10" t="s">
        <v>170</v>
      </c>
      <c r="AA66" s="24"/>
      <c r="AB66" s="24"/>
      <c r="AC66" s="13">
        <v>45505</v>
      </c>
      <c r="AD66" s="24"/>
    </row>
    <row r="67" spans="1:30" ht="15.75" customHeight="1" x14ac:dyDescent="0.25">
      <c r="A67" s="10" t="s">
        <v>77</v>
      </c>
      <c r="B67" s="10" t="s">
        <v>86</v>
      </c>
      <c r="C67" s="10" t="s">
        <v>91</v>
      </c>
      <c r="D67" s="10" t="s">
        <v>92</v>
      </c>
      <c r="E67" s="10">
        <v>72249584</v>
      </c>
      <c r="F67" s="23" t="s">
        <v>629</v>
      </c>
      <c r="G67" s="10" t="s">
        <v>11</v>
      </c>
      <c r="H67" s="10" t="s">
        <v>1140</v>
      </c>
      <c r="I67" s="13">
        <v>44843</v>
      </c>
      <c r="J67" s="10" t="str">
        <f t="shared" ca="1" si="0"/>
        <v xml:space="preserve">3  Años, 10  Mes, 17 Dias </v>
      </c>
      <c r="K67" s="10" t="s">
        <v>113</v>
      </c>
      <c r="L67" s="19"/>
      <c r="M67" s="19" t="str">
        <f t="shared" ref="M67:M69" ca="1" si="10">IF(L67=0,"", DATEDIF(L67,TODAY(),"y"))</f>
        <v/>
      </c>
      <c r="N67" s="10" t="s">
        <v>120</v>
      </c>
      <c r="O67" s="10" t="s">
        <v>122</v>
      </c>
      <c r="P67" s="10" t="s">
        <v>142</v>
      </c>
      <c r="Q67" s="18" t="s">
        <v>128</v>
      </c>
      <c r="R67" s="10" t="s">
        <v>133</v>
      </c>
      <c r="S67" s="10" t="s">
        <v>1147</v>
      </c>
      <c r="T67" s="10" t="s">
        <v>136</v>
      </c>
      <c r="U67" s="10">
        <v>3044194194</v>
      </c>
      <c r="V67" s="19"/>
      <c r="W67" s="10" t="s">
        <v>1149</v>
      </c>
      <c r="X67" s="10" t="s">
        <v>136</v>
      </c>
      <c r="Y67" s="10" t="s">
        <v>206</v>
      </c>
      <c r="Z67" s="10" t="s">
        <v>216</v>
      </c>
      <c r="AA67" s="24"/>
      <c r="AB67" s="24"/>
      <c r="AC67" s="13">
        <v>45830</v>
      </c>
      <c r="AD67" s="10" t="s">
        <v>209</v>
      </c>
    </row>
    <row r="68" spans="1:30" ht="15.75" customHeight="1" x14ac:dyDescent="0.25">
      <c r="A68" s="10" t="s">
        <v>77</v>
      </c>
      <c r="B68" s="10" t="s">
        <v>90</v>
      </c>
      <c r="C68" s="10" t="s">
        <v>175</v>
      </c>
      <c r="D68" s="10" t="s">
        <v>92</v>
      </c>
      <c r="E68" s="10">
        <v>1002230833</v>
      </c>
      <c r="F68" s="23" t="s">
        <v>508</v>
      </c>
      <c r="G68" s="10" t="s">
        <v>18</v>
      </c>
      <c r="H68" s="10" t="s">
        <v>509</v>
      </c>
      <c r="I68" s="13">
        <v>45831</v>
      </c>
      <c r="J68" s="10" t="str">
        <f t="shared" ca="1" si="0"/>
        <v xml:space="preserve">1  Años, 2  Mes, 3 Dias </v>
      </c>
      <c r="K68" s="10" t="s">
        <v>113</v>
      </c>
      <c r="L68" s="19"/>
      <c r="M68" s="19" t="str">
        <f t="shared" ca="1" si="10"/>
        <v/>
      </c>
      <c r="N68" s="10" t="s">
        <v>120</v>
      </c>
      <c r="O68" s="10" t="s">
        <v>122</v>
      </c>
      <c r="P68" s="10" t="s">
        <v>142</v>
      </c>
      <c r="Q68" s="18" t="s">
        <v>128</v>
      </c>
      <c r="R68" s="10" t="s">
        <v>133</v>
      </c>
      <c r="S68" s="10" t="s">
        <v>521</v>
      </c>
      <c r="T68" s="10" t="s">
        <v>136</v>
      </c>
      <c r="U68" s="10">
        <v>3113876034</v>
      </c>
      <c r="V68" s="19"/>
      <c r="W68" s="10" t="s">
        <v>522</v>
      </c>
      <c r="X68" s="10" t="s">
        <v>136</v>
      </c>
      <c r="Y68" s="10" t="s">
        <v>203</v>
      </c>
      <c r="Z68" s="10" t="s">
        <v>216</v>
      </c>
      <c r="AA68" s="24"/>
      <c r="AB68" s="24"/>
      <c r="AC68" s="24"/>
      <c r="AD68" s="13" t="s">
        <v>209</v>
      </c>
    </row>
    <row r="69" spans="1:30" ht="15.75" customHeight="1" x14ac:dyDescent="0.25">
      <c r="A69" s="10" t="s">
        <v>160</v>
      </c>
      <c r="B69" s="10" t="s">
        <v>86</v>
      </c>
      <c r="C69" s="10" t="s">
        <v>91</v>
      </c>
      <c r="D69" s="10" t="s">
        <v>92</v>
      </c>
      <c r="E69" s="10">
        <v>1143126260</v>
      </c>
      <c r="F69" s="23" t="s">
        <v>1157</v>
      </c>
      <c r="G69" s="10" t="s">
        <v>361</v>
      </c>
      <c r="H69" s="10" t="s">
        <v>1158</v>
      </c>
      <c r="I69" s="13">
        <v>45234</v>
      </c>
      <c r="J69" s="10" t="str">
        <f t="shared" ca="1" si="0"/>
        <v xml:space="preserve">2  Años, 9  Mes, 22 Dias </v>
      </c>
      <c r="K69" s="10" t="s">
        <v>113</v>
      </c>
      <c r="L69" s="24"/>
      <c r="M69" s="19" t="str">
        <f t="shared" ca="1" si="10"/>
        <v/>
      </c>
      <c r="N69" s="10" t="s">
        <v>320</v>
      </c>
      <c r="O69" s="10" t="s">
        <v>122</v>
      </c>
      <c r="P69" s="10" t="s">
        <v>142</v>
      </c>
      <c r="Q69" s="18" t="s">
        <v>128</v>
      </c>
      <c r="R69" s="10" t="s">
        <v>133</v>
      </c>
      <c r="S69" s="10" t="s">
        <v>1163</v>
      </c>
      <c r="T69" s="10" t="s">
        <v>199</v>
      </c>
      <c r="U69" s="10">
        <v>3188528911</v>
      </c>
      <c r="V69" s="10">
        <v>3188528911</v>
      </c>
      <c r="W69" s="10" t="s">
        <v>1164</v>
      </c>
      <c r="X69" s="10" t="s">
        <v>136</v>
      </c>
      <c r="Y69" s="10" t="s">
        <v>206</v>
      </c>
      <c r="Z69" s="10" t="s">
        <v>170</v>
      </c>
      <c r="AA69" s="24"/>
      <c r="AB69" s="24"/>
      <c r="AC69" s="13">
        <v>45308</v>
      </c>
      <c r="AD69" s="24"/>
    </row>
    <row r="70" spans="1:30" x14ac:dyDescent="0.25">
      <c r="A70" s="10" t="s">
        <v>77</v>
      </c>
      <c r="B70" s="10" t="s">
        <v>86</v>
      </c>
      <c r="C70" s="10" t="s">
        <v>91</v>
      </c>
      <c r="D70" s="10" t="s">
        <v>92</v>
      </c>
      <c r="E70" s="12">
        <v>1140843710</v>
      </c>
      <c r="F70" s="15" t="s">
        <v>103</v>
      </c>
      <c r="G70" s="12" t="s">
        <v>108</v>
      </c>
      <c r="H70" s="17" t="s">
        <v>111</v>
      </c>
      <c r="I70" s="13">
        <v>45831</v>
      </c>
      <c r="J70" s="10" t="str">
        <f t="shared" ca="1" si="0"/>
        <v xml:space="preserve">1  Años, 2  Mes, 3 Dias </v>
      </c>
      <c r="K70" s="12" t="s">
        <v>113</v>
      </c>
      <c r="L70" s="16">
        <v>33510</v>
      </c>
      <c r="M70" s="10">
        <v>34</v>
      </c>
      <c r="N70" s="10" t="s">
        <v>120</v>
      </c>
      <c r="O70" s="10" t="s">
        <v>122</v>
      </c>
      <c r="P70" s="12" t="s">
        <v>124</v>
      </c>
      <c r="Q70" s="18" t="s">
        <v>128</v>
      </c>
      <c r="R70" s="10" t="s">
        <v>133</v>
      </c>
      <c r="S70" s="12" t="s">
        <v>135</v>
      </c>
      <c r="T70" s="12" t="s">
        <v>136</v>
      </c>
      <c r="U70" s="12">
        <v>3112748790</v>
      </c>
      <c r="V70" s="5"/>
      <c r="W70" s="12" t="s">
        <v>141</v>
      </c>
      <c r="X70" s="12" t="s">
        <v>136</v>
      </c>
      <c r="Y70" s="5"/>
      <c r="Z70" s="12" t="s">
        <v>72</v>
      </c>
      <c r="AA70" s="20"/>
      <c r="AB70" s="20"/>
      <c r="AC70" s="16">
        <v>45839</v>
      </c>
      <c r="AD70" s="10" t="s">
        <v>209</v>
      </c>
    </row>
    <row r="71" spans="1:30" ht="15.75" customHeight="1" x14ac:dyDescent="0.25">
      <c r="A71" s="10" t="s">
        <v>77</v>
      </c>
      <c r="B71" s="10" t="s">
        <v>86</v>
      </c>
      <c r="C71" s="10" t="s">
        <v>91</v>
      </c>
      <c r="D71" s="10" t="s">
        <v>92</v>
      </c>
      <c r="E71" s="10">
        <v>1045734788</v>
      </c>
      <c r="F71" s="23" t="s">
        <v>531</v>
      </c>
      <c r="G71" s="10" t="s">
        <v>18</v>
      </c>
      <c r="H71" s="10" t="s">
        <v>1175</v>
      </c>
      <c r="I71" s="13">
        <v>44843</v>
      </c>
      <c r="J71" s="10" t="str">
        <f t="shared" ca="1" si="0"/>
        <v xml:space="preserve">3  Años, 10  Mes, 17 Dias </v>
      </c>
      <c r="K71" s="10" t="s">
        <v>113</v>
      </c>
      <c r="L71" s="63"/>
      <c r="M71" s="19" t="str">
        <f ca="1">IF(L71=0,"", DATEDIF(L71,TODAY(),"y"))</f>
        <v/>
      </c>
      <c r="N71" s="10" t="s">
        <v>120</v>
      </c>
      <c r="O71" s="10" t="s">
        <v>122</v>
      </c>
      <c r="P71" s="10" t="s">
        <v>142</v>
      </c>
      <c r="Q71" s="18" t="s">
        <v>128</v>
      </c>
      <c r="R71" s="10" t="s">
        <v>133</v>
      </c>
      <c r="S71" s="10" t="s">
        <v>1181</v>
      </c>
      <c r="T71" s="10" t="s">
        <v>136</v>
      </c>
      <c r="U71" s="10">
        <v>3016297596</v>
      </c>
      <c r="V71" s="19"/>
      <c r="W71" s="10" t="s">
        <v>845</v>
      </c>
      <c r="X71" s="10" t="s">
        <v>136</v>
      </c>
      <c r="Y71" s="10" t="s">
        <v>206</v>
      </c>
      <c r="Z71" s="10" t="s">
        <v>170</v>
      </c>
      <c r="AA71" s="33"/>
      <c r="AB71" s="33"/>
      <c r="AC71" s="35">
        <v>44896</v>
      </c>
      <c r="AD71" s="19"/>
    </row>
    <row r="72" spans="1:30" ht="15.75" customHeight="1" x14ac:dyDescent="0.25">
      <c r="A72" s="10" t="s">
        <v>77</v>
      </c>
      <c r="B72" s="10" t="s">
        <v>90</v>
      </c>
      <c r="C72" s="10" t="s">
        <v>175</v>
      </c>
      <c r="D72" s="10" t="s">
        <v>92</v>
      </c>
      <c r="E72" s="12">
        <v>1045734788</v>
      </c>
      <c r="F72" s="23" t="s">
        <v>531</v>
      </c>
      <c r="G72" s="10" t="s">
        <v>18</v>
      </c>
      <c r="H72" s="17" t="s">
        <v>533</v>
      </c>
      <c r="I72" s="13">
        <v>45831</v>
      </c>
      <c r="J72" s="10" t="str">
        <f t="shared" ca="1" si="0"/>
        <v xml:space="preserve">1  Años, 2  Mes, 3 Dias </v>
      </c>
      <c r="K72" s="12" t="s">
        <v>113</v>
      </c>
      <c r="L72" s="30">
        <v>34996</v>
      </c>
      <c r="M72" s="10">
        <v>22</v>
      </c>
      <c r="N72" s="10" t="s">
        <v>120</v>
      </c>
      <c r="O72" s="10" t="s">
        <v>236</v>
      </c>
      <c r="P72" s="12" t="s">
        <v>142</v>
      </c>
      <c r="Q72" s="18" t="s">
        <v>128</v>
      </c>
      <c r="R72" s="10" t="s">
        <v>133</v>
      </c>
      <c r="S72" s="12" t="s">
        <v>546</v>
      </c>
      <c r="T72" s="12" t="s">
        <v>548</v>
      </c>
      <c r="U72" s="12">
        <v>3016297596</v>
      </c>
      <c r="V72" s="5"/>
      <c r="W72" s="12" t="s">
        <v>549</v>
      </c>
      <c r="X72" s="12" t="s">
        <v>136</v>
      </c>
      <c r="Y72" s="5"/>
      <c r="Z72" s="12" t="s">
        <v>72</v>
      </c>
      <c r="AA72" s="20"/>
      <c r="AB72" s="20"/>
      <c r="AC72" s="20"/>
      <c r="AD72" s="13" t="s">
        <v>209</v>
      </c>
    </row>
    <row r="73" spans="1:30" ht="15.75" customHeight="1" x14ac:dyDescent="0.25">
      <c r="A73" s="10" t="s">
        <v>77</v>
      </c>
      <c r="B73" s="10" t="s">
        <v>86</v>
      </c>
      <c r="C73" s="10" t="s">
        <v>91</v>
      </c>
      <c r="D73" s="10" t="s">
        <v>92</v>
      </c>
      <c r="E73" s="10">
        <v>1192780264</v>
      </c>
      <c r="F73" s="23" t="s">
        <v>1192</v>
      </c>
      <c r="G73" s="10" t="s">
        <v>18</v>
      </c>
      <c r="H73" s="10" t="s">
        <v>1193</v>
      </c>
      <c r="I73" s="13">
        <v>45310</v>
      </c>
      <c r="J73" s="10" t="str">
        <f t="shared" ca="1" si="0"/>
        <v xml:space="preserve">2  Años, 7  Mes, 7 Dias </v>
      </c>
      <c r="K73" s="10" t="s">
        <v>113</v>
      </c>
      <c r="L73" s="13">
        <v>36129</v>
      </c>
      <c r="M73" s="10">
        <f t="shared" ref="M73:M79" ca="1" si="11">IF(L73=0,"", DATEDIF(L73,TODAY(),"y"))</f>
        <v>27</v>
      </c>
      <c r="N73" s="10" t="s">
        <v>120</v>
      </c>
      <c r="O73" s="10" t="s">
        <v>122</v>
      </c>
      <c r="P73" s="10" t="s">
        <v>142</v>
      </c>
      <c r="Q73" s="18" t="s">
        <v>128</v>
      </c>
      <c r="R73" s="10" t="s">
        <v>133</v>
      </c>
      <c r="S73" s="10" t="s">
        <v>1198</v>
      </c>
      <c r="T73" s="10" t="s">
        <v>136</v>
      </c>
      <c r="U73" s="10">
        <v>3245773434</v>
      </c>
      <c r="V73" s="19"/>
      <c r="W73" s="40" t="s">
        <v>1200</v>
      </c>
      <c r="X73" s="10" t="s">
        <v>136</v>
      </c>
      <c r="Y73" s="10" t="s">
        <v>155</v>
      </c>
      <c r="Z73" s="10" t="s">
        <v>1208</v>
      </c>
      <c r="AA73" s="24"/>
      <c r="AB73" s="24"/>
      <c r="AC73" s="13">
        <v>45485</v>
      </c>
      <c r="AD73" s="24"/>
    </row>
    <row r="74" spans="1:30" ht="15.75" customHeight="1" x14ac:dyDescent="0.25">
      <c r="A74" s="10" t="s">
        <v>77</v>
      </c>
      <c r="B74" s="10" t="s">
        <v>86</v>
      </c>
      <c r="C74" s="10" t="s">
        <v>91</v>
      </c>
      <c r="D74" s="10" t="s">
        <v>92</v>
      </c>
      <c r="E74" s="10">
        <v>1214464189</v>
      </c>
      <c r="F74" s="23" t="s">
        <v>624</v>
      </c>
      <c r="G74" s="10" t="s">
        <v>18</v>
      </c>
      <c r="H74" s="10" t="s">
        <v>1215</v>
      </c>
      <c r="I74" s="13">
        <v>44843</v>
      </c>
      <c r="J74" s="10" t="str">
        <f t="shared" ca="1" si="0"/>
        <v xml:space="preserve">3  Años, 10  Mes, 17 Dias </v>
      </c>
      <c r="K74" s="10" t="s">
        <v>113</v>
      </c>
      <c r="L74" s="19"/>
      <c r="M74" s="19" t="str">
        <f t="shared" ca="1" si="11"/>
        <v/>
      </c>
      <c r="N74" s="10" t="s">
        <v>120</v>
      </c>
      <c r="O74" s="10" t="s">
        <v>122</v>
      </c>
      <c r="P74" s="10" t="s">
        <v>124</v>
      </c>
      <c r="Q74" s="18" t="s">
        <v>128</v>
      </c>
      <c r="R74" s="10" t="s">
        <v>133</v>
      </c>
      <c r="S74" s="10" t="s">
        <v>1218</v>
      </c>
      <c r="T74" s="10" t="s">
        <v>136</v>
      </c>
      <c r="U74" s="10">
        <v>3234876726</v>
      </c>
      <c r="V74" s="19"/>
      <c r="W74" s="10" t="s">
        <v>1221</v>
      </c>
      <c r="X74" s="10" t="s">
        <v>136</v>
      </c>
      <c r="Y74" s="10" t="s">
        <v>206</v>
      </c>
      <c r="Z74" s="10" t="s">
        <v>170</v>
      </c>
      <c r="AA74" s="24"/>
      <c r="AB74" s="24"/>
      <c r="AC74" s="13">
        <v>45336</v>
      </c>
      <c r="AD74" s="24"/>
    </row>
    <row r="75" spans="1:30" ht="15.75" customHeight="1" x14ac:dyDescent="0.25">
      <c r="A75" s="10" t="s">
        <v>77</v>
      </c>
      <c r="B75" s="10" t="s">
        <v>90</v>
      </c>
      <c r="C75" s="10" t="s">
        <v>175</v>
      </c>
      <c r="D75" s="10" t="s">
        <v>92</v>
      </c>
      <c r="E75" s="10">
        <v>7592397</v>
      </c>
      <c r="F75" s="23" t="s">
        <v>357</v>
      </c>
      <c r="G75" s="10" t="s">
        <v>11</v>
      </c>
      <c r="H75" s="10" t="s">
        <v>556</v>
      </c>
      <c r="I75" s="13">
        <v>45831</v>
      </c>
      <c r="J75" s="10" t="str">
        <f t="shared" ca="1" si="0"/>
        <v xml:space="preserve">1  Años, 2  Mes, 3 Dias </v>
      </c>
      <c r="K75" s="10" t="s">
        <v>113</v>
      </c>
      <c r="L75" s="24"/>
      <c r="M75" s="19" t="str">
        <f t="shared" ca="1" si="11"/>
        <v/>
      </c>
      <c r="N75" s="10" t="s">
        <v>120</v>
      </c>
      <c r="O75" s="10" t="s">
        <v>122</v>
      </c>
      <c r="P75" s="10" t="s">
        <v>142</v>
      </c>
      <c r="Q75" s="18" t="s">
        <v>128</v>
      </c>
      <c r="R75" s="10" t="s">
        <v>133</v>
      </c>
      <c r="S75" s="10" t="s">
        <v>570</v>
      </c>
      <c r="T75" s="10" t="s">
        <v>136</v>
      </c>
      <c r="U75" s="10">
        <v>3215839320</v>
      </c>
      <c r="V75" s="19"/>
      <c r="W75" s="10" t="s">
        <v>573</v>
      </c>
      <c r="X75" s="10" t="s">
        <v>136</v>
      </c>
      <c r="Y75" s="10" t="s">
        <v>206</v>
      </c>
      <c r="Z75" s="10" t="s">
        <v>170</v>
      </c>
      <c r="AA75" s="45"/>
      <c r="AB75" s="19"/>
      <c r="AC75" s="24"/>
      <c r="AD75" s="10" t="s">
        <v>209</v>
      </c>
    </row>
    <row r="76" spans="1:30" ht="15.75" customHeight="1" x14ac:dyDescent="0.25">
      <c r="A76" s="10" t="s">
        <v>77</v>
      </c>
      <c r="B76" s="10" t="s">
        <v>90</v>
      </c>
      <c r="C76" s="10" t="s">
        <v>175</v>
      </c>
      <c r="D76" s="10" t="s">
        <v>92</v>
      </c>
      <c r="E76" s="10">
        <v>1143460909</v>
      </c>
      <c r="F76" s="23" t="s">
        <v>821</v>
      </c>
      <c r="G76" s="10" t="s">
        <v>11</v>
      </c>
      <c r="H76" s="10" t="s">
        <v>823</v>
      </c>
      <c r="I76" s="13">
        <v>45864</v>
      </c>
      <c r="J76" s="10" t="str">
        <f t="shared" ca="1" si="0"/>
        <v xml:space="preserve">1  Años, 1  Mes, 0 Dias </v>
      </c>
      <c r="K76" s="10" t="s">
        <v>113</v>
      </c>
      <c r="L76" s="13">
        <v>35666</v>
      </c>
      <c r="M76" s="10">
        <f t="shared" ca="1" si="11"/>
        <v>29</v>
      </c>
      <c r="N76" s="10" t="s">
        <v>120</v>
      </c>
      <c r="O76" s="10" t="s">
        <v>236</v>
      </c>
      <c r="P76" s="10" t="s">
        <v>142</v>
      </c>
      <c r="Q76" s="18" t="s">
        <v>128</v>
      </c>
      <c r="R76" s="10" t="s">
        <v>133</v>
      </c>
      <c r="S76" s="10" t="s">
        <v>827</v>
      </c>
      <c r="T76" s="10" t="s">
        <v>136</v>
      </c>
      <c r="U76" s="10">
        <v>3005117233</v>
      </c>
      <c r="V76" s="19"/>
      <c r="W76" s="19"/>
      <c r="X76" s="10" t="s">
        <v>136</v>
      </c>
      <c r="Y76" s="19"/>
      <c r="Z76" s="19"/>
      <c r="AA76" s="45"/>
      <c r="AB76" s="24"/>
      <c r="AC76" s="24"/>
      <c r="AD76" s="13" t="s">
        <v>209</v>
      </c>
    </row>
    <row r="77" spans="1:30" ht="15.75" customHeight="1" x14ac:dyDescent="0.25">
      <c r="A77" s="10" t="s">
        <v>77</v>
      </c>
      <c r="B77" s="10" t="s">
        <v>86</v>
      </c>
      <c r="C77" s="10" t="s">
        <v>91</v>
      </c>
      <c r="D77" s="10" t="s">
        <v>92</v>
      </c>
      <c r="E77" s="10">
        <v>1002130719</v>
      </c>
      <c r="F77" s="23" t="s">
        <v>1239</v>
      </c>
      <c r="G77" s="10" t="s">
        <v>26</v>
      </c>
      <c r="H77" s="10" t="s">
        <v>1240</v>
      </c>
      <c r="I77" s="13">
        <v>45323</v>
      </c>
      <c r="J77" s="10" t="str">
        <f t="shared" ca="1" si="0"/>
        <v xml:space="preserve">2  Años, 6  Mes, 25 Dias </v>
      </c>
      <c r="K77" s="10" t="s">
        <v>113</v>
      </c>
      <c r="L77" s="13">
        <v>35296</v>
      </c>
      <c r="M77" s="10">
        <f t="shared" ca="1" si="11"/>
        <v>30</v>
      </c>
      <c r="N77" s="10" t="s">
        <v>120</v>
      </c>
      <c r="O77" s="10" t="s">
        <v>236</v>
      </c>
      <c r="P77" s="10" t="s">
        <v>142</v>
      </c>
      <c r="Q77" s="18" t="s">
        <v>128</v>
      </c>
      <c r="R77" s="10" t="s">
        <v>133</v>
      </c>
      <c r="S77" s="10" t="s">
        <v>1242</v>
      </c>
      <c r="T77" s="10" t="s">
        <v>136</v>
      </c>
      <c r="U77" s="10">
        <v>3006386354</v>
      </c>
      <c r="V77" s="19"/>
      <c r="W77" s="40" t="s">
        <v>1245</v>
      </c>
      <c r="X77" s="10" t="s">
        <v>136</v>
      </c>
      <c r="Y77" s="10" t="s">
        <v>155</v>
      </c>
      <c r="Z77" s="10" t="s">
        <v>170</v>
      </c>
      <c r="AA77" s="24"/>
      <c r="AB77" s="24"/>
      <c r="AC77" s="13">
        <v>45378</v>
      </c>
      <c r="AD77" s="24"/>
    </row>
    <row r="78" spans="1:30" ht="15.75" customHeight="1" x14ac:dyDescent="0.25">
      <c r="A78" s="10" t="s">
        <v>160</v>
      </c>
      <c r="B78" s="10" t="s">
        <v>86</v>
      </c>
      <c r="C78" s="10" t="s">
        <v>91</v>
      </c>
      <c r="D78" s="10" t="s">
        <v>92</v>
      </c>
      <c r="E78" s="37">
        <v>1143143515</v>
      </c>
      <c r="F78" s="38" t="s">
        <v>1255</v>
      </c>
      <c r="G78" s="12" t="s">
        <v>688</v>
      </c>
      <c r="H78" s="10" t="s">
        <v>1256</v>
      </c>
      <c r="I78" s="13">
        <v>45342</v>
      </c>
      <c r="J78" s="10" t="str">
        <f t="shared" ca="1" si="0"/>
        <v xml:space="preserve">2  Años, 6  Mes, 6 Dias </v>
      </c>
      <c r="K78" s="10" t="s">
        <v>113</v>
      </c>
      <c r="L78" s="36">
        <v>34017</v>
      </c>
      <c r="M78" s="10">
        <f t="shared" ca="1" si="11"/>
        <v>33</v>
      </c>
      <c r="N78" s="10" t="s">
        <v>120</v>
      </c>
      <c r="O78" s="10" t="s">
        <v>236</v>
      </c>
      <c r="P78" s="10" t="s">
        <v>124</v>
      </c>
      <c r="Q78" s="18" t="s">
        <v>128</v>
      </c>
      <c r="R78" s="10" t="s">
        <v>133</v>
      </c>
      <c r="S78" s="37" t="s">
        <v>1259</v>
      </c>
      <c r="T78" s="10" t="s">
        <v>151</v>
      </c>
      <c r="U78" s="37">
        <v>3123755563</v>
      </c>
      <c r="V78" s="19"/>
      <c r="W78" s="40" t="s">
        <v>1261</v>
      </c>
      <c r="X78" s="10" t="s">
        <v>136</v>
      </c>
      <c r="Y78" s="37" t="s">
        <v>169</v>
      </c>
      <c r="Z78" s="10" t="s">
        <v>288</v>
      </c>
      <c r="AA78" s="33"/>
      <c r="AB78" s="33"/>
      <c r="AC78" s="35">
        <v>45656</v>
      </c>
      <c r="AD78" s="24"/>
    </row>
    <row r="79" spans="1:30" ht="15.75" customHeight="1" x14ac:dyDescent="0.25">
      <c r="A79" s="10" t="s">
        <v>77</v>
      </c>
      <c r="B79" s="10" t="s">
        <v>86</v>
      </c>
      <c r="C79" s="10" t="s">
        <v>91</v>
      </c>
      <c r="D79" s="10" t="s">
        <v>92</v>
      </c>
      <c r="E79" s="10">
        <v>8510934</v>
      </c>
      <c r="F79" s="23" t="s">
        <v>617</v>
      </c>
      <c r="G79" s="10" t="s">
        <v>11</v>
      </c>
      <c r="H79" s="10" t="s">
        <v>1273</v>
      </c>
      <c r="I79" s="13">
        <v>44843</v>
      </c>
      <c r="J79" s="10" t="str">
        <f t="shared" ca="1" si="0"/>
        <v xml:space="preserve">3  Años, 10  Mes, 17 Dias </v>
      </c>
      <c r="K79" s="10" t="s">
        <v>113</v>
      </c>
      <c r="L79" s="19"/>
      <c r="M79" s="19" t="str">
        <f t="shared" ca="1" si="11"/>
        <v/>
      </c>
      <c r="N79" s="10" t="s">
        <v>120</v>
      </c>
      <c r="O79" s="10" t="s">
        <v>122</v>
      </c>
      <c r="P79" s="10" t="s">
        <v>142</v>
      </c>
      <c r="Q79" s="18" t="s">
        <v>128</v>
      </c>
      <c r="R79" s="10" t="s">
        <v>133</v>
      </c>
      <c r="S79" s="10" t="s">
        <v>1275</v>
      </c>
      <c r="T79" s="10" t="s">
        <v>136</v>
      </c>
      <c r="U79" s="10">
        <v>3113426151</v>
      </c>
      <c r="V79" s="19"/>
      <c r="W79" s="10" t="s">
        <v>845</v>
      </c>
      <c r="X79" s="10" t="s">
        <v>136</v>
      </c>
      <c r="Y79" s="10" t="s">
        <v>206</v>
      </c>
      <c r="Z79" s="10" t="s">
        <v>216</v>
      </c>
      <c r="AA79" s="24"/>
      <c r="AB79" s="24"/>
      <c r="AC79" s="13">
        <v>45362</v>
      </c>
      <c r="AD79" s="24"/>
    </row>
    <row r="80" spans="1:30" ht="15.75" customHeight="1" x14ac:dyDescent="0.25">
      <c r="A80" s="10" t="s">
        <v>77</v>
      </c>
      <c r="B80" s="10" t="s">
        <v>86</v>
      </c>
      <c r="C80" s="10" t="s">
        <v>91</v>
      </c>
      <c r="D80" s="10" t="s">
        <v>92</v>
      </c>
      <c r="E80" s="12">
        <v>1002229840</v>
      </c>
      <c r="F80" s="15" t="s">
        <v>1281</v>
      </c>
      <c r="G80" s="10" t="s">
        <v>26</v>
      </c>
      <c r="H80" s="12" t="s">
        <v>1282</v>
      </c>
      <c r="I80" s="16">
        <v>45630</v>
      </c>
      <c r="J80" s="10" t="str">
        <f t="shared" ca="1" si="0"/>
        <v xml:space="preserve">1  Años, 8  Mes, 22 Dias </v>
      </c>
      <c r="K80" s="10" t="s">
        <v>113</v>
      </c>
      <c r="L80" s="5"/>
      <c r="M80" s="5"/>
      <c r="N80" s="10" t="s">
        <v>120</v>
      </c>
      <c r="O80" s="10" t="s">
        <v>236</v>
      </c>
      <c r="P80" s="12" t="s">
        <v>142</v>
      </c>
      <c r="Q80" s="18" t="s">
        <v>128</v>
      </c>
      <c r="R80" s="12" t="s">
        <v>133</v>
      </c>
      <c r="S80" s="12" t="s">
        <v>1287</v>
      </c>
      <c r="T80" s="12" t="s">
        <v>507</v>
      </c>
      <c r="U80" s="12">
        <v>3008618475</v>
      </c>
      <c r="V80" s="5"/>
      <c r="W80" s="5"/>
      <c r="X80" s="12" t="s">
        <v>136</v>
      </c>
      <c r="Y80" s="12" t="s">
        <v>574</v>
      </c>
      <c r="Z80" s="12" t="s">
        <v>1288</v>
      </c>
      <c r="AA80" s="20"/>
      <c r="AB80" s="20"/>
      <c r="AC80" s="16">
        <v>45672</v>
      </c>
      <c r="AD80" s="10" t="s">
        <v>148</v>
      </c>
    </row>
    <row r="81" spans="1:30" ht="15.75" customHeight="1" x14ac:dyDescent="0.25">
      <c r="A81" s="10" t="s">
        <v>77</v>
      </c>
      <c r="B81" s="10" t="s">
        <v>86</v>
      </c>
      <c r="C81" s="10" t="s">
        <v>91</v>
      </c>
      <c r="D81" s="12" t="s">
        <v>92</v>
      </c>
      <c r="E81" s="12">
        <v>1054683714</v>
      </c>
      <c r="F81" s="15" t="s">
        <v>1290</v>
      </c>
      <c r="G81" s="10" t="s">
        <v>26</v>
      </c>
      <c r="H81" s="12" t="s">
        <v>1292</v>
      </c>
      <c r="I81" s="16">
        <v>45694</v>
      </c>
      <c r="J81" s="10" t="str">
        <f t="shared" ca="1" si="0"/>
        <v xml:space="preserve">1  Años, 6  Mes, 20 Dias </v>
      </c>
      <c r="K81" s="12" t="s">
        <v>113</v>
      </c>
      <c r="L81" s="31"/>
      <c r="M81" s="12">
        <v>25</v>
      </c>
      <c r="N81" s="10" t="s">
        <v>120</v>
      </c>
      <c r="O81" s="10" t="s">
        <v>122</v>
      </c>
      <c r="P81" s="12" t="s">
        <v>142</v>
      </c>
      <c r="Q81" s="18" t="s">
        <v>128</v>
      </c>
      <c r="R81" s="12" t="s">
        <v>133</v>
      </c>
      <c r="S81" s="12" t="s">
        <v>1294</v>
      </c>
      <c r="T81" s="12" t="s">
        <v>151</v>
      </c>
      <c r="U81" s="12">
        <v>3017712489</v>
      </c>
      <c r="V81" s="5"/>
      <c r="W81" s="5"/>
      <c r="X81" s="12" t="s">
        <v>136</v>
      </c>
      <c r="Y81" s="12" t="s">
        <v>813</v>
      </c>
      <c r="Z81" s="12" t="s">
        <v>170</v>
      </c>
      <c r="AA81" s="20"/>
      <c r="AB81" s="20"/>
      <c r="AC81" s="16">
        <v>45700</v>
      </c>
      <c r="AD81" s="10" t="s">
        <v>148</v>
      </c>
    </row>
    <row r="82" spans="1:30" ht="15.75" customHeight="1" x14ac:dyDescent="0.25">
      <c r="A82" s="10" t="s">
        <v>77</v>
      </c>
      <c r="B82" s="10" t="s">
        <v>86</v>
      </c>
      <c r="C82" s="10" t="s">
        <v>91</v>
      </c>
      <c r="D82" s="10" t="s">
        <v>92</v>
      </c>
      <c r="E82" s="12">
        <v>1051828881</v>
      </c>
      <c r="F82" s="15" t="s">
        <v>1300</v>
      </c>
      <c r="G82" s="10" t="s">
        <v>26</v>
      </c>
      <c r="H82" s="12" t="s">
        <v>1301</v>
      </c>
      <c r="I82" s="53">
        <v>45639</v>
      </c>
      <c r="J82" s="10" t="str">
        <f t="shared" ca="1" si="0"/>
        <v xml:space="preserve">1  Años, 8  Mes, 13 Dias </v>
      </c>
      <c r="K82" s="12" t="s">
        <v>113</v>
      </c>
      <c r="L82" s="53">
        <v>35015</v>
      </c>
      <c r="M82" s="12">
        <v>29</v>
      </c>
      <c r="N82" s="10" t="s">
        <v>120</v>
      </c>
      <c r="O82" s="10" t="s">
        <v>122</v>
      </c>
      <c r="P82" s="12" t="s">
        <v>124</v>
      </c>
      <c r="Q82" s="18" t="s">
        <v>128</v>
      </c>
      <c r="R82" s="12" t="s">
        <v>133</v>
      </c>
      <c r="S82" s="12" t="s">
        <v>1306</v>
      </c>
      <c r="T82" s="12" t="s">
        <v>136</v>
      </c>
      <c r="U82" s="12" t="s">
        <v>1307</v>
      </c>
      <c r="V82" s="5"/>
      <c r="W82" s="12" t="s">
        <v>1308</v>
      </c>
      <c r="X82" s="12" t="s">
        <v>136</v>
      </c>
      <c r="Y82" s="12" t="s">
        <v>574</v>
      </c>
      <c r="Z82" s="12" t="s">
        <v>170</v>
      </c>
      <c r="AA82" s="20"/>
      <c r="AB82" s="20"/>
      <c r="AC82" s="16">
        <v>45699</v>
      </c>
      <c r="AD82" s="13" t="s">
        <v>148</v>
      </c>
    </row>
    <row r="83" spans="1:30" ht="15.75" customHeight="1" x14ac:dyDescent="0.25">
      <c r="A83" s="10" t="s">
        <v>77</v>
      </c>
      <c r="B83" s="10" t="s">
        <v>86</v>
      </c>
      <c r="C83" s="10" t="s">
        <v>91</v>
      </c>
      <c r="D83" s="10" t="s">
        <v>92</v>
      </c>
      <c r="E83" s="10">
        <v>73574130</v>
      </c>
      <c r="F83" s="23" t="s">
        <v>616</v>
      </c>
      <c r="G83" s="10" t="s">
        <v>26</v>
      </c>
      <c r="H83" s="10" t="s">
        <v>1313</v>
      </c>
      <c r="I83" s="30">
        <v>45279</v>
      </c>
      <c r="J83" s="10" t="str">
        <f t="shared" ca="1" si="0"/>
        <v xml:space="preserve">2  Años, 8  Mes, 7 Dias </v>
      </c>
      <c r="K83" s="10" t="s">
        <v>113</v>
      </c>
      <c r="L83" s="19"/>
      <c r="M83" s="19" t="str">
        <f ca="1">IF(L83=0,"", DATEDIF(L83,TODAY(),"y"))</f>
        <v/>
      </c>
      <c r="N83" s="10" t="s">
        <v>120</v>
      </c>
      <c r="O83" s="10" t="s">
        <v>236</v>
      </c>
      <c r="P83" s="10" t="s">
        <v>142</v>
      </c>
      <c r="Q83" s="18" t="s">
        <v>128</v>
      </c>
      <c r="R83" s="10" t="s">
        <v>133</v>
      </c>
      <c r="S83" s="10" t="s">
        <v>1319</v>
      </c>
      <c r="T83" s="10" t="s">
        <v>136</v>
      </c>
      <c r="U83" s="10">
        <v>3224052605</v>
      </c>
      <c r="V83" s="10">
        <v>3224052605</v>
      </c>
      <c r="W83" s="10" t="s">
        <v>1320</v>
      </c>
      <c r="X83" s="10" t="s">
        <v>136</v>
      </c>
      <c r="Y83" s="10" t="s">
        <v>791</v>
      </c>
      <c r="Z83" s="10" t="s">
        <v>170</v>
      </c>
      <c r="AA83" s="24"/>
      <c r="AB83" s="24"/>
      <c r="AC83" s="13">
        <v>45394</v>
      </c>
      <c r="AD83" s="24"/>
    </row>
    <row r="84" spans="1:30" ht="15.75" customHeight="1" x14ac:dyDescent="0.25">
      <c r="A84" s="10" t="s">
        <v>77</v>
      </c>
      <c r="B84" s="10" t="s">
        <v>86</v>
      </c>
      <c r="C84" s="10" t="s">
        <v>91</v>
      </c>
      <c r="D84" s="10" t="s">
        <v>92</v>
      </c>
      <c r="E84" s="12">
        <v>85478954</v>
      </c>
      <c r="F84" s="15" t="s">
        <v>1325</v>
      </c>
      <c r="G84" s="10" t="s">
        <v>26</v>
      </c>
      <c r="H84" s="12" t="s">
        <v>1328</v>
      </c>
      <c r="I84" s="16">
        <v>45630</v>
      </c>
      <c r="J84" s="10" t="str">
        <f t="shared" ca="1" si="0"/>
        <v xml:space="preserve">1  Años, 8  Mes, 22 Dias </v>
      </c>
      <c r="K84" s="10" t="s">
        <v>113</v>
      </c>
      <c r="L84" s="5"/>
      <c r="M84" s="12">
        <v>50</v>
      </c>
      <c r="N84" s="10" t="s">
        <v>120</v>
      </c>
      <c r="O84" s="10" t="s">
        <v>277</v>
      </c>
      <c r="P84" s="12" t="s">
        <v>124</v>
      </c>
      <c r="Q84" s="18" t="s">
        <v>128</v>
      </c>
      <c r="R84" s="12" t="s">
        <v>133</v>
      </c>
      <c r="S84" s="12" t="s">
        <v>1332</v>
      </c>
      <c r="T84" s="12" t="s">
        <v>801</v>
      </c>
      <c r="U84" s="12">
        <v>3137965307</v>
      </c>
      <c r="V84" s="5"/>
      <c r="W84" s="5"/>
      <c r="X84" s="12" t="s">
        <v>136</v>
      </c>
      <c r="Y84" s="12" t="s">
        <v>1333</v>
      </c>
      <c r="Z84" s="12" t="s">
        <v>1288</v>
      </c>
      <c r="AA84" s="33"/>
      <c r="AB84" s="33"/>
      <c r="AC84" s="35">
        <v>45656</v>
      </c>
      <c r="AD84" s="5"/>
    </row>
    <row r="85" spans="1:30" ht="15.75" customHeight="1" x14ac:dyDescent="0.25">
      <c r="A85" s="10" t="s">
        <v>160</v>
      </c>
      <c r="B85" s="10" t="s">
        <v>86</v>
      </c>
      <c r="C85" s="10" t="s">
        <v>91</v>
      </c>
      <c r="D85" s="10" t="s">
        <v>92</v>
      </c>
      <c r="E85" s="10">
        <v>1047216854</v>
      </c>
      <c r="F85" s="23" t="s">
        <v>1336</v>
      </c>
      <c r="G85" s="12" t="s">
        <v>688</v>
      </c>
      <c r="H85" s="10" t="s">
        <v>1337</v>
      </c>
      <c r="I85" s="30">
        <v>45245</v>
      </c>
      <c r="J85" s="10" t="str">
        <f t="shared" ca="1" si="0"/>
        <v xml:space="preserve">2  Años, 9  Mes, 11 Dias </v>
      </c>
      <c r="K85" s="10" t="s">
        <v>113</v>
      </c>
      <c r="L85" s="19"/>
      <c r="M85" s="19" t="str">
        <f ca="1">IF(L85=0,"", DATEDIF(L85,TODAY(),"y"))</f>
        <v/>
      </c>
      <c r="N85" s="10" t="s">
        <v>320</v>
      </c>
      <c r="O85" s="10" t="s">
        <v>236</v>
      </c>
      <c r="P85" s="10" t="s">
        <v>142</v>
      </c>
      <c r="Q85" s="18" t="s">
        <v>128</v>
      </c>
      <c r="R85" s="10" t="s">
        <v>133</v>
      </c>
      <c r="S85" s="10" t="s">
        <v>1347</v>
      </c>
      <c r="T85" s="10" t="s">
        <v>801</v>
      </c>
      <c r="U85" s="10">
        <v>3022180258</v>
      </c>
      <c r="V85" s="10">
        <v>3022180258</v>
      </c>
      <c r="W85" s="10" t="s">
        <v>1349</v>
      </c>
      <c r="X85" s="10" t="s">
        <v>136</v>
      </c>
      <c r="Y85" s="10" t="s">
        <v>253</v>
      </c>
      <c r="Z85" s="10" t="s">
        <v>1246</v>
      </c>
      <c r="AA85" s="33"/>
      <c r="AB85" s="33"/>
      <c r="AC85" s="35">
        <v>45290</v>
      </c>
      <c r="AD85" s="19"/>
    </row>
    <row r="86" spans="1:30" ht="15.75" customHeight="1" x14ac:dyDescent="0.25">
      <c r="A86" s="10" t="s">
        <v>160</v>
      </c>
      <c r="B86" s="10" t="s">
        <v>90</v>
      </c>
      <c r="C86" s="10" t="s">
        <v>175</v>
      </c>
      <c r="D86" s="10" t="s">
        <v>92</v>
      </c>
      <c r="E86" s="10">
        <v>1047216854</v>
      </c>
      <c r="F86" s="23" t="s">
        <v>1336</v>
      </c>
      <c r="G86" s="10" t="s">
        <v>1353</v>
      </c>
      <c r="H86" s="12" t="s">
        <v>1337</v>
      </c>
      <c r="I86" s="30">
        <v>45850</v>
      </c>
      <c r="J86" s="10" t="str">
        <f t="shared" ca="1" si="0"/>
        <v xml:space="preserve">1  Años, 1  Mes, 14 Dias </v>
      </c>
      <c r="K86" s="10" t="s">
        <v>113</v>
      </c>
      <c r="L86" s="63"/>
      <c r="M86" s="10">
        <v>20</v>
      </c>
      <c r="N86" s="10" t="s">
        <v>320</v>
      </c>
      <c r="O86" s="10" t="s">
        <v>236</v>
      </c>
      <c r="P86" s="10" t="s">
        <v>142</v>
      </c>
      <c r="Q86" s="18" t="s">
        <v>128</v>
      </c>
      <c r="R86" s="10" t="s">
        <v>133</v>
      </c>
      <c r="S86" s="5"/>
      <c r="T86" s="12" t="s">
        <v>801</v>
      </c>
      <c r="U86" s="5"/>
      <c r="V86" s="5"/>
      <c r="W86" s="5"/>
      <c r="X86" s="12" t="s">
        <v>136</v>
      </c>
      <c r="Y86" s="12" t="s">
        <v>253</v>
      </c>
      <c r="Z86" s="5"/>
      <c r="AA86" s="12">
        <v>533481081138</v>
      </c>
      <c r="AB86" s="12" t="s">
        <v>393</v>
      </c>
      <c r="AC86" s="5"/>
      <c r="AD86" s="10" t="s">
        <v>209</v>
      </c>
    </row>
    <row r="87" spans="1:30" ht="15.75" customHeight="1" x14ac:dyDescent="0.25">
      <c r="A87" s="10" t="s">
        <v>77</v>
      </c>
      <c r="B87" s="10" t="s">
        <v>90</v>
      </c>
      <c r="C87" s="10" t="s">
        <v>175</v>
      </c>
      <c r="D87" s="10" t="s">
        <v>92</v>
      </c>
      <c r="E87" s="10">
        <v>1001887355</v>
      </c>
      <c r="F87" s="23" t="s">
        <v>859</v>
      </c>
      <c r="G87" s="10" t="s">
        <v>11</v>
      </c>
      <c r="H87" s="5" t="s">
        <v>860</v>
      </c>
      <c r="I87" s="13">
        <v>45871</v>
      </c>
      <c r="J87" s="10" t="str">
        <f t="shared" ca="1" si="0"/>
        <v xml:space="preserve">1  Años, 0  Mes, 24 Dias </v>
      </c>
      <c r="K87" s="10" t="s">
        <v>113</v>
      </c>
      <c r="L87" s="13">
        <v>37571</v>
      </c>
      <c r="M87" s="10">
        <f ca="1">IF(L87=0,"", DATEDIF(L87,TODAY(),"y"))</f>
        <v>23</v>
      </c>
      <c r="N87" s="10" t="s">
        <v>120</v>
      </c>
      <c r="O87" s="10" t="s">
        <v>122</v>
      </c>
      <c r="P87" s="10" t="s">
        <v>142</v>
      </c>
      <c r="Q87" s="18" t="s">
        <v>128</v>
      </c>
      <c r="R87" s="10" t="s">
        <v>133</v>
      </c>
      <c r="S87" s="10" t="s">
        <v>862</v>
      </c>
      <c r="T87" s="10" t="s">
        <v>151</v>
      </c>
      <c r="U87" s="10">
        <v>3053943488</v>
      </c>
      <c r="V87" s="19"/>
      <c r="W87" s="19"/>
      <c r="X87" s="10" t="s">
        <v>136</v>
      </c>
      <c r="Y87" s="19"/>
      <c r="Z87" s="19"/>
      <c r="AA87" s="19"/>
      <c r="AB87" s="19"/>
      <c r="AC87" s="24"/>
      <c r="AD87" s="10" t="s">
        <v>209</v>
      </c>
    </row>
    <row r="88" spans="1:30" ht="15.75" customHeight="1" x14ac:dyDescent="0.25">
      <c r="A88" s="10" t="s">
        <v>77</v>
      </c>
      <c r="B88" s="10" t="s">
        <v>90</v>
      </c>
      <c r="C88" s="10" t="s">
        <v>175</v>
      </c>
      <c r="D88" s="12" t="s">
        <v>92</v>
      </c>
      <c r="E88" s="12">
        <v>8797024</v>
      </c>
      <c r="F88" s="23" t="s">
        <v>590</v>
      </c>
      <c r="G88" s="10" t="s">
        <v>32</v>
      </c>
      <c r="H88" s="10" t="s">
        <v>593</v>
      </c>
      <c r="I88" s="13">
        <v>45831</v>
      </c>
      <c r="J88" s="10" t="str">
        <f t="shared" ca="1" si="0"/>
        <v xml:space="preserve">1  Años, 2  Mes, 3 Dias </v>
      </c>
      <c r="K88" s="12" t="s">
        <v>113</v>
      </c>
      <c r="L88" s="5"/>
      <c r="M88" s="5"/>
      <c r="N88" s="10" t="s">
        <v>120</v>
      </c>
      <c r="O88" s="10" t="s">
        <v>236</v>
      </c>
      <c r="P88" s="12" t="s">
        <v>124</v>
      </c>
      <c r="Q88" s="18" t="s">
        <v>128</v>
      </c>
      <c r="R88" s="12" t="s">
        <v>133</v>
      </c>
      <c r="S88" s="12" t="s">
        <v>600</v>
      </c>
      <c r="T88" s="12" t="s">
        <v>136</v>
      </c>
      <c r="U88" s="12">
        <v>3017456027</v>
      </c>
      <c r="V88" s="5"/>
      <c r="W88" s="5"/>
      <c r="X88" s="12" t="s">
        <v>136</v>
      </c>
      <c r="Y88" s="12" t="s">
        <v>605</v>
      </c>
      <c r="Z88" s="12" t="s">
        <v>1378</v>
      </c>
      <c r="AA88" s="31"/>
      <c r="AB88" s="31"/>
      <c r="AC88" s="31"/>
      <c r="AD88" s="30" t="s">
        <v>209</v>
      </c>
    </row>
    <row r="89" spans="1:30" ht="15.75" customHeight="1" x14ac:dyDescent="0.25">
      <c r="A89" s="10" t="s">
        <v>77</v>
      </c>
      <c r="B89" s="10" t="s">
        <v>90</v>
      </c>
      <c r="C89" s="10" t="s">
        <v>175</v>
      </c>
      <c r="D89" s="10" t="s">
        <v>92</v>
      </c>
      <c r="E89" s="12">
        <v>1007278750</v>
      </c>
      <c r="F89" s="15" t="s">
        <v>1013</v>
      </c>
      <c r="G89" s="10" t="s">
        <v>11</v>
      </c>
      <c r="H89" s="10" t="s">
        <v>1015</v>
      </c>
      <c r="I89" s="16">
        <v>45883</v>
      </c>
      <c r="J89" s="10" t="str">
        <f t="shared" ca="1" si="0"/>
        <v xml:space="preserve">1  Años, 0  Mes, 12 Dias </v>
      </c>
      <c r="K89" s="12" t="s">
        <v>113</v>
      </c>
      <c r="L89" s="16">
        <v>36189</v>
      </c>
      <c r="M89" s="10">
        <f ca="1">IF(L89=0,"", DATEDIF(L89,TODAY(),"y"))</f>
        <v>27</v>
      </c>
      <c r="N89" s="10" t="s">
        <v>120</v>
      </c>
      <c r="O89" s="10" t="s">
        <v>122</v>
      </c>
      <c r="P89" s="5"/>
      <c r="Q89" s="18" t="s">
        <v>128</v>
      </c>
      <c r="R89" s="10" t="s">
        <v>133</v>
      </c>
      <c r="S89" s="12" t="s">
        <v>1016</v>
      </c>
      <c r="T89" s="12" t="s">
        <v>136</v>
      </c>
      <c r="U89" s="12">
        <v>3292229791</v>
      </c>
      <c r="V89" s="5"/>
      <c r="W89" s="5"/>
      <c r="X89" s="10" t="s">
        <v>136</v>
      </c>
      <c r="Y89" s="5"/>
      <c r="Z89" s="5"/>
      <c r="AA89" s="20"/>
      <c r="AB89" s="20"/>
      <c r="AC89" s="20"/>
      <c r="AD89" s="10" t="s">
        <v>209</v>
      </c>
    </row>
    <row r="90" spans="1:30" ht="15.75" customHeight="1" x14ac:dyDescent="0.25">
      <c r="A90" s="10" t="s">
        <v>77</v>
      </c>
      <c r="B90" s="10" t="s">
        <v>86</v>
      </c>
      <c r="C90" s="10" t="s">
        <v>91</v>
      </c>
      <c r="D90" s="10" t="s">
        <v>92</v>
      </c>
      <c r="E90" s="10">
        <v>1063951655</v>
      </c>
      <c r="F90" s="23" t="s">
        <v>1392</v>
      </c>
      <c r="G90" s="12" t="s">
        <v>11</v>
      </c>
      <c r="H90" s="12" t="s">
        <v>1393</v>
      </c>
      <c r="I90" s="53">
        <v>45590</v>
      </c>
      <c r="J90" s="10" t="str">
        <f t="shared" ca="1" si="0"/>
        <v xml:space="preserve">1  Años, 10  Mes, 1 Dias </v>
      </c>
      <c r="K90" s="12" t="s">
        <v>113</v>
      </c>
      <c r="L90" s="20"/>
      <c r="M90" s="5"/>
      <c r="N90" s="10" t="s">
        <v>120</v>
      </c>
      <c r="O90" s="10" t="s">
        <v>236</v>
      </c>
      <c r="P90" s="10" t="s">
        <v>142</v>
      </c>
      <c r="Q90" s="18" t="s">
        <v>128</v>
      </c>
      <c r="R90" s="12" t="s">
        <v>133</v>
      </c>
      <c r="S90" s="10" t="s">
        <v>1399</v>
      </c>
      <c r="T90" s="10" t="s">
        <v>136</v>
      </c>
      <c r="U90" s="10">
        <v>3138934757</v>
      </c>
      <c r="V90" s="19"/>
      <c r="W90" s="10" t="s">
        <v>1400</v>
      </c>
      <c r="X90" s="10" t="s">
        <v>136</v>
      </c>
      <c r="Y90" s="10" t="s">
        <v>1401</v>
      </c>
      <c r="Z90" s="19"/>
      <c r="AA90" s="31"/>
      <c r="AB90" s="31"/>
      <c r="AC90" s="53">
        <v>45616</v>
      </c>
      <c r="AD90" s="31"/>
    </row>
    <row r="91" spans="1:30" ht="15.75" customHeight="1" x14ac:dyDescent="0.25">
      <c r="A91" s="10" t="s">
        <v>77</v>
      </c>
      <c r="B91" s="10" t="s">
        <v>86</v>
      </c>
      <c r="C91" s="10" t="s">
        <v>91</v>
      </c>
      <c r="D91" s="10" t="s">
        <v>92</v>
      </c>
      <c r="E91" s="12">
        <v>1042996737</v>
      </c>
      <c r="F91" s="23" t="s">
        <v>1406</v>
      </c>
      <c r="G91" s="12" t="s">
        <v>26</v>
      </c>
      <c r="H91" s="5"/>
      <c r="I91" s="13">
        <v>45840</v>
      </c>
      <c r="J91" s="10" t="str">
        <f t="shared" ca="1" si="0"/>
        <v xml:space="preserve">1  Años, 1  Mes, 24 Dias </v>
      </c>
      <c r="K91" s="12" t="s">
        <v>113</v>
      </c>
      <c r="L91" s="16">
        <v>31746</v>
      </c>
      <c r="M91" s="10">
        <f ca="1">IF(L91=0,"", DATEDIF(L91,TODAY(),"y"))</f>
        <v>39</v>
      </c>
      <c r="N91" s="10" t="s">
        <v>120</v>
      </c>
      <c r="O91" s="10" t="s">
        <v>122</v>
      </c>
      <c r="P91" s="12" t="s">
        <v>124</v>
      </c>
      <c r="Q91" s="18" t="s">
        <v>128</v>
      </c>
      <c r="R91" s="10" t="s">
        <v>133</v>
      </c>
      <c r="S91" s="12" t="s">
        <v>1415</v>
      </c>
      <c r="T91" s="12" t="s">
        <v>1416</v>
      </c>
      <c r="U91" s="5"/>
      <c r="V91" s="5"/>
      <c r="W91" s="5"/>
      <c r="X91" s="5"/>
      <c r="Y91" s="5"/>
      <c r="Z91" s="5"/>
      <c r="AA91" s="20"/>
      <c r="AB91" s="20"/>
      <c r="AC91" s="16">
        <v>45840</v>
      </c>
      <c r="AD91" s="10" t="s">
        <v>209</v>
      </c>
    </row>
    <row r="92" spans="1:30" ht="15.75" customHeight="1" x14ac:dyDescent="0.25">
      <c r="A92" s="10" t="s">
        <v>77</v>
      </c>
      <c r="B92" s="10" t="s">
        <v>86</v>
      </c>
      <c r="C92" s="10" t="s">
        <v>91</v>
      </c>
      <c r="D92" s="10" t="s">
        <v>92</v>
      </c>
      <c r="E92" s="12">
        <v>1042430723</v>
      </c>
      <c r="F92" s="15" t="s">
        <v>1421</v>
      </c>
      <c r="G92" s="10" t="s">
        <v>26</v>
      </c>
      <c r="H92" s="15" t="s">
        <v>1422</v>
      </c>
      <c r="I92" s="53">
        <v>45653</v>
      </c>
      <c r="J92" s="10" t="str">
        <f t="shared" ca="1" si="0"/>
        <v xml:space="preserve">1  Años, 7  Mes, 30 Dias </v>
      </c>
      <c r="K92" s="12" t="s">
        <v>113</v>
      </c>
      <c r="L92" s="16">
        <v>32689</v>
      </c>
      <c r="M92" s="12">
        <v>35</v>
      </c>
      <c r="N92" s="10" t="s">
        <v>120</v>
      </c>
      <c r="O92" s="10" t="s">
        <v>236</v>
      </c>
      <c r="P92" s="12" t="s">
        <v>142</v>
      </c>
      <c r="Q92" s="18" t="s">
        <v>128</v>
      </c>
      <c r="R92" s="10" t="s">
        <v>133</v>
      </c>
      <c r="S92" s="12" t="s">
        <v>1429</v>
      </c>
      <c r="T92" s="12" t="s">
        <v>151</v>
      </c>
      <c r="U92" s="12">
        <v>3209560056</v>
      </c>
      <c r="V92" s="5"/>
      <c r="W92" s="12" t="s">
        <v>1431</v>
      </c>
      <c r="X92" s="12" t="s">
        <v>136</v>
      </c>
      <c r="Y92" s="12" t="s">
        <v>605</v>
      </c>
      <c r="Z92" s="12" t="s">
        <v>170</v>
      </c>
      <c r="AA92" s="20"/>
      <c r="AB92" s="20"/>
      <c r="AC92" s="16">
        <v>45700</v>
      </c>
      <c r="AD92" s="10" t="s">
        <v>148</v>
      </c>
    </row>
    <row r="93" spans="1:30" ht="15.75" customHeight="1" x14ac:dyDescent="0.25">
      <c r="A93" s="10" t="s">
        <v>77</v>
      </c>
      <c r="B93" s="10" t="s">
        <v>86</v>
      </c>
      <c r="C93" s="10" t="s">
        <v>91</v>
      </c>
      <c r="D93" s="10" t="s">
        <v>92</v>
      </c>
      <c r="E93" s="12">
        <v>1042430723</v>
      </c>
      <c r="F93" s="15" t="s">
        <v>1421</v>
      </c>
      <c r="G93" s="12" t="s">
        <v>26</v>
      </c>
      <c r="H93" s="12" t="s">
        <v>1435</v>
      </c>
      <c r="I93" s="16">
        <v>45749</v>
      </c>
      <c r="J93" s="10" t="str">
        <f t="shared" ca="1" si="0"/>
        <v xml:space="preserve">1  Años, 4  Mes, 24 Dias </v>
      </c>
      <c r="K93" s="12" t="s">
        <v>113</v>
      </c>
      <c r="L93" s="5"/>
      <c r="M93" s="19" t="str">
        <f ca="1">IF(L93=0,"", DATEDIF(L93,TODAY(),"y"))</f>
        <v/>
      </c>
      <c r="N93" s="10" t="s">
        <v>120</v>
      </c>
      <c r="O93" s="10" t="s">
        <v>277</v>
      </c>
      <c r="P93" s="12" t="s">
        <v>142</v>
      </c>
      <c r="Q93" s="18" t="s">
        <v>128</v>
      </c>
      <c r="R93" s="10" t="s">
        <v>133</v>
      </c>
      <c r="S93" s="12" t="s">
        <v>1441</v>
      </c>
      <c r="T93" s="12" t="s">
        <v>136</v>
      </c>
      <c r="U93" s="12" t="s">
        <v>1442</v>
      </c>
      <c r="V93" s="5"/>
      <c r="W93" s="12" t="s">
        <v>1443</v>
      </c>
      <c r="X93" s="12" t="s">
        <v>136</v>
      </c>
      <c r="Y93" s="12" t="s">
        <v>605</v>
      </c>
      <c r="Z93" s="12" t="s">
        <v>170</v>
      </c>
      <c r="AA93" s="20"/>
      <c r="AB93" s="20"/>
      <c r="AC93" s="16">
        <v>45757</v>
      </c>
      <c r="AD93" s="10" t="s">
        <v>1114</v>
      </c>
    </row>
    <row r="94" spans="1:30" ht="15.75" customHeight="1" x14ac:dyDescent="0.25">
      <c r="A94" s="10" t="s">
        <v>160</v>
      </c>
      <c r="B94" s="10" t="s">
        <v>86</v>
      </c>
      <c r="C94" s="10" t="s">
        <v>91</v>
      </c>
      <c r="D94" s="10" t="s">
        <v>92</v>
      </c>
      <c r="E94" s="92">
        <v>1001880078</v>
      </c>
      <c r="F94" s="93" t="s">
        <v>1447</v>
      </c>
      <c r="G94" s="12" t="s">
        <v>688</v>
      </c>
      <c r="H94" s="5"/>
      <c r="I94" s="13">
        <v>45559</v>
      </c>
      <c r="J94" s="10" t="str">
        <f t="shared" ca="1" si="0"/>
        <v xml:space="preserve">1  Años, 11  Mes, 2 Dias </v>
      </c>
      <c r="K94" s="10" t="s">
        <v>113</v>
      </c>
      <c r="L94" s="19"/>
      <c r="M94" s="19"/>
      <c r="N94" s="10" t="s">
        <v>320</v>
      </c>
      <c r="O94" s="10" t="s">
        <v>236</v>
      </c>
      <c r="P94" s="12" t="s">
        <v>124</v>
      </c>
      <c r="Q94" s="18" t="s">
        <v>128</v>
      </c>
      <c r="R94" s="10" t="s">
        <v>133</v>
      </c>
      <c r="S94" s="5"/>
      <c r="T94" s="5"/>
      <c r="U94" s="5"/>
      <c r="V94" s="5"/>
      <c r="W94" s="5"/>
      <c r="X94" s="5"/>
      <c r="Y94" s="5"/>
      <c r="Z94" s="5"/>
      <c r="AA94" s="33"/>
      <c r="AB94" s="33"/>
      <c r="AC94" s="35">
        <v>45656</v>
      </c>
      <c r="AD94" s="5"/>
    </row>
    <row r="95" spans="1:30" ht="15.75" customHeight="1" x14ac:dyDescent="0.25">
      <c r="A95" s="10" t="s">
        <v>77</v>
      </c>
      <c r="B95" s="10" t="s">
        <v>90</v>
      </c>
      <c r="C95" s="10" t="s">
        <v>175</v>
      </c>
      <c r="D95" s="10" t="s">
        <v>92</v>
      </c>
      <c r="E95" s="10">
        <v>8486120</v>
      </c>
      <c r="F95" s="23" t="s">
        <v>615</v>
      </c>
      <c r="G95" s="10" t="s">
        <v>11</v>
      </c>
      <c r="H95" s="10" t="s">
        <v>618</v>
      </c>
      <c r="I95" s="13">
        <v>45831</v>
      </c>
      <c r="J95" s="10" t="str">
        <f t="shared" ca="1" si="0"/>
        <v xml:space="preserve">1  Años, 2  Mes, 3 Dias </v>
      </c>
      <c r="K95" s="10" t="s">
        <v>113</v>
      </c>
      <c r="L95" s="19"/>
      <c r="M95" s="19" t="str">
        <f t="shared" ref="M95:M99" ca="1" si="12">IF(L95=0,"", DATEDIF(L95,TODAY(),"y"))</f>
        <v/>
      </c>
      <c r="N95" s="10" t="s">
        <v>120</v>
      </c>
      <c r="O95" s="10" t="s">
        <v>122</v>
      </c>
      <c r="P95" s="10" t="s">
        <v>142</v>
      </c>
      <c r="Q95" s="18" t="s">
        <v>128</v>
      </c>
      <c r="R95" s="10" t="s">
        <v>133</v>
      </c>
      <c r="S95" s="10" t="s">
        <v>626</v>
      </c>
      <c r="T95" s="10" t="s">
        <v>136</v>
      </c>
      <c r="U95" s="10">
        <v>3008264446</v>
      </c>
      <c r="V95" s="19"/>
      <c r="W95" s="10" t="s">
        <v>630</v>
      </c>
      <c r="X95" s="10" t="s">
        <v>136</v>
      </c>
      <c r="Y95" s="10" t="s">
        <v>206</v>
      </c>
      <c r="Z95" s="10" t="s">
        <v>170</v>
      </c>
      <c r="AA95" s="24"/>
      <c r="AB95" s="24"/>
      <c r="AC95" s="13">
        <v>45362</v>
      </c>
      <c r="AD95" s="13" t="s">
        <v>209</v>
      </c>
    </row>
    <row r="96" spans="1:30" ht="15.75" customHeight="1" x14ac:dyDescent="0.25">
      <c r="A96" s="10" t="s">
        <v>77</v>
      </c>
      <c r="B96" s="10" t="s">
        <v>90</v>
      </c>
      <c r="C96" s="10" t="s">
        <v>175</v>
      </c>
      <c r="D96" s="10" t="s">
        <v>92</v>
      </c>
      <c r="E96" s="10">
        <v>1048279771</v>
      </c>
      <c r="F96" s="23" t="s">
        <v>112</v>
      </c>
      <c r="G96" s="10" t="s">
        <v>11</v>
      </c>
      <c r="H96" s="10" t="s">
        <v>647</v>
      </c>
      <c r="I96" s="13">
        <v>45831</v>
      </c>
      <c r="J96" s="10" t="str">
        <f t="shared" ca="1" si="0"/>
        <v xml:space="preserve">1  Años, 2  Mes, 3 Dias </v>
      </c>
      <c r="K96" s="10" t="s">
        <v>113</v>
      </c>
      <c r="L96" s="24"/>
      <c r="M96" s="19" t="str">
        <f t="shared" ca="1" si="12"/>
        <v/>
      </c>
      <c r="N96" s="10" t="s">
        <v>120</v>
      </c>
      <c r="O96" s="10" t="s">
        <v>122</v>
      </c>
      <c r="P96" s="10" t="s">
        <v>124</v>
      </c>
      <c r="Q96" s="18" t="s">
        <v>128</v>
      </c>
      <c r="R96" s="10" t="s">
        <v>133</v>
      </c>
      <c r="S96" s="10" t="s">
        <v>654</v>
      </c>
      <c r="T96" s="10" t="s">
        <v>136</v>
      </c>
      <c r="U96" s="10">
        <v>3136935201</v>
      </c>
      <c r="V96" s="19"/>
      <c r="W96" s="10" t="s">
        <v>659</v>
      </c>
      <c r="X96" s="10" t="s">
        <v>136</v>
      </c>
      <c r="Y96" s="10" t="s">
        <v>206</v>
      </c>
      <c r="Z96" s="10" t="s">
        <v>170</v>
      </c>
      <c r="AA96" s="45"/>
      <c r="AB96" s="19"/>
      <c r="AC96" s="24"/>
      <c r="AD96" s="10" t="s">
        <v>209</v>
      </c>
    </row>
    <row r="97" spans="1:30" ht="15.75" customHeight="1" x14ac:dyDescent="0.25">
      <c r="A97" s="10" t="s">
        <v>77</v>
      </c>
      <c r="B97" s="10" t="s">
        <v>86</v>
      </c>
      <c r="C97" s="10" t="s">
        <v>91</v>
      </c>
      <c r="D97" s="10" t="s">
        <v>92</v>
      </c>
      <c r="E97" s="10">
        <v>1042422999</v>
      </c>
      <c r="F97" s="23" t="s">
        <v>610</v>
      </c>
      <c r="G97" s="10" t="s">
        <v>18</v>
      </c>
      <c r="H97" s="10" t="s">
        <v>1474</v>
      </c>
      <c r="I97" s="13">
        <v>45262</v>
      </c>
      <c r="J97" s="10" t="str">
        <f t="shared" ca="1" si="0"/>
        <v xml:space="preserve">2  Años, 8  Mes, 24 Dias </v>
      </c>
      <c r="K97" s="10" t="s">
        <v>113</v>
      </c>
      <c r="L97" s="24"/>
      <c r="M97" s="19" t="str">
        <f t="shared" ca="1" si="12"/>
        <v/>
      </c>
      <c r="N97" s="10" t="s">
        <v>120</v>
      </c>
      <c r="O97" s="10" t="s">
        <v>122</v>
      </c>
      <c r="P97" s="10" t="s">
        <v>124</v>
      </c>
      <c r="Q97" s="18" t="s">
        <v>128</v>
      </c>
      <c r="R97" s="10" t="s">
        <v>133</v>
      </c>
      <c r="S97" s="10" t="s">
        <v>1476</v>
      </c>
      <c r="T97" s="10" t="s">
        <v>136</v>
      </c>
      <c r="U97" s="10">
        <v>3008523779</v>
      </c>
      <c r="V97" s="19"/>
      <c r="W97" s="10" t="s">
        <v>1477</v>
      </c>
      <c r="X97" s="10" t="s">
        <v>136</v>
      </c>
      <c r="Y97" s="10" t="s">
        <v>206</v>
      </c>
      <c r="Z97" s="10" t="s">
        <v>216</v>
      </c>
      <c r="AA97" s="24"/>
      <c r="AB97" s="24"/>
      <c r="AC97" s="13">
        <v>45336</v>
      </c>
      <c r="AD97" s="24"/>
    </row>
    <row r="98" spans="1:30" ht="15.75" customHeight="1" x14ac:dyDescent="0.25">
      <c r="A98" s="10" t="s">
        <v>77</v>
      </c>
      <c r="B98" s="10" t="s">
        <v>90</v>
      </c>
      <c r="C98" s="10" t="s">
        <v>175</v>
      </c>
      <c r="D98" s="10" t="s">
        <v>92</v>
      </c>
      <c r="E98" s="10">
        <v>1045686253</v>
      </c>
      <c r="F98" s="23" t="s">
        <v>910</v>
      </c>
      <c r="G98" s="10" t="s">
        <v>26</v>
      </c>
      <c r="H98" s="10" t="s">
        <v>911</v>
      </c>
      <c r="I98" s="13">
        <v>45864</v>
      </c>
      <c r="J98" s="10" t="str">
        <f t="shared" ca="1" si="0"/>
        <v xml:space="preserve">1  Años, 1  Mes, 0 Dias </v>
      </c>
      <c r="K98" s="10" t="s">
        <v>113</v>
      </c>
      <c r="L98" s="13">
        <v>32909</v>
      </c>
      <c r="M98" s="10">
        <f t="shared" ca="1" si="12"/>
        <v>36</v>
      </c>
      <c r="N98" s="10" t="s">
        <v>120</v>
      </c>
      <c r="O98" s="10" t="s">
        <v>122</v>
      </c>
      <c r="P98" s="10" t="s">
        <v>124</v>
      </c>
      <c r="Q98" s="18" t="s">
        <v>128</v>
      </c>
      <c r="R98" s="10" t="s">
        <v>133</v>
      </c>
      <c r="S98" s="10" t="s">
        <v>915</v>
      </c>
      <c r="T98" s="10" t="s">
        <v>151</v>
      </c>
      <c r="U98" s="10">
        <v>3002336025</v>
      </c>
      <c r="V98" s="19"/>
      <c r="W98" s="19"/>
      <c r="X98" s="10" t="s">
        <v>136</v>
      </c>
      <c r="Y98" s="19"/>
      <c r="Z98" s="19"/>
      <c r="AA98" s="45"/>
      <c r="AB98" s="19"/>
      <c r="AC98" s="24"/>
      <c r="AD98" s="10" t="s">
        <v>209</v>
      </c>
    </row>
    <row r="99" spans="1:30" ht="15.75" customHeight="1" x14ac:dyDescent="0.25">
      <c r="A99" s="10" t="s">
        <v>77</v>
      </c>
      <c r="B99" s="10" t="s">
        <v>86</v>
      </c>
      <c r="C99" s="10" t="s">
        <v>91</v>
      </c>
      <c r="D99" s="10" t="s">
        <v>92</v>
      </c>
      <c r="E99" s="10">
        <v>1080017220</v>
      </c>
      <c r="F99" s="23" t="s">
        <v>1481</v>
      </c>
      <c r="G99" s="10" t="s">
        <v>18</v>
      </c>
      <c r="H99" s="10" t="s">
        <v>1482</v>
      </c>
      <c r="I99" s="13">
        <v>45317</v>
      </c>
      <c r="J99" s="10" t="str">
        <f t="shared" ca="1" si="0"/>
        <v xml:space="preserve">2  Años, 7  Mes, 0 Dias </v>
      </c>
      <c r="K99" s="10" t="s">
        <v>113</v>
      </c>
      <c r="L99" s="13">
        <v>34451</v>
      </c>
      <c r="M99" s="10">
        <f t="shared" ca="1" si="12"/>
        <v>32</v>
      </c>
      <c r="N99" s="10" t="s">
        <v>120</v>
      </c>
      <c r="O99" s="10" t="s">
        <v>236</v>
      </c>
      <c r="P99" s="10" t="s">
        <v>124</v>
      </c>
      <c r="Q99" s="18" t="s">
        <v>128</v>
      </c>
      <c r="R99" s="10" t="s">
        <v>133</v>
      </c>
      <c r="S99" s="10" t="s">
        <v>1487</v>
      </c>
      <c r="T99" s="10" t="s">
        <v>1488</v>
      </c>
      <c r="U99" s="10">
        <v>3043123429</v>
      </c>
      <c r="V99" s="10" t="s">
        <v>1489</v>
      </c>
      <c r="W99" s="40" t="s">
        <v>1490</v>
      </c>
      <c r="X99" s="10" t="s">
        <v>136</v>
      </c>
      <c r="Y99" s="10" t="s">
        <v>203</v>
      </c>
      <c r="Z99" s="10" t="s">
        <v>170</v>
      </c>
      <c r="AA99" s="24"/>
      <c r="AB99" s="24"/>
      <c r="AC99" s="13">
        <v>45724</v>
      </c>
      <c r="AD99" s="10" t="s">
        <v>1114</v>
      </c>
    </row>
    <row r="100" spans="1:30" ht="15.75" customHeight="1" x14ac:dyDescent="0.25">
      <c r="A100" s="10" t="s">
        <v>77</v>
      </c>
      <c r="B100" s="10" t="s">
        <v>86</v>
      </c>
      <c r="C100" s="10" t="s">
        <v>91</v>
      </c>
      <c r="D100" s="12" t="s">
        <v>92</v>
      </c>
      <c r="E100" s="12">
        <v>1001873610</v>
      </c>
      <c r="F100" s="23" t="s">
        <v>1495</v>
      </c>
      <c r="G100" s="10" t="s">
        <v>11</v>
      </c>
      <c r="H100" s="10" t="s">
        <v>1496</v>
      </c>
      <c r="I100" s="13">
        <v>45831</v>
      </c>
      <c r="J100" s="10" t="str">
        <f t="shared" ca="1" si="0"/>
        <v xml:space="preserve">1  Años, 2  Mes, 3 Dias </v>
      </c>
      <c r="K100" s="12" t="s">
        <v>113</v>
      </c>
      <c r="L100" s="20"/>
      <c r="M100" s="5"/>
      <c r="N100" s="10" t="s">
        <v>120</v>
      </c>
      <c r="O100" s="10" t="s">
        <v>122</v>
      </c>
      <c r="P100" s="12" t="s">
        <v>124</v>
      </c>
      <c r="Q100" s="18" t="s">
        <v>128</v>
      </c>
      <c r="R100" s="12" t="s">
        <v>133</v>
      </c>
      <c r="S100" s="12" t="s">
        <v>1499</v>
      </c>
      <c r="T100" s="12" t="s">
        <v>136</v>
      </c>
      <c r="U100" s="12">
        <v>3007064117</v>
      </c>
      <c r="V100" s="5"/>
      <c r="W100" s="5"/>
      <c r="X100" s="12" t="s">
        <v>136</v>
      </c>
      <c r="Y100" s="12" t="s">
        <v>574</v>
      </c>
      <c r="Z100" s="5"/>
      <c r="AA100" s="47"/>
      <c r="AB100" s="5"/>
      <c r="AC100" s="16">
        <v>45873</v>
      </c>
      <c r="AD100" s="10" t="s">
        <v>209</v>
      </c>
    </row>
    <row r="101" spans="1:30" ht="15.75" customHeight="1" x14ac:dyDescent="0.25">
      <c r="A101" s="10" t="s">
        <v>77</v>
      </c>
      <c r="B101" s="10" t="s">
        <v>86</v>
      </c>
      <c r="C101" s="10" t="s">
        <v>91</v>
      </c>
      <c r="D101" s="10" t="s">
        <v>92</v>
      </c>
      <c r="E101" s="10">
        <v>1045677250</v>
      </c>
      <c r="F101" s="23" t="s">
        <v>609</v>
      </c>
      <c r="G101" s="10" t="s">
        <v>11</v>
      </c>
      <c r="H101" s="10" t="s">
        <v>1505</v>
      </c>
      <c r="I101" s="13">
        <v>45416</v>
      </c>
      <c r="J101" s="10" t="str">
        <f t="shared" ca="1" si="0"/>
        <v xml:space="preserve">2  Años, 3  Mes, 22 Dias </v>
      </c>
      <c r="K101" s="10" t="s">
        <v>113</v>
      </c>
      <c r="L101" s="19"/>
      <c r="M101" s="19" t="str">
        <f t="shared" ref="M101:M102" ca="1" si="13">IF(L101=0,"", DATEDIF(L101,TODAY(),"y"))</f>
        <v/>
      </c>
      <c r="N101" s="10" t="s">
        <v>120</v>
      </c>
      <c r="O101" s="10" t="s">
        <v>122</v>
      </c>
      <c r="P101" s="10" t="s">
        <v>142</v>
      </c>
      <c r="Q101" s="18" t="s">
        <v>128</v>
      </c>
      <c r="R101" s="10" t="s">
        <v>133</v>
      </c>
      <c r="S101" s="10" t="s">
        <v>1513</v>
      </c>
      <c r="T101" s="10" t="s">
        <v>136</v>
      </c>
      <c r="U101" s="10">
        <v>3025052709</v>
      </c>
      <c r="V101" s="10">
        <v>3025052709</v>
      </c>
      <c r="W101" s="10" t="s">
        <v>1514</v>
      </c>
      <c r="X101" s="10" t="s">
        <v>136</v>
      </c>
      <c r="Y101" s="10" t="s">
        <v>206</v>
      </c>
      <c r="Z101" s="10" t="s">
        <v>170</v>
      </c>
      <c r="AA101" s="24"/>
      <c r="AB101" s="24"/>
      <c r="AC101" s="13">
        <v>45731</v>
      </c>
      <c r="AD101" s="10" t="s">
        <v>1515</v>
      </c>
    </row>
    <row r="102" spans="1:30" ht="15.75" customHeight="1" x14ac:dyDescent="0.25">
      <c r="A102" s="10" t="s">
        <v>77</v>
      </c>
      <c r="B102" s="10" t="s">
        <v>90</v>
      </c>
      <c r="C102" s="10" t="s">
        <v>175</v>
      </c>
      <c r="D102" s="10" t="s">
        <v>92</v>
      </c>
      <c r="E102" s="10">
        <v>1043114815</v>
      </c>
      <c r="F102" s="23" t="s">
        <v>751</v>
      </c>
      <c r="G102" s="10" t="s">
        <v>11</v>
      </c>
      <c r="H102" s="10" t="s">
        <v>752</v>
      </c>
      <c r="I102" s="13">
        <v>45864</v>
      </c>
      <c r="J102" s="10" t="str">
        <f t="shared" ca="1" si="0"/>
        <v xml:space="preserve">1  Años, 1  Mes, 0 Dias </v>
      </c>
      <c r="K102" s="10" t="s">
        <v>113</v>
      </c>
      <c r="L102" s="13">
        <v>36922</v>
      </c>
      <c r="M102" s="10">
        <f t="shared" ca="1" si="13"/>
        <v>25</v>
      </c>
      <c r="N102" s="10" t="s">
        <v>120</v>
      </c>
      <c r="O102" s="10" t="s">
        <v>236</v>
      </c>
      <c r="P102" s="10" t="s">
        <v>142</v>
      </c>
      <c r="Q102" s="18" t="s">
        <v>648</v>
      </c>
      <c r="R102" s="10" t="s">
        <v>133</v>
      </c>
      <c r="S102" s="10" t="s">
        <v>757</v>
      </c>
      <c r="T102" s="10" t="s">
        <v>507</v>
      </c>
      <c r="U102" s="10">
        <v>3015273361</v>
      </c>
      <c r="V102" s="19"/>
      <c r="W102" s="19"/>
      <c r="X102" s="10" t="s">
        <v>136</v>
      </c>
      <c r="Y102" s="19"/>
      <c r="Z102" s="19"/>
      <c r="AA102" s="45"/>
      <c r="AB102" s="24"/>
      <c r="AC102" s="24"/>
      <c r="AD102" s="13" t="s">
        <v>209</v>
      </c>
    </row>
    <row r="103" spans="1:30" ht="15.75" customHeight="1" x14ac:dyDescent="0.25">
      <c r="A103" s="10" t="s">
        <v>77</v>
      </c>
      <c r="B103" s="10" t="s">
        <v>90</v>
      </c>
      <c r="C103" s="10" t="s">
        <v>175</v>
      </c>
      <c r="D103" s="10" t="s">
        <v>92</v>
      </c>
      <c r="E103" s="10">
        <v>1043114814</v>
      </c>
      <c r="F103" s="23" t="s">
        <v>667</v>
      </c>
      <c r="G103" s="10" t="s">
        <v>11</v>
      </c>
      <c r="H103" s="10" t="s">
        <v>668</v>
      </c>
      <c r="I103" s="13">
        <v>45831</v>
      </c>
      <c r="J103" s="10" t="str">
        <f t="shared" ca="1" si="0"/>
        <v xml:space="preserve">1  Años, 2  Mes, 3 Dias </v>
      </c>
      <c r="K103" s="12" t="s">
        <v>113</v>
      </c>
      <c r="L103" s="5"/>
      <c r="M103" s="5"/>
      <c r="N103" s="10" t="s">
        <v>120</v>
      </c>
      <c r="O103" s="10" t="s">
        <v>236</v>
      </c>
      <c r="P103" s="10" t="s">
        <v>142</v>
      </c>
      <c r="Q103" s="18" t="s">
        <v>128</v>
      </c>
      <c r="R103" s="12" t="s">
        <v>133</v>
      </c>
      <c r="S103" s="10" t="s">
        <v>674</v>
      </c>
      <c r="T103" s="10" t="s">
        <v>136</v>
      </c>
      <c r="U103" s="10">
        <v>3245038025</v>
      </c>
      <c r="V103" s="19"/>
      <c r="W103" s="10" t="s">
        <v>675</v>
      </c>
      <c r="X103" s="10" t="s">
        <v>136</v>
      </c>
      <c r="Y103" s="10" t="s">
        <v>673</v>
      </c>
      <c r="Z103" s="10" t="s">
        <v>288</v>
      </c>
      <c r="AA103" s="20"/>
      <c r="AB103" s="20"/>
      <c r="AC103" s="20"/>
      <c r="AD103" s="13" t="s">
        <v>209</v>
      </c>
    </row>
    <row r="104" spans="1:30" ht="15.75" customHeight="1" x14ac:dyDescent="0.25">
      <c r="A104" s="10" t="s">
        <v>77</v>
      </c>
      <c r="B104" s="10" t="s">
        <v>86</v>
      </c>
      <c r="C104" s="10" t="s">
        <v>91</v>
      </c>
      <c r="D104" s="10" t="s">
        <v>92</v>
      </c>
      <c r="E104" s="10">
        <v>1052701506</v>
      </c>
      <c r="F104" s="23" t="s">
        <v>1548</v>
      </c>
      <c r="G104" s="10" t="s">
        <v>26</v>
      </c>
      <c r="H104" s="19"/>
      <c r="I104" s="13">
        <v>45842</v>
      </c>
      <c r="J104" s="10" t="str">
        <f t="shared" ca="1" si="0"/>
        <v xml:space="preserve">1  Años, 1  Mes, 22 Dias </v>
      </c>
      <c r="K104" s="10" t="s">
        <v>113</v>
      </c>
      <c r="L104" s="24"/>
      <c r="M104" s="19" t="str">
        <f t="shared" ref="M104:M107" ca="1" si="14">IF(L104=0,"", DATEDIF(L104,TODAY(),"y"))</f>
        <v/>
      </c>
      <c r="N104" s="10" t="s">
        <v>120</v>
      </c>
      <c r="O104" s="10" t="s">
        <v>122</v>
      </c>
      <c r="P104" s="19"/>
      <c r="Q104" s="18" t="s">
        <v>128</v>
      </c>
      <c r="R104" s="10" t="s">
        <v>133</v>
      </c>
      <c r="S104" s="19"/>
      <c r="T104" s="10" t="s">
        <v>136</v>
      </c>
      <c r="U104" s="10">
        <v>3022884119</v>
      </c>
      <c r="V104" s="19"/>
      <c r="W104" s="19"/>
      <c r="X104" s="10" t="s">
        <v>136</v>
      </c>
      <c r="Y104" s="19"/>
      <c r="Z104" s="19"/>
      <c r="AA104" s="24"/>
      <c r="AB104" s="24"/>
      <c r="AC104" s="24"/>
      <c r="AD104" s="24"/>
    </row>
    <row r="105" spans="1:30" ht="15.75" customHeight="1" x14ac:dyDescent="0.25">
      <c r="A105" s="10" t="s">
        <v>77</v>
      </c>
      <c r="B105" s="10" t="s">
        <v>86</v>
      </c>
      <c r="C105" s="10" t="s">
        <v>91</v>
      </c>
      <c r="D105" s="10" t="s">
        <v>92</v>
      </c>
      <c r="E105" s="10">
        <v>72256351</v>
      </c>
      <c r="F105" s="23" t="s">
        <v>604</v>
      </c>
      <c r="G105" s="10" t="s">
        <v>26</v>
      </c>
      <c r="H105" s="10" t="s">
        <v>1558</v>
      </c>
      <c r="I105" s="13">
        <v>45234</v>
      </c>
      <c r="J105" s="10" t="str">
        <f t="shared" ca="1" si="0"/>
        <v xml:space="preserve">2  Años, 9  Mes, 22 Dias </v>
      </c>
      <c r="K105" s="10" t="s">
        <v>113</v>
      </c>
      <c r="L105" s="24"/>
      <c r="M105" s="19" t="str">
        <f t="shared" ca="1" si="14"/>
        <v/>
      </c>
      <c r="N105" s="10" t="s">
        <v>120</v>
      </c>
      <c r="O105" s="10" t="s">
        <v>730</v>
      </c>
      <c r="P105" s="10" t="s">
        <v>142</v>
      </c>
      <c r="Q105" s="18" t="s">
        <v>128</v>
      </c>
      <c r="R105" s="10" t="s">
        <v>133</v>
      </c>
      <c r="S105" s="10" t="s">
        <v>1561</v>
      </c>
      <c r="T105" s="10" t="s">
        <v>136</v>
      </c>
      <c r="U105" s="10">
        <v>3232909358</v>
      </c>
      <c r="V105" s="10">
        <v>3232909358</v>
      </c>
      <c r="W105" s="10" t="s">
        <v>1562</v>
      </c>
      <c r="X105" s="10" t="s">
        <v>136</v>
      </c>
      <c r="Y105" s="10" t="s">
        <v>206</v>
      </c>
      <c r="Z105" s="10" t="s">
        <v>170</v>
      </c>
      <c r="AA105" s="24"/>
      <c r="AB105" s="24"/>
      <c r="AC105" s="13">
        <v>45350</v>
      </c>
      <c r="AD105" s="24"/>
    </row>
    <row r="106" spans="1:30" ht="15.75" customHeight="1" x14ac:dyDescent="0.25">
      <c r="A106" s="10" t="s">
        <v>77</v>
      </c>
      <c r="B106" s="10" t="s">
        <v>86</v>
      </c>
      <c r="C106" s="10" t="s">
        <v>91</v>
      </c>
      <c r="D106" s="10" t="s">
        <v>92</v>
      </c>
      <c r="E106" s="10">
        <v>1043136473</v>
      </c>
      <c r="F106" s="23" t="s">
        <v>1566</v>
      </c>
      <c r="G106" s="10" t="s">
        <v>18</v>
      </c>
      <c r="H106" s="10" t="s">
        <v>1567</v>
      </c>
      <c r="I106" s="13">
        <v>45467</v>
      </c>
      <c r="J106" s="10" t="str">
        <f t="shared" ca="1" si="0"/>
        <v xml:space="preserve">2  Años, 2  Mes, 2 Dias </v>
      </c>
      <c r="K106" s="10" t="s">
        <v>113</v>
      </c>
      <c r="L106" s="24"/>
      <c r="M106" s="19" t="str">
        <f t="shared" ca="1" si="14"/>
        <v/>
      </c>
      <c r="N106" s="10" t="s">
        <v>120</v>
      </c>
      <c r="O106" s="10" t="s">
        <v>122</v>
      </c>
      <c r="P106" s="10" t="s">
        <v>142</v>
      </c>
      <c r="Q106" s="18" t="s">
        <v>128</v>
      </c>
      <c r="R106" s="10" t="s">
        <v>133</v>
      </c>
      <c r="S106" s="10" t="s">
        <v>1570</v>
      </c>
      <c r="T106" s="10" t="s">
        <v>136</v>
      </c>
      <c r="U106" s="10">
        <v>3233140857</v>
      </c>
      <c r="V106" s="19"/>
      <c r="W106" s="10" t="s">
        <v>845</v>
      </c>
      <c r="X106" s="10" t="s">
        <v>136</v>
      </c>
      <c r="Y106" s="10" t="s">
        <v>206</v>
      </c>
      <c r="Z106" s="10" t="s">
        <v>170</v>
      </c>
      <c r="AA106" s="24"/>
      <c r="AB106" s="24"/>
      <c r="AC106" s="13">
        <v>45336</v>
      </c>
      <c r="AD106" s="10" t="s">
        <v>209</v>
      </c>
    </row>
    <row r="107" spans="1:30" ht="15.75" customHeight="1" x14ac:dyDescent="0.25">
      <c r="A107" s="10" t="s">
        <v>77</v>
      </c>
      <c r="B107" s="10" t="s">
        <v>86</v>
      </c>
      <c r="C107" s="10" t="s">
        <v>91</v>
      </c>
      <c r="D107" s="10" t="s">
        <v>92</v>
      </c>
      <c r="E107" s="10">
        <v>72340811</v>
      </c>
      <c r="F107" s="23" t="s">
        <v>1575</v>
      </c>
      <c r="G107" s="10" t="s">
        <v>11</v>
      </c>
      <c r="H107" s="10" t="s">
        <v>1577</v>
      </c>
      <c r="I107" s="13">
        <v>45307</v>
      </c>
      <c r="J107" s="10" t="str">
        <f t="shared" ca="1" si="0"/>
        <v xml:space="preserve">2  Años, 7  Mes, 10 Dias </v>
      </c>
      <c r="K107" s="10" t="s">
        <v>113</v>
      </c>
      <c r="L107" s="13">
        <v>30485</v>
      </c>
      <c r="M107" s="10">
        <f t="shared" ca="1" si="14"/>
        <v>43</v>
      </c>
      <c r="N107" s="10" t="s">
        <v>120</v>
      </c>
      <c r="O107" s="10" t="s">
        <v>277</v>
      </c>
      <c r="P107" s="10" t="s">
        <v>142</v>
      </c>
      <c r="Q107" s="18" t="s">
        <v>128</v>
      </c>
      <c r="R107" s="10" t="s">
        <v>133</v>
      </c>
      <c r="S107" s="10" t="s">
        <v>1582</v>
      </c>
      <c r="T107" s="10" t="s">
        <v>507</v>
      </c>
      <c r="U107" s="10">
        <v>3205811638</v>
      </c>
      <c r="V107" s="19"/>
      <c r="W107" s="10" t="s">
        <v>1583</v>
      </c>
      <c r="X107" s="10" t="s">
        <v>136</v>
      </c>
      <c r="Y107" s="10" t="s">
        <v>155</v>
      </c>
      <c r="Z107" s="10" t="s">
        <v>288</v>
      </c>
      <c r="AA107" s="24"/>
      <c r="AB107" s="24"/>
      <c r="AC107" s="13">
        <v>45734</v>
      </c>
      <c r="AD107" s="10" t="s">
        <v>1515</v>
      </c>
    </row>
    <row r="108" spans="1:30" ht="15.75" customHeight="1" x14ac:dyDescent="0.25">
      <c r="A108" s="10" t="s">
        <v>77</v>
      </c>
      <c r="B108" s="10" t="s">
        <v>86</v>
      </c>
      <c r="C108" s="10" t="s">
        <v>91</v>
      </c>
      <c r="D108" s="10" t="s">
        <v>92</v>
      </c>
      <c r="E108" s="12">
        <v>1051667659</v>
      </c>
      <c r="F108" s="15" t="s">
        <v>1586</v>
      </c>
      <c r="G108" s="12" t="s">
        <v>18</v>
      </c>
      <c r="H108" s="17" t="s">
        <v>1587</v>
      </c>
      <c r="I108" s="13">
        <v>45831</v>
      </c>
      <c r="J108" s="10" t="str">
        <f t="shared" ca="1" si="0"/>
        <v xml:space="preserve">1  Años, 2  Mes, 3 Dias </v>
      </c>
      <c r="K108" s="12" t="s">
        <v>113</v>
      </c>
      <c r="L108" s="16">
        <v>32573</v>
      </c>
      <c r="M108" s="19"/>
      <c r="N108" s="10" t="s">
        <v>120</v>
      </c>
      <c r="O108" s="10" t="s">
        <v>122</v>
      </c>
      <c r="P108" s="12" t="s">
        <v>142</v>
      </c>
      <c r="Q108" s="18" t="s">
        <v>128</v>
      </c>
      <c r="R108" s="10" t="s">
        <v>133</v>
      </c>
      <c r="S108" s="5"/>
      <c r="T108" s="12" t="s">
        <v>507</v>
      </c>
      <c r="U108" s="12">
        <v>3102547435</v>
      </c>
      <c r="V108" s="5"/>
      <c r="W108" s="12" t="s">
        <v>1595</v>
      </c>
      <c r="X108" s="12" t="s">
        <v>136</v>
      </c>
      <c r="Y108" s="5"/>
      <c r="Z108" s="12" t="s">
        <v>72</v>
      </c>
      <c r="AA108" s="31"/>
      <c r="AB108" s="31"/>
      <c r="AC108" s="31"/>
      <c r="AD108" s="10" t="s">
        <v>209</v>
      </c>
    </row>
    <row r="109" spans="1:30" ht="15.75" customHeight="1" x14ac:dyDescent="0.25">
      <c r="A109" s="10" t="s">
        <v>77</v>
      </c>
      <c r="B109" s="10" t="s">
        <v>90</v>
      </c>
      <c r="C109" s="10" t="s">
        <v>175</v>
      </c>
      <c r="D109" s="10" t="s">
        <v>92</v>
      </c>
      <c r="E109" s="10">
        <v>1002184328</v>
      </c>
      <c r="F109" s="23" t="s">
        <v>1432</v>
      </c>
      <c r="G109" s="10" t="s">
        <v>11</v>
      </c>
      <c r="H109" s="10" t="s">
        <v>1434</v>
      </c>
      <c r="I109" s="13">
        <v>45831</v>
      </c>
      <c r="J109" s="10" t="str">
        <f t="shared" ca="1" si="0"/>
        <v xml:space="preserve">1  Años, 2  Mes, 3 Dias </v>
      </c>
      <c r="K109" s="10" t="s">
        <v>113</v>
      </c>
      <c r="L109" s="13">
        <v>33410</v>
      </c>
      <c r="M109" s="10">
        <f t="shared" ref="M109:M111" ca="1" si="15">IF(L109=0,"", DATEDIF(L109,TODAY(),"y"))</f>
        <v>35</v>
      </c>
      <c r="N109" s="10" t="s">
        <v>120</v>
      </c>
      <c r="O109" s="10" t="s">
        <v>122</v>
      </c>
      <c r="P109" s="10" t="s">
        <v>142</v>
      </c>
      <c r="Q109" s="18" t="s">
        <v>128</v>
      </c>
      <c r="R109" s="10" t="s">
        <v>133</v>
      </c>
      <c r="S109" s="10" t="s">
        <v>1436</v>
      </c>
      <c r="T109" s="10" t="s">
        <v>136</v>
      </c>
      <c r="U109" s="10">
        <v>3012170231</v>
      </c>
      <c r="V109" s="19"/>
      <c r="W109" s="40" t="s">
        <v>1437</v>
      </c>
      <c r="X109" s="10" t="s">
        <v>136</v>
      </c>
      <c r="Y109" s="10" t="s">
        <v>169</v>
      </c>
      <c r="Z109" s="10" t="s">
        <v>170</v>
      </c>
      <c r="AA109" s="24"/>
      <c r="AB109" s="24"/>
      <c r="AC109" s="24"/>
      <c r="AD109" s="13" t="s">
        <v>209</v>
      </c>
    </row>
    <row r="110" spans="1:30" ht="15.75" customHeight="1" x14ac:dyDescent="0.25">
      <c r="A110" s="10" t="s">
        <v>77</v>
      </c>
      <c r="B110" s="10" t="s">
        <v>86</v>
      </c>
      <c r="C110" s="10" t="s">
        <v>91</v>
      </c>
      <c r="D110" s="10" t="s">
        <v>92</v>
      </c>
      <c r="E110" s="10">
        <v>72232029</v>
      </c>
      <c r="F110" s="23" t="s">
        <v>552</v>
      </c>
      <c r="G110" s="10" t="s">
        <v>741</v>
      </c>
      <c r="H110" s="10" t="s">
        <v>1612</v>
      </c>
      <c r="I110" s="13">
        <v>44843</v>
      </c>
      <c r="J110" s="10" t="str">
        <f t="shared" ca="1" si="0"/>
        <v xml:space="preserve">3  Años, 10  Mes, 17 Dias </v>
      </c>
      <c r="K110" s="10" t="s">
        <v>113</v>
      </c>
      <c r="L110" s="19"/>
      <c r="M110" s="19" t="str">
        <f t="shared" ca="1" si="15"/>
        <v/>
      </c>
      <c r="N110" s="10" t="s">
        <v>120</v>
      </c>
      <c r="O110" s="10" t="s">
        <v>122</v>
      </c>
      <c r="P110" s="10" t="s">
        <v>142</v>
      </c>
      <c r="Q110" s="18" t="s">
        <v>128</v>
      </c>
      <c r="R110" s="10" t="s">
        <v>133</v>
      </c>
      <c r="S110" s="10" t="s">
        <v>1616</v>
      </c>
      <c r="T110" s="10" t="s">
        <v>136</v>
      </c>
      <c r="U110" s="10">
        <v>3046036688</v>
      </c>
      <c r="V110" s="19"/>
      <c r="W110" s="10" t="s">
        <v>845</v>
      </c>
      <c r="X110" s="10" t="s">
        <v>136</v>
      </c>
      <c r="Y110" s="10" t="s">
        <v>253</v>
      </c>
      <c r="Z110" s="10" t="s">
        <v>373</v>
      </c>
      <c r="AA110" s="33"/>
      <c r="AB110" s="33"/>
      <c r="AC110" s="35">
        <v>44896</v>
      </c>
      <c r="AD110" s="19"/>
    </row>
    <row r="111" spans="1:30" ht="15.75" customHeight="1" x14ac:dyDescent="0.25">
      <c r="A111" s="10" t="s">
        <v>77</v>
      </c>
      <c r="B111" s="10" t="s">
        <v>86</v>
      </c>
      <c r="C111" s="10" t="s">
        <v>91</v>
      </c>
      <c r="D111" s="10" t="s">
        <v>92</v>
      </c>
      <c r="E111" s="10">
        <v>1047216404</v>
      </c>
      <c r="F111" s="23" t="s">
        <v>597</v>
      </c>
      <c r="G111" s="10" t="s">
        <v>18</v>
      </c>
      <c r="H111" s="10" t="s">
        <v>1625</v>
      </c>
      <c r="I111" s="13">
        <v>45153</v>
      </c>
      <c r="J111" s="10" t="str">
        <f t="shared" ca="1" si="0"/>
        <v xml:space="preserve">3  Años, 0  Mes, 11 Dias </v>
      </c>
      <c r="K111" s="10" t="s">
        <v>113</v>
      </c>
      <c r="L111" s="19"/>
      <c r="M111" s="19" t="str">
        <f t="shared" ca="1" si="15"/>
        <v/>
      </c>
      <c r="N111" s="10" t="s">
        <v>120</v>
      </c>
      <c r="O111" s="10" t="s">
        <v>236</v>
      </c>
      <c r="P111" s="10" t="s">
        <v>142</v>
      </c>
      <c r="Q111" s="18" t="s">
        <v>128</v>
      </c>
      <c r="R111" s="10" t="s">
        <v>133</v>
      </c>
      <c r="S111" s="10" t="s">
        <v>1629</v>
      </c>
      <c r="T111" s="10" t="s">
        <v>136</v>
      </c>
      <c r="U111" s="10">
        <v>324648667</v>
      </c>
      <c r="V111" s="10">
        <v>3242648667</v>
      </c>
      <c r="W111" s="10" t="s">
        <v>1631</v>
      </c>
      <c r="X111" s="10" t="s">
        <v>136</v>
      </c>
      <c r="Y111" s="10" t="s">
        <v>206</v>
      </c>
      <c r="Z111" s="10" t="s">
        <v>216</v>
      </c>
      <c r="AA111" s="24"/>
      <c r="AB111" s="24"/>
      <c r="AC111" s="13">
        <v>45343</v>
      </c>
      <c r="AD111" s="24"/>
    </row>
    <row r="112" spans="1:30" ht="15.75" customHeight="1" x14ac:dyDescent="0.25">
      <c r="A112" s="10" t="s">
        <v>77</v>
      </c>
      <c r="B112" s="10" t="s">
        <v>86</v>
      </c>
      <c r="C112" s="10" t="s">
        <v>91</v>
      </c>
      <c r="D112" s="12" t="s">
        <v>92</v>
      </c>
      <c r="E112" s="12">
        <v>1193319777</v>
      </c>
      <c r="F112" s="15" t="s">
        <v>1636</v>
      </c>
      <c r="G112" s="12" t="s">
        <v>11</v>
      </c>
      <c r="H112" s="10" t="s">
        <v>1637</v>
      </c>
      <c r="I112" s="16">
        <v>45631</v>
      </c>
      <c r="J112" s="10" t="str">
        <f t="shared" ca="1" si="0"/>
        <v xml:space="preserve">1  Años, 8  Mes, 21 Dias </v>
      </c>
      <c r="K112" s="12" t="s">
        <v>113</v>
      </c>
      <c r="L112" s="20"/>
      <c r="M112" s="5"/>
      <c r="N112" s="10" t="s">
        <v>120</v>
      </c>
      <c r="O112" s="10" t="s">
        <v>122</v>
      </c>
      <c r="P112" s="12" t="s">
        <v>142</v>
      </c>
      <c r="Q112" s="18" t="s">
        <v>648</v>
      </c>
      <c r="R112" s="12" t="s">
        <v>133</v>
      </c>
      <c r="S112" s="12" t="s">
        <v>1640</v>
      </c>
      <c r="T112" s="12" t="s">
        <v>136</v>
      </c>
      <c r="U112" s="12">
        <v>3024607359</v>
      </c>
      <c r="V112" s="5"/>
      <c r="W112" s="5"/>
      <c r="X112" s="12" t="s">
        <v>136</v>
      </c>
      <c r="Y112" s="12" t="s">
        <v>673</v>
      </c>
      <c r="Z112" s="5"/>
      <c r="AA112" s="20"/>
      <c r="AB112" s="20"/>
      <c r="AC112" s="16">
        <v>45806</v>
      </c>
      <c r="AD112" s="13" t="s">
        <v>148</v>
      </c>
    </row>
    <row r="113" spans="1:30" ht="15.75" customHeight="1" x14ac:dyDescent="0.25">
      <c r="A113" s="10" t="s">
        <v>77</v>
      </c>
      <c r="B113" s="10" t="s">
        <v>86</v>
      </c>
      <c r="C113" s="10" t="s">
        <v>91</v>
      </c>
      <c r="D113" s="10" t="s">
        <v>92</v>
      </c>
      <c r="E113" s="10">
        <v>92552739</v>
      </c>
      <c r="F113" s="23" t="s">
        <v>596</v>
      </c>
      <c r="G113" s="10" t="s">
        <v>11</v>
      </c>
      <c r="H113" s="10" t="s">
        <v>1648</v>
      </c>
      <c r="I113" s="13">
        <v>44843</v>
      </c>
      <c r="J113" s="10" t="str">
        <f t="shared" ca="1" si="0"/>
        <v xml:space="preserve">3  Años, 10  Mes, 17 Dias </v>
      </c>
      <c r="K113" s="10" t="s">
        <v>113</v>
      </c>
      <c r="L113" s="19"/>
      <c r="M113" s="19" t="str">
        <f t="shared" ref="M113:M116" ca="1" si="16">IF(L113=0,"", DATEDIF(L113,TODAY(),"y"))</f>
        <v/>
      </c>
      <c r="N113" s="10" t="s">
        <v>120</v>
      </c>
      <c r="O113" s="10" t="s">
        <v>122</v>
      </c>
      <c r="P113" s="10" t="s">
        <v>142</v>
      </c>
      <c r="Q113" s="18" t="s">
        <v>128</v>
      </c>
      <c r="R113" s="10" t="s">
        <v>133</v>
      </c>
      <c r="S113" s="10" t="s">
        <v>1658</v>
      </c>
      <c r="T113" s="10" t="s">
        <v>136</v>
      </c>
      <c r="U113" s="10">
        <v>3015228326</v>
      </c>
      <c r="V113" s="19"/>
      <c r="W113" s="10" t="s">
        <v>845</v>
      </c>
      <c r="X113" s="10" t="s">
        <v>136</v>
      </c>
      <c r="Y113" s="10" t="s">
        <v>206</v>
      </c>
      <c r="Z113" s="10" t="s">
        <v>255</v>
      </c>
      <c r="AA113" s="24"/>
      <c r="AB113" s="24"/>
      <c r="AC113" s="13">
        <v>45353</v>
      </c>
      <c r="AD113" s="24"/>
    </row>
    <row r="114" spans="1:30" ht="15.75" customHeight="1" x14ac:dyDescent="0.25">
      <c r="A114" s="10" t="s">
        <v>77</v>
      </c>
      <c r="B114" s="10" t="s">
        <v>86</v>
      </c>
      <c r="C114" s="10" t="s">
        <v>91</v>
      </c>
      <c r="D114" s="10" t="s">
        <v>92</v>
      </c>
      <c r="E114" s="10">
        <v>1143356856</v>
      </c>
      <c r="F114" s="23" t="s">
        <v>1662</v>
      </c>
      <c r="G114" s="10" t="s">
        <v>18</v>
      </c>
      <c r="H114" s="10" t="s">
        <v>1663</v>
      </c>
      <c r="I114" s="13">
        <v>45307</v>
      </c>
      <c r="J114" s="10" t="str">
        <f t="shared" ca="1" si="0"/>
        <v xml:space="preserve">2  Años, 7  Mes, 10 Dias </v>
      </c>
      <c r="K114" s="10" t="s">
        <v>113</v>
      </c>
      <c r="L114" s="13">
        <v>33562</v>
      </c>
      <c r="M114" s="10">
        <f t="shared" ca="1" si="16"/>
        <v>34</v>
      </c>
      <c r="N114" s="10" t="s">
        <v>120</v>
      </c>
      <c r="O114" s="10" t="s">
        <v>122</v>
      </c>
      <c r="P114" s="10" t="s">
        <v>142</v>
      </c>
      <c r="Q114" s="18" t="s">
        <v>128</v>
      </c>
      <c r="R114" s="10" t="s">
        <v>133</v>
      </c>
      <c r="S114" s="10" t="s">
        <v>1667</v>
      </c>
      <c r="T114" s="10" t="s">
        <v>136</v>
      </c>
      <c r="U114" s="10">
        <v>3243988759</v>
      </c>
      <c r="V114" s="19"/>
      <c r="W114" s="40" t="s">
        <v>1669</v>
      </c>
      <c r="X114" s="10" t="s">
        <v>136</v>
      </c>
      <c r="Y114" s="10" t="s">
        <v>831</v>
      </c>
      <c r="Z114" s="10" t="s">
        <v>170</v>
      </c>
      <c r="AA114" s="24"/>
      <c r="AB114" s="24"/>
      <c r="AC114" s="13">
        <v>45362</v>
      </c>
      <c r="AD114" s="24"/>
    </row>
    <row r="115" spans="1:30" ht="15.75" customHeight="1" x14ac:dyDescent="0.25">
      <c r="A115" s="10" t="s">
        <v>77</v>
      </c>
      <c r="B115" s="10" t="s">
        <v>90</v>
      </c>
      <c r="C115" s="10" t="s">
        <v>175</v>
      </c>
      <c r="D115" s="10" t="s">
        <v>92</v>
      </c>
      <c r="E115" s="10">
        <v>1048268885</v>
      </c>
      <c r="F115" s="23" t="s">
        <v>110</v>
      </c>
      <c r="G115" s="10" t="s">
        <v>18</v>
      </c>
      <c r="H115" s="10" t="s">
        <v>681</v>
      </c>
      <c r="I115" s="13">
        <v>45831</v>
      </c>
      <c r="J115" s="10" t="str">
        <f t="shared" ca="1" si="0"/>
        <v xml:space="preserve">1  Años, 2  Mes, 3 Dias </v>
      </c>
      <c r="K115" s="10" t="s">
        <v>113</v>
      </c>
      <c r="L115" s="19"/>
      <c r="M115" s="19" t="str">
        <f t="shared" ca="1" si="16"/>
        <v/>
      </c>
      <c r="N115" s="10" t="s">
        <v>120</v>
      </c>
      <c r="O115" s="10" t="s">
        <v>122</v>
      </c>
      <c r="P115" s="10" t="s">
        <v>124</v>
      </c>
      <c r="Q115" s="18" t="s">
        <v>128</v>
      </c>
      <c r="R115" s="10" t="s">
        <v>133</v>
      </c>
      <c r="S115" s="10" t="s">
        <v>686</v>
      </c>
      <c r="T115" s="10" t="s">
        <v>136</v>
      </c>
      <c r="U115" s="10">
        <v>3225830944</v>
      </c>
      <c r="V115" s="19"/>
      <c r="W115" s="10" t="s">
        <v>689</v>
      </c>
      <c r="X115" s="10" t="s">
        <v>136</v>
      </c>
      <c r="Y115" s="10" t="s">
        <v>206</v>
      </c>
      <c r="Z115" s="10" t="s">
        <v>170</v>
      </c>
      <c r="AA115" s="24"/>
      <c r="AB115" s="24"/>
      <c r="AC115" s="24"/>
      <c r="AD115" s="10" t="s">
        <v>209</v>
      </c>
    </row>
    <row r="116" spans="1:30" ht="15.75" customHeight="1" x14ac:dyDescent="0.25">
      <c r="A116" s="10" t="s">
        <v>77</v>
      </c>
      <c r="B116" s="10" t="s">
        <v>86</v>
      </c>
      <c r="C116" s="10" t="s">
        <v>91</v>
      </c>
      <c r="D116" s="10" t="s">
        <v>92</v>
      </c>
      <c r="E116" s="10">
        <v>1045739794</v>
      </c>
      <c r="F116" s="23" t="s">
        <v>594</v>
      </c>
      <c r="G116" s="10" t="s">
        <v>741</v>
      </c>
      <c r="H116" s="10" t="s">
        <v>1680</v>
      </c>
      <c r="I116" s="13">
        <v>45265</v>
      </c>
      <c r="J116" s="10" t="str">
        <f t="shared" ca="1" si="0"/>
        <v xml:space="preserve">2  Años, 8  Mes, 21 Dias </v>
      </c>
      <c r="K116" s="10" t="s">
        <v>113</v>
      </c>
      <c r="L116" s="19"/>
      <c r="M116" s="19" t="str">
        <f t="shared" ca="1" si="16"/>
        <v/>
      </c>
      <c r="N116" s="10" t="s">
        <v>120</v>
      </c>
      <c r="O116" s="10" t="s">
        <v>122</v>
      </c>
      <c r="P116" s="10" t="s">
        <v>142</v>
      </c>
      <c r="Q116" s="18" t="s">
        <v>128</v>
      </c>
      <c r="R116" s="10" t="s">
        <v>133</v>
      </c>
      <c r="S116" s="10" t="s">
        <v>1682</v>
      </c>
      <c r="T116" s="10" t="s">
        <v>136</v>
      </c>
      <c r="U116" s="10">
        <v>3204137462</v>
      </c>
      <c r="V116" s="10">
        <v>3204137462</v>
      </c>
      <c r="W116" s="10" t="s">
        <v>1683</v>
      </c>
      <c r="X116" s="10" t="s">
        <v>136</v>
      </c>
      <c r="Y116" s="10" t="s">
        <v>791</v>
      </c>
      <c r="Z116" s="10" t="s">
        <v>170</v>
      </c>
      <c r="AA116" s="24"/>
      <c r="AB116" s="24"/>
      <c r="AC116" s="13">
        <v>45378</v>
      </c>
      <c r="AD116" s="24"/>
    </row>
    <row r="117" spans="1:30" ht="15.75" customHeight="1" x14ac:dyDescent="0.25">
      <c r="A117" s="10" t="s">
        <v>77</v>
      </c>
      <c r="B117" s="10" t="s">
        <v>86</v>
      </c>
      <c r="C117" s="10" t="s">
        <v>91</v>
      </c>
      <c r="D117" s="12" t="s">
        <v>92</v>
      </c>
      <c r="E117" s="12">
        <v>1045739794</v>
      </c>
      <c r="F117" s="15" t="s">
        <v>594</v>
      </c>
      <c r="G117" s="10" t="s">
        <v>26</v>
      </c>
      <c r="H117" s="15" t="s">
        <v>1685</v>
      </c>
      <c r="I117" s="16">
        <v>45693</v>
      </c>
      <c r="J117" s="10" t="str">
        <f t="shared" ca="1" si="0"/>
        <v xml:space="preserve">1  Años, 6  Mes, 21 Dias </v>
      </c>
      <c r="K117" s="12" t="s">
        <v>113</v>
      </c>
      <c r="L117" s="5"/>
      <c r="M117" s="12">
        <v>28</v>
      </c>
      <c r="N117" s="10" t="s">
        <v>120</v>
      </c>
      <c r="O117" s="10" t="s">
        <v>236</v>
      </c>
      <c r="P117" s="12" t="s">
        <v>142</v>
      </c>
      <c r="Q117" s="18" t="s">
        <v>128</v>
      </c>
      <c r="R117" s="10" t="s">
        <v>133</v>
      </c>
      <c r="S117" s="12" t="s">
        <v>1689</v>
      </c>
      <c r="T117" s="12" t="s">
        <v>136</v>
      </c>
      <c r="U117" s="12">
        <v>3204137462</v>
      </c>
      <c r="V117" s="5"/>
      <c r="W117" s="12" t="s">
        <v>1683</v>
      </c>
      <c r="X117" s="12" t="s">
        <v>136</v>
      </c>
      <c r="Y117" s="12" t="s">
        <v>673</v>
      </c>
      <c r="Z117" s="12" t="s">
        <v>170</v>
      </c>
      <c r="AA117" s="20"/>
      <c r="AB117" s="20"/>
      <c r="AC117" s="16">
        <v>45703</v>
      </c>
      <c r="AD117" s="13" t="s">
        <v>148</v>
      </c>
    </row>
    <row r="118" spans="1:30" ht="15.75" customHeight="1" x14ac:dyDescent="0.25">
      <c r="A118" s="10" t="s">
        <v>77</v>
      </c>
      <c r="B118" s="10" t="s">
        <v>86</v>
      </c>
      <c r="C118" s="10" t="s">
        <v>91</v>
      </c>
      <c r="D118" s="10" t="s">
        <v>92</v>
      </c>
      <c r="E118" s="10">
        <v>1002183350</v>
      </c>
      <c r="F118" s="23" t="s">
        <v>592</v>
      </c>
      <c r="G118" s="10" t="s">
        <v>741</v>
      </c>
      <c r="H118" s="10" t="s">
        <v>1693</v>
      </c>
      <c r="I118" s="13">
        <v>45203</v>
      </c>
      <c r="J118" s="10" t="str">
        <f t="shared" ca="1" si="0"/>
        <v xml:space="preserve">2  Años, 10  Mes, 22 Dias </v>
      </c>
      <c r="K118" s="10" t="s">
        <v>113</v>
      </c>
      <c r="L118" s="108"/>
      <c r="M118" s="19" t="str">
        <f t="shared" ref="M118:M123" ca="1" si="17">IF(L118=0,"", DATEDIF(L118,TODAY(),"y"))</f>
        <v/>
      </c>
      <c r="N118" s="10" t="s">
        <v>120</v>
      </c>
      <c r="O118" s="10" t="s">
        <v>122</v>
      </c>
      <c r="P118" s="10" t="s">
        <v>142</v>
      </c>
      <c r="Q118" s="18" t="s">
        <v>128</v>
      </c>
      <c r="R118" s="10" t="s">
        <v>133</v>
      </c>
      <c r="S118" s="10" t="s">
        <v>1701</v>
      </c>
      <c r="T118" s="10" t="s">
        <v>136</v>
      </c>
      <c r="U118" s="10">
        <v>3003027125</v>
      </c>
      <c r="V118" s="10">
        <v>3003027125</v>
      </c>
      <c r="W118" s="10" t="s">
        <v>1702</v>
      </c>
      <c r="X118" s="10" t="s">
        <v>136</v>
      </c>
      <c r="Y118" s="10" t="s">
        <v>203</v>
      </c>
      <c r="Z118" s="10" t="s">
        <v>170</v>
      </c>
      <c r="AA118" s="24"/>
      <c r="AB118" s="24"/>
      <c r="AC118" s="13">
        <v>45731</v>
      </c>
      <c r="AD118" s="10" t="s">
        <v>209</v>
      </c>
    </row>
    <row r="119" spans="1:30" ht="15.75" customHeight="1" x14ac:dyDescent="0.25">
      <c r="A119" s="10" t="s">
        <v>77</v>
      </c>
      <c r="B119" s="10" t="s">
        <v>86</v>
      </c>
      <c r="C119" s="10" t="s">
        <v>91</v>
      </c>
      <c r="D119" s="10" t="s">
        <v>92</v>
      </c>
      <c r="E119" s="10">
        <v>1043680075</v>
      </c>
      <c r="F119" s="23" t="s">
        <v>347</v>
      </c>
      <c r="G119" s="10" t="s">
        <v>11</v>
      </c>
      <c r="H119" s="10" t="s">
        <v>1706</v>
      </c>
      <c r="I119" s="13">
        <v>45103</v>
      </c>
      <c r="J119" s="10" t="str">
        <f t="shared" ca="1" si="0"/>
        <v xml:space="preserve">3  Años, 2  Mes, 0 Dias </v>
      </c>
      <c r="K119" s="10" t="s">
        <v>113</v>
      </c>
      <c r="L119" s="24"/>
      <c r="M119" s="19" t="str">
        <f t="shared" ca="1" si="17"/>
        <v/>
      </c>
      <c r="N119" s="10" t="s">
        <v>120</v>
      </c>
      <c r="O119" s="10" t="s">
        <v>277</v>
      </c>
      <c r="P119" s="10" t="s">
        <v>124</v>
      </c>
      <c r="Q119" s="18" t="s">
        <v>128</v>
      </c>
      <c r="R119" s="10" t="s">
        <v>133</v>
      </c>
      <c r="S119" s="10" t="s">
        <v>1714</v>
      </c>
      <c r="T119" s="10" t="s">
        <v>136</v>
      </c>
      <c r="U119" s="10">
        <v>3024105163</v>
      </c>
      <c r="V119" s="19"/>
      <c r="W119" s="10" t="s">
        <v>845</v>
      </c>
      <c r="X119" s="10" t="s">
        <v>136</v>
      </c>
      <c r="Y119" s="10" t="s">
        <v>206</v>
      </c>
      <c r="Z119" s="10" t="s">
        <v>216</v>
      </c>
      <c r="AA119" s="24"/>
      <c r="AB119" s="24"/>
      <c r="AC119" s="13">
        <v>45338</v>
      </c>
      <c r="AD119" s="24"/>
    </row>
    <row r="120" spans="1:30" ht="15.75" customHeight="1" x14ac:dyDescent="0.25">
      <c r="A120" s="10" t="s">
        <v>77</v>
      </c>
      <c r="B120" s="10" t="s">
        <v>86</v>
      </c>
      <c r="C120" s="10" t="s">
        <v>91</v>
      </c>
      <c r="D120" s="10" t="s">
        <v>92</v>
      </c>
      <c r="E120" s="10">
        <v>1002134115</v>
      </c>
      <c r="F120" s="23" t="s">
        <v>1719</v>
      </c>
      <c r="G120" s="10" t="s">
        <v>18</v>
      </c>
      <c r="H120" s="10" t="s">
        <v>1721</v>
      </c>
      <c r="I120" s="13">
        <v>45302</v>
      </c>
      <c r="J120" s="10" t="str">
        <f t="shared" ca="1" si="0"/>
        <v xml:space="preserve">2  Años, 7  Mes, 15 Dias </v>
      </c>
      <c r="K120" s="10" t="s">
        <v>113</v>
      </c>
      <c r="L120" s="52">
        <v>34883</v>
      </c>
      <c r="M120" s="10">
        <f t="shared" ca="1" si="17"/>
        <v>31</v>
      </c>
      <c r="N120" s="10" t="s">
        <v>120</v>
      </c>
      <c r="O120" s="10" t="s">
        <v>122</v>
      </c>
      <c r="P120" s="10" t="s">
        <v>142</v>
      </c>
      <c r="Q120" s="18" t="s">
        <v>128</v>
      </c>
      <c r="R120" s="10" t="s">
        <v>133</v>
      </c>
      <c r="S120" s="10" t="s">
        <v>1723</v>
      </c>
      <c r="T120" s="10" t="s">
        <v>136</v>
      </c>
      <c r="U120" s="10">
        <v>3007505024</v>
      </c>
      <c r="V120" s="19"/>
      <c r="W120" s="10" t="s">
        <v>1725</v>
      </c>
      <c r="X120" s="10" t="s">
        <v>136</v>
      </c>
      <c r="Y120" s="10" t="s">
        <v>155</v>
      </c>
      <c r="Z120" s="10" t="s">
        <v>170</v>
      </c>
      <c r="AA120" s="33"/>
      <c r="AB120" s="33"/>
      <c r="AC120" s="35">
        <v>45656</v>
      </c>
      <c r="AD120" s="24"/>
    </row>
    <row r="121" spans="1:30" ht="15.75" customHeight="1" x14ac:dyDescent="0.25">
      <c r="A121" s="10" t="s">
        <v>77</v>
      </c>
      <c r="B121" s="10" t="s">
        <v>86</v>
      </c>
      <c r="C121" s="10" t="s">
        <v>91</v>
      </c>
      <c r="D121" s="10" t="s">
        <v>92</v>
      </c>
      <c r="E121" s="10">
        <v>1193551483</v>
      </c>
      <c r="F121" s="23" t="s">
        <v>1726</v>
      </c>
      <c r="G121" s="10" t="s">
        <v>26</v>
      </c>
      <c r="H121" s="10" t="s">
        <v>1728</v>
      </c>
      <c r="I121" s="13">
        <v>45317</v>
      </c>
      <c r="J121" s="10" t="str">
        <f t="shared" ca="1" si="0"/>
        <v xml:space="preserve">2  Años, 7  Mes, 0 Dias </v>
      </c>
      <c r="K121" s="10" t="s">
        <v>113</v>
      </c>
      <c r="L121" s="13">
        <v>34945</v>
      </c>
      <c r="M121" s="10">
        <f t="shared" ca="1" si="17"/>
        <v>30</v>
      </c>
      <c r="N121" s="10" t="s">
        <v>120</v>
      </c>
      <c r="O121" s="10" t="s">
        <v>236</v>
      </c>
      <c r="P121" s="10" t="s">
        <v>124</v>
      </c>
      <c r="Q121" s="18" t="s">
        <v>128</v>
      </c>
      <c r="R121" s="10" t="s">
        <v>133</v>
      </c>
      <c r="S121" s="10" t="s">
        <v>1734</v>
      </c>
      <c r="T121" s="10" t="s">
        <v>136</v>
      </c>
      <c r="U121" s="10">
        <v>3014298474</v>
      </c>
      <c r="V121" s="19"/>
      <c r="W121" s="109" t="s">
        <v>1737</v>
      </c>
      <c r="X121" s="10" t="s">
        <v>136</v>
      </c>
      <c r="Y121" s="10" t="s">
        <v>203</v>
      </c>
      <c r="Z121" s="10" t="s">
        <v>288</v>
      </c>
      <c r="AA121" s="24"/>
      <c r="AB121" s="24"/>
      <c r="AC121" s="13">
        <v>45323</v>
      </c>
      <c r="AD121" s="24"/>
    </row>
    <row r="122" spans="1:30" ht="15.75" customHeight="1" x14ac:dyDescent="0.25">
      <c r="A122" s="10" t="s">
        <v>77</v>
      </c>
      <c r="B122" s="10" t="s">
        <v>86</v>
      </c>
      <c r="C122" s="10" t="s">
        <v>91</v>
      </c>
      <c r="D122" s="10" t="s">
        <v>92</v>
      </c>
      <c r="E122" s="37">
        <v>72250199</v>
      </c>
      <c r="F122" s="110" t="s">
        <v>1745</v>
      </c>
      <c r="G122" s="10" t="s">
        <v>26</v>
      </c>
      <c r="H122" s="10" t="s">
        <v>1747</v>
      </c>
      <c r="I122" s="13">
        <v>45330</v>
      </c>
      <c r="J122" s="10" t="str">
        <f t="shared" ca="1" si="0"/>
        <v xml:space="preserve">2  Años, 6  Mes, 18 Dias </v>
      </c>
      <c r="K122" s="10" t="s">
        <v>113</v>
      </c>
      <c r="L122" s="36">
        <v>29047</v>
      </c>
      <c r="M122" s="10">
        <f t="shared" ca="1" si="17"/>
        <v>47</v>
      </c>
      <c r="N122" s="10" t="s">
        <v>120</v>
      </c>
      <c r="O122" s="10" t="s">
        <v>122</v>
      </c>
      <c r="P122" s="10" t="s">
        <v>124</v>
      </c>
      <c r="Q122" s="18" t="s">
        <v>128</v>
      </c>
      <c r="R122" s="10" t="s">
        <v>133</v>
      </c>
      <c r="S122" s="37" t="s">
        <v>1751</v>
      </c>
      <c r="T122" s="10" t="s">
        <v>136</v>
      </c>
      <c r="U122" s="37">
        <v>3043138875</v>
      </c>
      <c r="V122" s="19"/>
      <c r="W122" s="40" t="s">
        <v>1752</v>
      </c>
      <c r="X122" s="10" t="s">
        <v>136</v>
      </c>
      <c r="Y122" s="37" t="s">
        <v>1760</v>
      </c>
      <c r="Z122" s="10" t="s">
        <v>170</v>
      </c>
      <c r="AA122" s="24"/>
      <c r="AB122" s="24"/>
      <c r="AC122" s="13">
        <v>45476</v>
      </c>
      <c r="AD122" s="24"/>
    </row>
    <row r="123" spans="1:30" ht="15.75" customHeight="1" x14ac:dyDescent="0.25">
      <c r="A123" s="10" t="s">
        <v>77</v>
      </c>
      <c r="B123" s="10" t="s">
        <v>86</v>
      </c>
      <c r="C123" s="10" t="s">
        <v>91</v>
      </c>
      <c r="D123" s="10" t="s">
        <v>92</v>
      </c>
      <c r="E123" s="12">
        <v>1047340511</v>
      </c>
      <c r="F123" s="15" t="s">
        <v>1765</v>
      </c>
      <c r="G123" s="10" t="s">
        <v>26</v>
      </c>
      <c r="H123" s="19"/>
      <c r="I123" s="20"/>
      <c r="J123" s="10" t="str">
        <f t="shared" ca="1" si="0"/>
        <v xml:space="preserve">126  Años, 7  Mes, 26 Dias </v>
      </c>
      <c r="K123" s="12" t="s">
        <v>113</v>
      </c>
      <c r="L123" s="20"/>
      <c r="M123" s="19" t="str">
        <f t="shared" ca="1" si="17"/>
        <v/>
      </c>
      <c r="N123" s="10" t="s">
        <v>120</v>
      </c>
      <c r="O123" s="10" t="s">
        <v>122</v>
      </c>
      <c r="P123" s="5"/>
      <c r="Q123" s="18" t="s">
        <v>128</v>
      </c>
      <c r="R123" s="10" t="s">
        <v>133</v>
      </c>
      <c r="S123" s="5"/>
      <c r="T123" s="5"/>
      <c r="U123" s="5"/>
      <c r="V123" s="5"/>
      <c r="W123" s="5"/>
      <c r="X123" s="10" t="s">
        <v>136</v>
      </c>
      <c r="Y123" s="5"/>
      <c r="Z123" s="5"/>
      <c r="AA123" s="5"/>
      <c r="AB123" s="5"/>
      <c r="AC123" s="5"/>
      <c r="AD123" s="10" t="s">
        <v>209</v>
      </c>
    </row>
    <row r="124" spans="1:30" ht="15.75" customHeight="1" x14ac:dyDescent="0.25">
      <c r="A124" s="10" t="s">
        <v>77</v>
      </c>
      <c r="B124" s="10" t="s">
        <v>86</v>
      </c>
      <c r="C124" s="10" t="s">
        <v>91</v>
      </c>
      <c r="D124" s="10" t="s">
        <v>92</v>
      </c>
      <c r="E124" s="10">
        <v>1048330530</v>
      </c>
      <c r="F124" s="23" t="s">
        <v>1775</v>
      </c>
      <c r="G124" s="10" t="s">
        <v>11</v>
      </c>
      <c r="H124" s="10" t="s">
        <v>1776</v>
      </c>
      <c r="I124" s="13">
        <v>45458</v>
      </c>
      <c r="J124" s="10" t="str">
        <f t="shared" ca="1" si="0"/>
        <v xml:space="preserve">2  Años, 2  Mes, 11 Dias </v>
      </c>
      <c r="K124" s="10" t="s">
        <v>113</v>
      </c>
      <c r="L124" s="24"/>
      <c r="M124" s="19"/>
      <c r="N124" s="10" t="s">
        <v>120</v>
      </c>
      <c r="O124" s="10" t="s">
        <v>122</v>
      </c>
      <c r="P124" s="10" t="s">
        <v>124</v>
      </c>
      <c r="Q124" s="18" t="s">
        <v>128</v>
      </c>
      <c r="R124" s="10" t="s">
        <v>133</v>
      </c>
      <c r="S124" s="10" t="s">
        <v>1781</v>
      </c>
      <c r="T124" s="10" t="s">
        <v>136</v>
      </c>
      <c r="U124" s="10">
        <v>3053747815</v>
      </c>
      <c r="V124" s="19"/>
      <c r="W124" s="40" t="s">
        <v>1782</v>
      </c>
      <c r="X124" s="10" t="s">
        <v>136</v>
      </c>
      <c r="Y124" s="10" t="s">
        <v>1788</v>
      </c>
      <c r="Z124" s="10" t="s">
        <v>170</v>
      </c>
      <c r="AA124" s="24"/>
      <c r="AB124" s="24"/>
      <c r="AC124" s="13">
        <v>45491</v>
      </c>
      <c r="AD124" s="24"/>
    </row>
    <row r="125" spans="1:30" ht="15.75" customHeight="1" x14ac:dyDescent="0.25">
      <c r="A125" s="10" t="s">
        <v>160</v>
      </c>
      <c r="B125" s="10" t="s">
        <v>90</v>
      </c>
      <c r="C125" s="10" t="s">
        <v>91</v>
      </c>
      <c r="D125" s="10" t="s">
        <v>92</v>
      </c>
      <c r="E125" s="10">
        <v>8781438</v>
      </c>
      <c r="F125" s="23" t="s">
        <v>696</v>
      </c>
      <c r="G125" s="10" t="s">
        <v>697</v>
      </c>
      <c r="H125" s="10" t="s">
        <v>699</v>
      </c>
      <c r="I125" s="13">
        <v>45831</v>
      </c>
      <c r="J125" s="10" t="str">
        <f t="shared" ca="1" si="0"/>
        <v xml:space="preserve">1  Años, 2  Mes, 3 Dias </v>
      </c>
      <c r="K125" s="10" t="s">
        <v>113</v>
      </c>
      <c r="L125" s="19"/>
      <c r="M125" s="19" t="str">
        <f t="shared" ref="M125:M126" ca="1" si="18">IF(L125=0,"", DATEDIF(L125,TODAY(),"y"))</f>
        <v/>
      </c>
      <c r="N125" s="10" t="s">
        <v>120</v>
      </c>
      <c r="O125" s="10" t="s">
        <v>277</v>
      </c>
      <c r="P125" s="10" t="s">
        <v>124</v>
      </c>
      <c r="Q125" s="18" t="s">
        <v>128</v>
      </c>
      <c r="R125" s="10" t="s">
        <v>133</v>
      </c>
      <c r="S125" s="10" t="s">
        <v>704</v>
      </c>
      <c r="T125" s="10" t="s">
        <v>136</v>
      </c>
      <c r="U125" s="10">
        <v>3014425566</v>
      </c>
      <c r="V125" s="19"/>
      <c r="W125" s="10" t="s">
        <v>705</v>
      </c>
      <c r="X125" s="10" t="s">
        <v>136</v>
      </c>
      <c r="Y125" s="10" t="s">
        <v>606</v>
      </c>
      <c r="Z125" s="10" t="s">
        <v>170</v>
      </c>
      <c r="AA125" s="24"/>
      <c r="AB125" s="24"/>
      <c r="AC125" s="24"/>
      <c r="AD125" s="10" t="s">
        <v>209</v>
      </c>
    </row>
    <row r="126" spans="1:30" ht="15.75" customHeight="1" x14ac:dyDescent="0.25">
      <c r="A126" s="10" t="s">
        <v>77</v>
      </c>
      <c r="B126" s="10" t="s">
        <v>90</v>
      </c>
      <c r="C126" s="10" t="s">
        <v>175</v>
      </c>
      <c r="D126" s="10" t="s">
        <v>92</v>
      </c>
      <c r="E126" s="12">
        <v>72019914</v>
      </c>
      <c r="F126" s="15" t="s">
        <v>619</v>
      </c>
      <c r="G126" s="10" t="s">
        <v>11</v>
      </c>
      <c r="H126" s="10" t="s">
        <v>623</v>
      </c>
      <c r="I126" s="16">
        <v>45871</v>
      </c>
      <c r="J126" s="10" t="str">
        <f t="shared" ca="1" si="0"/>
        <v xml:space="preserve">1  Años, 0  Mes, 24 Dias </v>
      </c>
      <c r="K126" s="12" t="s">
        <v>113</v>
      </c>
      <c r="L126" s="16">
        <v>29066</v>
      </c>
      <c r="M126" s="10">
        <f t="shared" ca="1" si="18"/>
        <v>47</v>
      </c>
      <c r="N126" s="10" t="s">
        <v>120</v>
      </c>
      <c r="O126" s="10" t="s">
        <v>122</v>
      </c>
      <c r="P126" s="5"/>
      <c r="Q126" s="18" t="s">
        <v>128</v>
      </c>
      <c r="R126" s="10" t="s">
        <v>133</v>
      </c>
      <c r="S126" s="12" t="s">
        <v>625</v>
      </c>
      <c r="T126" s="5"/>
      <c r="U126" s="12">
        <v>3165286496</v>
      </c>
      <c r="V126" s="5"/>
      <c r="W126" s="5"/>
      <c r="X126" s="10" t="s">
        <v>136</v>
      </c>
      <c r="Y126" s="5"/>
      <c r="Z126" s="5"/>
      <c r="AA126" s="5"/>
      <c r="AB126" s="5"/>
      <c r="AC126" s="5"/>
      <c r="AD126" s="10" t="s">
        <v>209</v>
      </c>
    </row>
    <row r="127" spans="1:30" ht="15.75" customHeight="1" x14ac:dyDescent="0.25">
      <c r="A127" s="10" t="s">
        <v>77</v>
      </c>
      <c r="B127" s="10" t="s">
        <v>90</v>
      </c>
      <c r="C127" s="10" t="s">
        <v>175</v>
      </c>
      <c r="D127" s="10" t="s">
        <v>92</v>
      </c>
      <c r="E127" s="12">
        <v>1143114819</v>
      </c>
      <c r="F127" s="15" t="s">
        <v>636</v>
      </c>
      <c r="G127" s="10" t="s">
        <v>11</v>
      </c>
      <c r="H127" s="12" t="s">
        <v>639</v>
      </c>
      <c r="I127" s="16">
        <v>45868</v>
      </c>
      <c r="J127" s="10" t="str">
        <f t="shared" ca="1" si="0"/>
        <v xml:space="preserve">1  Años, 0  Mes, 27 Dias </v>
      </c>
      <c r="K127" s="5"/>
      <c r="L127" s="2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20"/>
      <c r="AB127" s="20"/>
      <c r="AC127" s="20"/>
      <c r="AD127" s="20"/>
    </row>
    <row r="128" spans="1:30" ht="15.75" customHeight="1" x14ac:dyDescent="0.25">
      <c r="A128" s="10" t="s">
        <v>160</v>
      </c>
      <c r="B128" s="10" t="s">
        <v>86</v>
      </c>
      <c r="C128" s="10" t="s">
        <v>91</v>
      </c>
      <c r="D128" s="10" t="s">
        <v>92</v>
      </c>
      <c r="E128" s="10">
        <v>1129501758</v>
      </c>
      <c r="F128" s="23" t="s">
        <v>1812</v>
      </c>
      <c r="G128" s="10" t="s">
        <v>693</v>
      </c>
      <c r="H128" s="10" t="s">
        <v>1814</v>
      </c>
      <c r="I128" s="30">
        <v>45224</v>
      </c>
      <c r="J128" s="10" t="str">
        <f t="shared" ca="1" si="0"/>
        <v xml:space="preserve">2  Años, 10  Mes, 1 Dias </v>
      </c>
      <c r="K128" s="10" t="s">
        <v>113</v>
      </c>
      <c r="L128" s="19"/>
      <c r="M128" s="19" t="str">
        <f t="shared" ref="M128:M130" ca="1" si="19">IF(L128=0,"", DATEDIF(L128,TODAY(),"y"))</f>
        <v/>
      </c>
      <c r="N128" s="10" t="s">
        <v>120</v>
      </c>
      <c r="O128" s="10" t="s">
        <v>236</v>
      </c>
      <c r="P128" s="10" t="s">
        <v>124</v>
      </c>
      <c r="Q128" s="18" t="s">
        <v>128</v>
      </c>
      <c r="R128" s="10" t="s">
        <v>133</v>
      </c>
      <c r="S128" s="10" t="s">
        <v>1822</v>
      </c>
      <c r="T128" s="10" t="s">
        <v>136</v>
      </c>
      <c r="U128" s="10">
        <v>3243495962</v>
      </c>
      <c r="V128" s="10">
        <v>3243495962</v>
      </c>
      <c r="W128" s="10" t="s">
        <v>1824</v>
      </c>
      <c r="X128" s="10" t="s">
        <v>136</v>
      </c>
      <c r="Y128" s="10" t="s">
        <v>206</v>
      </c>
      <c r="Z128" s="10" t="s">
        <v>170</v>
      </c>
      <c r="AA128" s="24"/>
      <c r="AB128" s="24"/>
      <c r="AC128" s="13">
        <v>45731</v>
      </c>
      <c r="AD128" s="10" t="s">
        <v>1515</v>
      </c>
    </row>
    <row r="129" spans="1:30" ht="15.75" customHeight="1" x14ac:dyDescent="0.25">
      <c r="A129" s="10" t="s">
        <v>77</v>
      </c>
      <c r="B129" s="10" t="s">
        <v>90</v>
      </c>
      <c r="C129" s="10" t="s">
        <v>175</v>
      </c>
      <c r="D129" s="10" t="s">
        <v>92</v>
      </c>
      <c r="E129" s="10">
        <v>1042351780</v>
      </c>
      <c r="F129" s="23" t="s">
        <v>458</v>
      </c>
      <c r="G129" s="10" t="s">
        <v>11</v>
      </c>
      <c r="H129" s="10" t="s">
        <v>1825</v>
      </c>
      <c r="I129" s="13">
        <v>45831</v>
      </c>
      <c r="J129" s="10" t="str">
        <f t="shared" ca="1" si="0"/>
        <v xml:space="preserve">1  Años, 2  Mes, 3 Dias </v>
      </c>
      <c r="K129" s="10" t="s">
        <v>113</v>
      </c>
      <c r="L129" s="19"/>
      <c r="M129" s="19" t="str">
        <f t="shared" ca="1" si="19"/>
        <v/>
      </c>
      <c r="N129" s="10" t="s">
        <v>120</v>
      </c>
      <c r="O129" s="10" t="s">
        <v>122</v>
      </c>
      <c r="P129" s="10" t="s">
        <v>142</v>
      </c>
      <c r="Q129" s="18" t="s">
        <v>128</v>
      </c>
      <c r="R129" s="10" t="s">
        <v>133</v>
      </c>
      <c r="S129" s="10" t="s">
        <v>1830</v>
      </c>
      <c r="T129" s="10" t="s">
        <v>136</v>
      </c>
      <c r="U129" s="10">
        <v>3044048864</v>
      </c>
      <c r="V129" s="19"/>
      <c r="W129" s="10" t="s">
        <v>1832</v>
      </c>
      <c r="X129" s="10" t="s">
        <v>136</v>
      </c>
      <c r="Y129" s="10" t="s">
        <v>253</v>
      </c>
      <c r="Z129" s="10" t="s">
        <v>170</v>
      </c>
      <c r="AA129" s="24"/>
      <c r="AB129" s="24"/>
      <c r="AC129" s="24"/>
      <c r="AD129" s="10" t="s">
        <v>209</v>
      </c>
    </row>
    <row r="130" spans="1:30" ht="15.75" customHeight="1" x14ac:dyDescent="0.25">
      <c r="A130" s="10" t="s">
        <v>77</v>
      </c>
      <c r="B130" s="10" t="s">
        <v>86</v>
      </c>
      <c r="C130" s="10" t="s">
        <v>91</v>
      </c>
      <c r="D130" s="10" t="s">
        <v>92</v>
      </c>
      <c r="E130" s="10">
        <v>1129509319</v>
      </c>
      <c r="F130" s="23" t="s">
        <v>584</v>
      </c>
      <c r="G130" s="10" t="s">
        <v>741</v>
      </c>
      <c r="H130" s="10" t="s">
        <v>1835</v>
      </c>
      <c r="I130" s="13">
        <v>45063</v>
      </c>
      <c r="J130" s="10" t="str">
        <f t="shared" ca="1" si="0"/>
        <v xml:space="preserve">3  Años, 3  Mes, 9 Dias </v>
      </c>
      <c r="K130" s="10" t="s">
        <v>113</v>
      </c>
      <c r="L130" s="13">
        <v>32262</v>
      </c>
      <c r="M130" s="10">
        <f t="shared" ca="1" si="19"/>
        <v>38</v>
      </c>
      <c r="N130" s="10" t="s">
        <v>120</v>
      </c>
      <c r="O130" s="10" t="s">
        <v>122</v>
      </c>
      <c r="P130" s="10" t="s">
        <v>142</v>
      </c>
      <c r="Q130" s="18" t="s">
        <v>128</v>
      </c>
      <c r="R130" s="10" t="s">
        <v>133</v>
      </c>
      <c r="S130" s="10" t="s">
        <v>1839</v>
      </c>
      <c r="T130" s="10" t="s">
        <v>151</v>
      </c>
      <c r="U130" s="10">
        <v>3105202078</v>
      </c>
      <c r="V130" s="10">
        <v>3105202078</v>
      </c>
      <c r="W130" s="10" t="s">
        <v>1842</v>
      </c>
      <c r="X130" s="10" t="s">
        <v>136</v>
      </c>
      <c r="Y130" s="10" t="s">
        <v>206</v>
      </c>
      <c r="Z130" s="10" t="s">
        <v>216</v>
      </c>
      <c r="AA130" s="24"/>
      <c r="AB130" s="24"/>
      <c r="AC130" s="13">
        <v>45373</v>
      </c>
      <c r="AD130" s="24"/>
    </row>
    <row r="131" spans="1:30" ht="15.75" customHeight="1" x14ac:dyDescent="0.25">
      <c r="A131" s="10" t="s">
        <v>160</v>
      </c>
      <c r="B131" s="10" t="s">
        <v>86</v>
      </c>
      <c r="C131" s="10" t="s">
        <v>91</v>
      </c>
      <c r="D131" s="10" t="s">
        <v>92</v>
      </c>
      <c r="E131" s="12">
        <v>1001869402</v>
      </c>
      <c r="F131" s="15" t="s">
        <v>1846</v>
      </c>
      <c r="G131" s="12" t="s">
        <v>688</v>
      </c>
      <c r="H131" s="12" t="s">
        <v>1848</v>
      </c>
      <c r="I131" s="16">
        <v>45754</v>
      </c>
      <c r="J131" s="10" t="str">
        <f t="shared" ca="1" si="0"/>
        <v xml:space="preserve">1  Años, 4  Mes, 19 Dias </v>
      </c>
      <c r="K131" s="12" t="s">
        <v>113</v>
      </c>
      <c r="L131" s="5"/>
      <c r="M131" s="5"/>
      <c r="N131" s="10" t="s">
        <v>320</v>
      </c>
      <c r="O131" s="10" t="s">
        <v>236</v>
      </c>
      <c r="P131" s="12" t="s">
        <v>1569</v>
      </c>
      <c r="Q131" s="18" t="s">
        <v>128</v>
      </c>
      <c r="R131" s="10" t="s">
        <v>133</v>
      </c>
      <c r="S131" s="12" t="s">
        <v>1850</v>
      </c>
      <c r="T131" s="12" t="s">
        <v>136</v>
      </c>
      <c r="U131" s="12">
        <v>3225903583</v>
      </c>
      <c r="V131" s="5"/>
      <c r="W131" s="5"/>
      <c r="X131" s="12" t="s">
        <v>136</v>
      </c>
      <c r="Y131" s="12" t="s">
        <v>605</v>
      </c>
      <c r="Z131" s="5"/>
      <c r="AA131" s="20"/>
      <c r="AB131" s="20"/>
      <c r="AC131" s="20"/>
      <c r="AD131" s="13" t="s">
        <v>209</v>
      </c>
    </row>
    <row r="132" spans="1:30" ht="15.75" customHeight="1" x14ac:dyDescent="0.25">
      <c r="A132" s="10" t="s">
        <v>77</v>
      </c>
      <c r="B132" s="10" t="s">
        <v>90</v>
      </c>
      <c r="C132" s="10" t="s">
        <v>175</v>
      </c>
      <c r="D132" s="10" t="s">
        <v>92</v>
      </c>
      <c r="E132" s="10">
        <v>73544990</v>
      </c>
      <c r="F132" s="23" t="s">
        <v>168</v>
      </c>
      <c r="G132" s="10" t="s">
        <v>18</v>
      </c>
      <c r="H132" s="10" t="s">
        <v>708</v>
      </c>
      <c r="I132" s="13">
        <v>45831</v>
      </c>
      <c r="J132" s="10" t="str">
        <f t="shared" ca="1" si="0"/>
        <v xml:space="preserve">1  Años, 2  Mes, 3 Dias </v>
      </c>
      <c r="K132" s="10" t="s">
        <v>113</v>
      </c>
      <c r="L132" s="24"/>
      <c r="M132" s="19" t="str">
        <f t="shared" ref="M132:M138" ca="1" si="20">IF(L132=0,"", DATEDIF(L132,TODAY(),"y"))</f>
        <v/>
      </c>
      <c r="N132" s="10" t="s">
        <v>120</v>
      </c>
      <c r="O132" s="10" t="s">
        <v>122</v>
      </c>
      <c r="P132" s="10" t="s">
        <v>124</v>
      </c>
      <c r="Q132" s="18" t="s">
        <v>128</v>
      </c>
      <c r="R132" s="10" t="s">
        <v>133</v>
      </c>
      <c r="S132" s="10" t="s">
        <v>710</v>
      </c>
      <c r="T132" s="10" t="s">
        <v>136</v>
      </c>
      <c r="U132" s="10">
        <v>3023288720</v>
      </c>
      <c r="V132" s="19"/>
      <c r="W132" s="10" t="s">
        <v>711</v>
      </c>
      <c r="X132" s="10" t="s">
        <v>136</v>
      </c>
      <c r="Y132" s="10" t="s">
        <v>206</v>
      </c>
      <c r="Z132" s="10" t="s">
        <v>216</v>
      </c>
      <c r="AA132" s="24"/>
      <c r="AB132" s="24"/>
      <c r="AC132" s="24"/>
      <c r="AD132" s="10" t="s">
        <v>209</v>
      </c>
    </row>
    <row r="133" spans="1:30" ht="15.75" customHeight="1" x14ac:dyDescent="0.25">
      <c r="A133" s="10" t="s">
        <v>160</v>
      </c>
      <c r="B133" s="10" t="s">
        <v>86</v>
      </c>
      <c r="C133" s="10" t="s">
        <v>91</v>
      </c>
      <c r="D133" s="10" t="s">
        <v>92</v>
      </c>
      <c r="E133" s="12">
        <v>1048277796</v>
      </c>
      <c r="F133" s="15" t="s">
        <v>1865</v>
      </c>
      <c r="G133" s="12" t="s">
        <v>688</v>
      </c>
      <c r="H133" s="12" t="s">
        <v>1867</v>
      </c>
      <c r="I133" s="16">
        <v>45779</v>
      </c>
      <c r="J133" s="10" t="str">
        <f t="shared" ca="1" si="0"/>
        <v xml:space="preserve">1  Años, 3  Mes, 24 Dias </v>
      </c>
      <c r="K133" s="12" t="s">
        <v>113</v>
      </c>
      <c r="L133" s="16">
        <v>38207</v>
      </c>
      <c r="M133" s="10">
        <f t="shared" ca="1" si="20"/>
        <v>22</v>
      </c>
      <c r="N133" s="10" t="s">
        <v>120</v>
      </c>
      <c r="O133" s="10" t="s">
        <v>236</v>
      </c>
      <c r="P133" s="12" t="s">
        <v>124</v>
      </c>
      <c r="Q133" s="18" t="s">
        <v>128</v>
      </c>
      <c r="R133" s="10" t="s">
        <v>133</v>
      </c>
      <c r="S133" s="12" t="s">
        <v>1872</v>
      </c>
      <c r="T133" s="12" t="s">
        <v>1873</v>
      </c>
      <c r="U133" s="12">
        <v>3015574081</v>
      </c>
      <c r="V133" s="5"/>
      <c r="W133" s="12" t="s">
        <v>1874</v>
      </c>
      <c r="X133" s="12" t="s">
        <v>136</v>
      </c>
      <c r="Y133" s="12" t="s">
        <v>203</v>
      </c>
      <c r="Z133" s="12" t="s">
        <v>1875</v>
      </c>
      <c r="AA133" s="20"/>
      <c r="AB133" s="20"/>
      <c r="AC133" s="20"/>
      <c r="AD133" s="10" t="s">
        <v>209</v>
      </c>
    </row>
    <row r="134" spans="1:30" ht="15.75" customHeight="1" x14ac:dyDescent="0.25">
      <c r="A134" s="10" t="s">
        <v>77</v>
      </c>
      <c r="B134" s="10" t="s">
        <v>86</v>
      </c>
      <c r="C134" s="10" t="s">
        <v>91</v>
      </c>
      <c r="D134" s="10" t="s">
        <v>92</v>
      </c>
      <c r="E134" s="10">
        <v>1042995407</v>
      </c>
      <c r="F134" s="23" t="s">
        <v>580</v>
      </c>
      <c r="G134" s="10" t="s">
        <v>26</v>
      </c>
      <c r="H134" s="10" t="s">
        <v>1878</v>
      </c>
      <c r="I134" s="30">
        <v>45423</v>
      </c>
      <c r="J134" s="10" t="str">
        <f t="shared" ca="1" si="0"/>
        <v xml:space="preserve">2  Años, 3  Mes, 15 Dias </v>
      </c>
      <c r="K134" s="10" t="s">
        <v>113</v>
      </c>
      <c r="L134" s="19"/>
      <c r="M134" s="19" t="str">
        <f t="shared" ca="1" si="20"/>
        <v/>
      </c>
      <c r="N134" s="10" t="s">
        <v>120</v>
      </c>
      <c r="O134" s="10" t="s">
        <v>122</v>
      </c>
      <c r="P134" s="10" t="s">
        <v>124</v>
      </c>
      <c r="Q134" s="18" t="s">
        <v>128</v>
      </c>
      <c r="R134" s="10" t="s">
        <v>133</v>
      </c>
      <c r="S134" s="10" t="s">
        <v>1885</v>
      </c>
      <c r="T134" s="10" t="s">
        <v>195</v>
      </c>
      <c r="U134" s="10">
        <v>3135384261</v>
      </c>
      <c r="V134" s="10">
        <v>3135384261</v>
      </c>
      <c r="W134" s="10" t="s">
        <v>1886</v>
      </c>
      <c r="X134" s="10" t="s">
        <v>136</v>
      </c>
      <c r="Y134" s="10" t="s">
        <v>791</v>
      </c>
      <c r="Z134" s="10" t="s">
        <v>170</v>
      </c>
      <c r="AA134" s="24"/>
      <c r="AB134" s="24"/>
      <c r="AC134" s="13">
        <v>45433</v>
      </c>
      <c r="AD134" s="24"/>
    </row>
    <row r="135" spans="1:30" ht="15.75" customHeight="1" x14ac:dyDescent="0.25">
      <c r="A135" s="10" t="s">
        <v>77</v>
      </c>
      <c r="B135" s="10" t="s">
        <v>90</v>
      </c>
      <c r="C135" s="10" t="s">
        <v>175</v>
      </c>
      <c r="D135" s="10" t="s">
        <v>92</v>
      </c>
      <c r="E135" s="12">
        <v>1045724492</v>
      </c>
      <c r="F135" s="15" t="s">
        <v>1889</v>
      </c>
      <c r="G135" s="10" t="s">
        <v>11</v>
      </c>
      <c r="H135" s="10" t="s">
        <v>1890</v>
      </c>
      <c r="I135" s="16">
        <v>45883</v>
      </c>
      <c r="J135" s="10" t="str">
        <f t="shared" ca="1" si="0"/>
        <v xml:space="preserve">1  Años, 0  Mes, 12 Dias </v>
      </c>
      <c r="K135" s="12" t="s">
        <v>113</v>
      </c>
      <c r="L135" s="16">
        <v>34497</v>
      </c>
      <c r="M135" s="10">
        <f t="shared" ca="1" si="20"/>
        <v>32</v>
      </c>
      <c r="N135" s="10" t="s">
        <v>120</v>
      </c>
      <c r="O135" s="10" t="s">
        <v>122</v>
      </c>
      <c r="P135" s="5"/>
      <c r="Q135" s="18" t="s">
        <v>128</v>
      </c>
      <c r="R135" s="10" t="s">
        <v>133</v>
      </c>
      <c r="S135" s="12" t="s">
        <v>1892</v>
      </c>
      <c r="T135" s="12" t="s">
        <v>136</v>
      </c>
      <c r="U135" s="12">
        <v>3235374915</v>
      </c>
      <c r="V135" s="5"/>
      <c r="W135" s="5"/>
      <c r="X135" s="10" t="s">
        <v>136</v>
      </c>
      <c r="Y135" s="5"/>
      <c r="Z135" s="5"/>
      <c r="AA135" s="20"/>
      <c r="AB135" s="20"/>
      <c r="AC135" s="20"/>
      <c r="AD135" s="10" t="s">
        <v>209</v>
      </c>
    </row>
    <row r="136" spans="1:30" ht="15.75" customHeight="1" x14ac:dyDescent="0.25">
      <c r="A136" s="10" t="s">
        <v>77</v>
      </c>
      <c r="B136" s="10" t="s">
        <v>90</v>
      </c>
      <c r="C136" s="10" t="s">
        <v>175</v>
      </c>
      <c r="D136" s="10" t="s">
        <v>92</v>
      </c>
      <c r="E136" s="10">
        <v>1045676625</v>
      </c>
      <c r="F136" s="23" t="s">
        <v>716</v>
      </c>
      <c r="G136" s="10" t="s">
        <v>717</v>
      </c>
      <c r="H136" s="10" t="s">
        <v>718</v>
      </c>
      <c r="I136" s="13">
        <v>45842</v>
      </c>
      <c r="J136" s="10" t="str">
        <f t="shared" ca="1" si="0"/>
        <v xml:space="preserve">1  Años, 1  Mes, 22 Dias </v>
      </c>
      <c r="K136" s="10" t="s">
        <v>113</v>
      </c>
      <c r="L136" s="24"/>
      <c r="M136" s="19" t="str">
        <f t="shared" ca="1" si="20"/>
        <v/>
      </c>
      <c r="N136" s="10" t="s">
        <v>120</v>
      </c>
      <c r="O136" s="10" t="s">
        <v>122</v>
      </c>
      <c r="P136" s="19"/>
      <c r="Q136" s="18" t="s">
        <v>128</v>
      </c>
      <c r="R136" s="10" t="s">
        <v>133</v>
      </c>
      <c r="S136" s="19"/>
      <c r="T136" s="10" t="s">
        <v>136</v>
      </c>
      <c r="U136" s="19"/>
      <c r="V136" s="19"/>
      <c r="W136" s="19"/>
      <c r="X136" s="10" t="s">
        <v>136</v>
      </c>
      <c r="Y136" s="19"/>
      <c r="Z136" s="19"/>
      <c r="AA136" s="10">
        <v>76987589503</v>
      </c>
      <c r="AB136" s="10" t="s">
        <v>393</v>
      </c>
      <c r="AC136" s="24"/>
      <c r="AD136" s="10" t="s">
        <v>209</v>
      </c>
    </row>
    <row r="137" spans="1:30" ht="15.75" customHeight="1" x14ac:dyDescent="0.25">
      <c r="A137" s="10" t="s">
        <v>77</v>
      </c>
      <c r="B137" s="10" t="s">
        <v>90</v>
      </c>
      <c r="C137" s="10" t="s">
        <v>175</v>
      </c>
      <c r="D137" s="10" t="s">
        <v>92</v>
      </c>
      <c r="E137" s="10">
        <v>72020710</v>
      </c>
      <c r="F137" s="23" t="s">
        <v>578</v>
      </c>
      <c r="G137" s="10" t="s">
        <v>18</v>
      </c>
      <c r="H137" s="10" t="s">
        <v>1095</v>
      </c>
      <c r="I137" s="13">
        <v>45870</v>
      </c>
      <c r="J137" s="10" t="str">
        <f t="shared" ca="1" si="0"/>
        <v xml:space="preserve">1  Años, 0  Mes, 25 Dias </v>
      </c>
      <c r="K137" s="10" t="s">
        <v>113</v>
      </c>
      <c r="L137" s="13">
        <v>29723</v>
      </c>
      <c r="M137" s="10">
        <f t="shared" ca="1" si="20"/>
        <v>45</v>
      </c>
      <c r="N137" s="10" t="s">
        <v>120</v>
      </c>
      <c r="O137" s="10" t="s">
        <v>122</v>
      </c>
      <c r="P137" s="10" t="s">
        <v>142</v>
      </c>
      <c r="Q137" s="18" t="s">
        <v>128</v>
      </c>
      <c r="R137" s="10" t="s">
        <v>133</v>
      </c>
      <c r="S137" s="10" t="s">
        <v>1099</v>
      </c>
      <c r="T137" s="10" t="s">
        <v>136</v>
      </c>
      <c r="U137" s="10">
        <v>3011955216</v>
      </c>
      <c r="V137" s="19"/>
      <c r="W137" s="10" t="s">
        <v>1104</v>
      </c>
      <c r="X137" s="10" t="s">
        <v>136</v>
      </c>
      <c r="Y137" s="19"/>
      <c r="Z137" s="19"/>
      <c r="AA137" s="24"/>
      <c r="AB137" s="24"/>
      <c r="AC137" s="24"/>
      <c r="AD137" s="10" t="s">
        <v>209</v>
      </c>
    </row>
    <row r="138" spans="1:30" ht="15.75" customHeight="1" x14ac:dyDescent="0.25">
      <c r="A138" s="10" t="s">
        <v>77</v>
      </c>
      <c r="B138" s="10" t="s">
        <v>90</v>
      </c>
      <c r="C138" s="10" t="s">
        <v>175</v>
      </c>
      <c r="D138" s="10" t="s">
        <v>92</v>
      </c>
      <c r="E138" s="10">
        <v>1193375189</v>
      </c>
      <c r="F138" s="23" t="s">
        <v>575</v>
      </c>
      <c r="G138" s="10" t="s">
        <v>18</v>
      </c>
      <c r="H138" s="10" t="s">
        <v>1913</v>
      </c>
      <c r="I138" s="13">
        <v>45831</v>
      </c>
      <c r="J138" s="10" t="str">
        <f t="shared" ca="1" si="0"/>
        <v xml:space="preserve">1  Años, 2  Mes, 3 Dias </v>
      </c>
      <c r="K138" s="10" t="s">
        <v>113</v>
      </c>
      <c r="L138" s="19"/>
      <c r="M138" s="19" t="str">
        <f t="shared" ca="1" si="20"/>
        <v/>
      </c>
      <c r="N138" s="10" t="s">
        <v>120</v>
      </c>
      <c r="O138" s="10" t="s">
        <v>122</v>
      </c>
      <c r="P138" s="10" t="s">
        <v>210</v>
      </c>
      <c r="Q138" s="18" t="s">
        <v>128</v>
      </c>
      <c r="R138" s="10" t="s">
        <v>133</v>
      </c>
      <c r="S138" s="10" t="s">
        <v>1916</v>
      </c>
      <c r="T138" s="10" t="s">
        <v>136</v>
      </c>
      <c r="U138" s="10">
        <v>3245576185</v>
      </c>
      <c r="V138" s="10">
        <v>3245576185</v>
      </c>
      <c r="W138" s="10" t="s">
        <v>1918</v>
      </c>
      <c r="X138" s="10" t="s">
        <v>136</v>
      </c>
      <c r="Y138" s="10" t="s">
        <v>169</v>
      </c>
      <c r="Z138" s="10" t="s">
        <v>170</v>
      </c>
      <c r="AA138" s="24"/>
      <c r="AB138" s="24"/>
      <c r="AC138" s="13">
        <v>45440</v>
      </c>
      <c r="AD138" s="13" t="s">
        <v>209</v>
      </c>
    </row>
    <row r="139" spans="1:30" ht="15.75" customHeight="1" x14ac:dyDescent="0.25">
      <c r="A139" s="10" t="s">
        <v>77</v>
      </c>
      <c r="B139" s="10" t="s">
        <v>86</v>
      </c>
      <c r="C139" s="10" t="s">
        <v>91</v>
      </c>
      <c r="D139" s="12" t="s">
        <v>92</v>
      </c>
      <c r="E139" s="12">
        <v>1010055226</v>
      </c>
      <c r="F139" s="15" t="s">
        <v>1920</v>
      </c>
      <c r="G139" s="12" t="s">
        <v>11</v>
      </c>
      <c r="H139" s="12" t="s">
        <v>1922</v>
      </c>
      <c r="I139" s="115">
        <v>45424</v>
      </c>
      <c r="J139" s="10" t="str">
        <f t="shared" ca="1" si="0"/>
        <v xml:space="preserve">2  Años, 3  Mes, 14 Dias </v>
      </c>
      <c r="K139" s="12" t="s">
        <v>113</v>
      </c>
      <c r="L139" s="20"/>
      <c r="M139" s="5"/>
      <c r="N139" s="10" t="s">
        <v>120</v>
      </c>
      <c r="O139" s="10" t="s">
        <v>122</v>
      </c>
      <c r="P139" s="12" t="s">
        <v>142</v>
      </c>
      <c r="Q139" s="18" t="s">
        <v>128</v>
      </c>
      <c r="R139" s="12" t="s">
        <v>133</v>
      </c>
      <c r="S139" s="12" t="s">
        <v>1930</v>
      </c>
      <c r="T139" s="12" t="s">
        <v>136</v>
      </c>
      <c r="U139" s="12">
        <v>3144502437</v>
      </c>
      <c r="V139" s="5"/>
      <c r="W139" s="5"/>
      <c r="X139" s="12" t="s">
        <v>136</v>
      </c>
      <c r="Y139" s="12" t="s">
        <v>155</v>
      </c>
      <c r="Z139" s="12" t="s">
        <v>170</v>
      </c>
      <c r="AA139" s="20"/>
      <c r="AB139" s="20"/>
      <c r="AC139" s="16">
        <v>45734</v>
      </c>
      <c r="AD139" s="13" t="s">
        <v>1515</v>
      </c>
    </row>
    <row r="140" spans="1:30" ht="15.75" customHeight="1" x14ac:dyDescent="0.25">
      <c r="A140" s="10" t="s">
        <v>160</v>
      </c>
      <c r="B140" s="10" t="s">
        <v>86</v>
      </c>
      <c r="C140" s="10" t="s">
        <v>91</v>
      </c>
      <c r="D140" s="10" t="s">
        <v>92</v>
      </c>
      <c r="E140" s="12">
        <v>1043710082</v>
      </c>
      <c r="F140" s="15" t="s">
        <v>1934</v>
      </c>
      <c r="G140" s="12" t="s">
        <v>688</v>
      </c>
      <c r="H140" s="12" t="s">
        <v>1936</v>
      </c>
      <c r="I140" s="16">
        <v>45731</v>
      </c>
      <c r="J140" s="10" t="str">
        <f t="shared" ca="1" si="0"/>
        <v xml:space="preserve">1  Años, 5  Mes, 11 Dias </v>
      </c>
      <c r="K140" s="12" t="s">
        <v>113</v>
      </c>
      <c r="L140" s="5"/>
      <c r="M140" s="12">
        <v>21</v>
      </c>
      <c r="N140" s="10" t="s">
        <v>320</v>
      </c>
      <c r="O140" s="10" t="s">
        <v>236</v>
      </c>
      <c r="P140" s="12" t="s">
        <v>142</v>
      </c>
      <c r="Q140" s="18" t="s">
        <v>128</v>
      </c>
      <c r="R140" s="10" t="s">
        <v>133</v>
      </c>
      <c r="S140" s="12" t="s">
        <v>1941</v>
      </c>
      <c r="T140" s="12" t="s">
        <v>136</v>
      </c>
      <c r="U140" s="12">
        <v>3006829029</v>
      </c>
      <c r="V140" s="5"/>
      <c r="W140" s="5"/>
      <c r="X140" s="12" t="s">
        <v>136</v>
      </c>
      <c r="Y140" s="5"/>
      <c r="Z140" s="5"/>
      <c r="AA140" s="47"/>
      <c r="AB140" s="5"/>
      <c r="AC140" s="20"/>
      <c r="AD140" s="10" t="s">
        <v>209</v>
      </c>
    </row>
    <row r="141" spans="1:30" ht="15.75" customHeight="1" x14ac:dyDescent="0.25">
      <c r="A141" s="10" t="s">
        <v>77</v>
      </c>
      <c r="B141" s="10" t="s">
        <v>90</v>
      </c>
      <c r="C141" s="10" t="s">
        <v>175</v>
      </c>
      <c r="D141" s="10" t="s">
        <v>92</v>
      </c>
      <c r="E141" s="10">
        <v>1042346134</v>
      </c>
      <c r="F141" s="23" t="s">
        <v>572</v>
      </c>
      <c r="G141" s="10" t="s">
        <v>18</v>
      </c>
      <c r="H141" s="10" t="s">
        <v>729</v>
      </c>
      <c r="I141" s="13">
        <v>45841</v>
      </c>
      <c r="J141" s="10" t="str">
        <f t="shared" ca="1" si="0"/>
        <v xml:space="preserve">1  Años, 1  Mes, 23 Dias </v>
      </c>
      <c r="K141" s="10" t="s">
        <v>113</v>
      </c>
      <c r="L141" s="19"/>
      <c r="M141" s="19" t="str">
        <f t="shared" ref="M141:M144" ca="1" si="21">IF(L141=0,"", DATEDIF(L141,TODAY(),"y"))</f>
        <v/>
      </c>
      <c r="N141" s="10" t="s">
        <v>120</v>
      </c>
      <c r="O141" s="10" t="s">
        <v>122</v>
      </c>
      <c r="P141" s="10" t="s">
        <v>142</v>
      </c>
      <c r="Q141" s="18" t="s">
        <v>128</v>
      </c>
      <c r="R141" s="10" t="s">
        <v>133</v>
      </c>
      <c r="S141" s="10" t="s">
        <v>733</v>
      </c>
      <c r="T141" s="10" t="s">
        <v>587</v>
      </c>
      <c r="U141" s="10">
        <v>3046325657</v>
      </c>
      <c r="V141" s="19"/>
      <c r="W141" s="59" t="s">
        <v>736</v>
      </c>
      <c r="X141" s="10" t="s">
        <v>136</v>
      </c>
      <c r="Y141" s="10" t="s">
        <v>155</v>
      </c>
      <c r="Z141" s="10" t="s">
        <v>170</v>
      </c>
      <c r="AA141" s="10">
        <v>8600003677</v>
      </c>
      <c r="AB141" s="24"/>
      <c r="AC141" s="13">
        <v>45830</v>
      </c>
      <c r="AD141" s="10" t="s">
        <v>209</v>
      </c>
    </row>
    <row r="142" spans="1:30" ht="15.75" customHeight="1" x14ac:dyDescent="0.25">
      <c r="A142" s="10" t="s">
        <v>160</v>
      </c>
      <c r="B142" s="10" t="s">
        <v>86</v>
      </c>
      <c r="C142" s="10" t="s">
        <v>91</v>
      </c>
      <c r="D142" s="10" t="s">
        <v>92</v>
      </c>
      <c r="E142" s="10">
        <v>22479828</v>
      </c>
      <c r="F142" s="23" t="s">
        <v>1961</v>
      </c>
      <c r="G142" s="10" t="s">
        <v>361</v>
      </c>
      <c r="H142" s="10" t="s">
        <v>1963</v>
      </c>
      <c r="I142" s="30">
        <v>45224</v>
      </c>
      <c r="J142" s="10" t="str">
        <f t="shared" ca="1" si="0"/>
        <v xml:space="preserve">2  Años, 10  Mes, 1 Dias </v>
      </c>
      <c r="K142" s="10" t="s">
        <v>113</v>
      </c>
      <c r="L142" s="19"/>
      <c r="M142" s="19" t="str">
        <f t="shared" ca="1" si="21"/>
        <v/>
      </c>
      <c r="N142" s="10" t="s">
        <v>320</v>
      </c>
      <c r="O142" s="10" t="s">
        <v>236</v>
      </c>
      <c r="P142" s="10" t="s">
        <v>210</v>
      </c>
      <c r="Q142" s="18" t="s">
        <v>128</v>
      </c>
      <c r="R142" s="10" t="s">
        <v>133</v>
      </c>
      <c r="S142" s="10" t="s">
        <v>1965</v>
      </c>
      <c r="T142" s="10" t="s">
        <v>136</v>
      </c>
      <c r="U142" s="10">
        <v>3143954520</v>
      </c>
      <c r="V142" s="10">
        <v>3136472115</v>
      </c>
      <c r="W142" s="10" t="s">
        <v>1967</v>
      </c>
      <c r="X142" s="10" t="s">
        <v>136</v>
      </c>
      <c r="Y142" s="10" t="s">
        <v>206</v>
      </c>
      <c r="Z142" s="10" t="s">
        <v>216</v>
      </c>
      <c r="AA142" s="24"/>
      <c r="AB142" s="24"/>
      <c r="AC142" s="13">
        <v>45343</v>
      </c>
      <c r="AD142" s="24"/>
    </row>
    <row r="143" spans="1:30" ht="15.75" customHeight="1" x14ac:dyDescent="0.25">
      <c r="A143" s="10" t="s">
        <v>77</v>
      </c>
      <c r="B143" s="10" t="s">
        <v>86</v>
      </c>
      <c r="C143" s="10" t="s">
        <v>91</v>
      </c>
      <c r="D143" s="10" t="s">
        <v>92</v>
      </c>
      <c r="E143" s="10">
        <v>1001830799</v>
      </c>
      <c r="F143" s="23" t="s">
        <v>1970</v>
      </c>
      <c r="G143" s="10" t="s">
        <v>11</v>
      </c>
      <c r="H143" s="10" t="s">
        <v>1971</v>
      </c>
      <c r="I143" s="13">
        <v>45310</v>
      </c>
      <c r="J143" s="10" t="str">
        <f t="shared" ca="1" si="0"/>
        <v xml:space="preserve">2  Años, 7  Mes, 7 Dias </v>
      </c>
      <c r="K143" s="10" t="s">
        <v>113</v>
      </c>
      <c r="L143" s="13">
        <v>37873</v>
      </c>
      <c r="M143" s="10">
        <f t="shared" ca="1" si="21"/>
        <v>22</v>
      </c>
      <c r="N143" s="10" t="s">
        <v>120</v>
      </c>
      <c r="O143" s="10" t="s">
        <v>236</v>
      </c>
      <c r="P143" s="10" t="s">
        <v>210</v>
      </c>
      <c r="Q143" s="18" t="s">
        <v>128</v>
      </c>
      <c r="R143" s="10" t="s">
        <v>133</v>
      </c>
      <c r="S143" s="10" t="s">
        <v>1977</v>
      </c>
      <c r="T143" s="10" t="s">
        <v>587</v>
      </c>
      <c r="U143" s="10">
        <v>3001541345</v>
      </c>
      <c r="V143" s="19"/>
      <c r="W143" s="40" t="s">
        <v>1978</v>
      </c>
      <c r="X143" s="10" t="s">
        <v>136</v>
      </c>
      <c r="Y143" s="10" t="s">
        <v>169</v>
      </c>
      <c r="Z143" s="10" t="s">
        <v>1208</v>
      </c>
      <c r="AA143" s="24"/>
      <c r="AB143" s="24"/>
      <c r="AC143" s="13">
        <v>45353</v>
      </c>
      <c r="AD143" s="24"/>
    </row>
    <row r="144" spans="1:30" ht="15.75" customHeight="1" x14ac:dyDescent="0.25">
      <c r="A144" s="10" t="s">
        <v>77</v>
      </c>
      <c r="B144" s="10" t="s">
        <v>90</v>
      </c>
      <c r="C144" s="10" t="s">
        <v>175</v>
      </c>
      <c r="D144" s="10" t="s">
        <v>92</v>
      </c>
      <c r="E144" s="10">
        <v>1048321622</v>
      </c>
      <c r="F144" s="23" t="s">
        <v>599</v>
      </c>
      <c r="G144" s="10" t="s">
        <v>18</v>
      </c>
      <c r="H144" s="10" t="s">
        <v>750</v>
      </c>
      <c r="I144" s="13">
        <v>45853</v>
      </c>
      <c r="J144" s="10" t="str">
        <f t="shared" ca="1" si="0"/>
        <v xml:space="preserve">1  Años, 1  Mes, 11 Dias </v>
      </c>
      <c r="K144" s="10" t="s">
        <v>113</v>
      </c>
      <c r="L144" s="19"/>
      <c r="M144" s="19" t="str">
        <f t="shared" ca="1" si="21"/>
        <v/>
      </c>
      <c r="N144" s="10" t="s">
        <v>120</v>
      </c>
      <c r="O144" s="10" t="s">
        <v>122</v>
      </c>
      <c r="P144" s="10" t="s">
        <v>142</v>
      </c>
      <c r="Q144" s="18" t="s">
        <v>128</v>
      </c>
      <c r="R144" s="10" t="s">
        <v>133</v>
      </c>
      <c r="S144" s="10" t="s">
        <v>756</v>
      </c>
      <c r="T144" s="10" t="s">
        <v>136</v>
      </c>
      <c r="U144" s="10">
        <v>3012093141</v>
      </c>
      <c r="V144" s="19"/>
      <c r="W144" s="10" t="s">
        <v>758</v>
      </c>
      <c r="X144" s="10" t="s">
        <v>136</v>
      </c>
      <c r="Y144" s="10" t="s">
        <v>206</v>
      </c>
      <c r="Z144" s="10" t="s">
        <v>170</v>
      </c>
      <c r="AA144" s="28" t="s">
        <v>759</v>
      </c>
      <c r="AB144" s="13" t="s">
        <v>393</v>
      </c>
      <c r="AC144" s="13">
        <v>45759</v>
      </c>
      <c r="AD144" s="10" t="s">
        <v>148</v>
      </c>
    </row>
    <row r="145" spans="1:30" ht="15.75" customHeight="1" x14ac:dyDescent="0.25">
      <c r="A145" s="10" t="s">
        <v>77</v>
      </c>
      <c r="B145" s="10" t="s">
        <v>90</v>
      </c>
      <c r="C145" s="10" t="s">
        <v>175</v>
      </c>
      <c r="D145" s="12" t="s">
        <v>92</v>
      </c>
      <c r="E145" s="12">
        <v>7599800</v>
      </c>
      <c r="F145" s="23" t="s">
        <v>1040</v>
      </c>
      <c r="G145" s="10" t="s">
        <v>26</v>
      </c>
      <c r="H145" s="10" t="s">
        <v>1042</v>
      </c>
      <c r="I145" s="13">
        <v>45831</v>
      </c>
      <c r="J145" s="10" t="str">
        <f t="shared" ca="1" si="0"/>
        <v xml:space="preserve">1  Años, 2  Mes, 3 Dias </v>
      </c>
      <c r="K145" s="12" t="s">
        <v>113</v>
      </c>
      <c r="L145" s="5"/>
      <c r="M145" s="5"/>
      <c r="N145" s="10" t="s">
        <v>120</v>
      </c>
      <c r="O145" s="10" t="s">
        <v>236</v>
      </c>
      <c r="P145" s="12" t="s">
        <v>210</v>
      </c>
      <c r="Q145" s="18" t="s">
        <v>128</v>
      </c>
      <c r="R145" s="12" t="s">
        <v>133</v>
      </c>
      <c r="S145" s="12" t="s">
        <v>1048</v>
      </c>
      <c r="T145" s="12" t="s">
        <v>136</v>
      </c>
      <c r="U145" s="12">
        <v>3136504046</v>
      </c>
      <c r="V145" s="12">
        <v>3106121122</v>
      </c>
      <c r="W145" s="5"/>
      <c r="X145" s="12" t="s">
        <v>136</v>
      </c>
      <c r="Y145" s="12" t="s">
        <v>605</v>
      </c>
      <c r="Z145" s="12" t="s">
        <v>170</v>
      </c>
      <c r="AA145" s="31"/>
      <c r="AB145" s="31"/>
      <c r="AC145" s="31"/>
      <c r="AD145" s="10" t="s">
        <v>209</v>
      </c>
    </row>
    <row r="146" spans="1:30" ht="15.75" customHeight="1" x14ac:dyDescent="0.25">
      <c r="A146" s="10" t="s">
        <v>77</v>
      </c>
      <c r="B146" s="10" t="s">
        <v>86</v>
      </c>
      <c r="C146" s="10" t="s">
        <v>91</v>
      </c>
      <c r="D146" s="10" t="s">
        <v>92</v>
      </c>
      <c r="E146" s="12">
        <v>72020496</v>
      </c>
      <c r="F146" s="15" t="s">
        <v>2003</v>
      </c>
      <c r="G146" s="10" t="s">
        <v>26</v>
      </c>
      <c r="H146" s="117" t="s">
        <v>2004</v>
      </c>
      <c r="I146" s="53">
        <v>45582</v>
      </c>
      <c r="J146" s="10" t="str">
        <f t="shared" ca="1" si="0"/>
        <v xml:space="preserve">1  Años, 10  Mes, 9 Dias </v>
      </c>
      <c r="K146" s="10" t="s">
        <v>113</v>
      </c>
      <c r="L146" s="5"/>
      <c r="M146" s="5"/>
      <c r="N146" s="10" t="s">
        <v>120</v>
      </c>
      <c r="O146" s="10" t="s">
        <v>122</v>
      </c>
      <c r="P146" s="12" t="s">
        <v>210</v>
      </c>
      <c r="Q146" s="18" t="s">
        <v>128</v>
      </c>
      <c r="R146" s="10" t="s">
        <v>133</v>
      </c>
      <c r="S146" s="12" t="s">
        <v>2008</v>
      </c>
      <c r="T146" s="12" t="s">
        <v>136</v>
      </c>
      <c r="U146" s="12">
        <v>3127157015</v>
      </c>
      <c r="V146" s="12">
        <v>3127157015</v>
      </c>
      <c r="W146" s="62" t="s">
        <v>2009</v>
      </c>
      <c r="X146" s="10" t="s">
        <v>136</v>
      </c>
      <c r="Y146" s="12" t="s">
        <v>539</v>
      </c>
      <c r="Z146" s="12" t="s">
        <v>966</v>
      </c>
      <c r="AA146" s="31"/>
      <c r="AB146" s="31"/>
      <c r="AC146" s="53">
        <v>45621</v>
      </c>
      <c r="AD146" s="31"/>
    </row>
    <row r="147" spans="1:30" ht="15.75" customHeight="1" x14ac:dyDescent="0.25">
      <c r="A147" s="10" t="s">
        <v>77</v>
      </c>
      <c r="B147" s="10" t="s">
        <v>86</v>
      </c>
      <c r="C147" s="10" t="s">
        <v>91</v>
      </c>
      <c r="D147" s="10" t="s">
        <v>92</v>
      </c>
      <c r="E147" s="10">
        <v>1149441148</v>
      </c>
      <c r="F147" s="23" t="s">
        <v>565</v>
      </c>
      <c r="G147" s="10" t="s">
        <v>11</v>
      </c>
      <c r="H147" s="10" t="s">
        <v>2016</v>
      </c>
      <c r="I147" s="13">
        <v>44986</v>
      </c>
      <c r="J147" s="10" t="str">
        <f t="shared" ca="1" si="0"/>
        <v xml:space="preserve">3  Años, 5  Mes, 25 Dias </v>
      </c>
      <c r="K147" s="10" t="s">
        <v>113</v>
      </c>
      <c r="L147" s="19"/>
      <c r="M147" s="19" t="str">
        <f ca="1">IF(L147=0,"", DATEDIF(L147,TODAY(),"y"))</f>
        <v/>
      </c>
      <c r="N147" s="10" t="s">
        <v>120</v>
      </c>
      <c r="O147" s="10" t="s">
        <v>122</v>
      </c>
      <c r="P147" s="10" t="s">
        <v>142</v>
      </c>
      <c r="Q147" s="18" t="s">
        <v>128</v>
      </c>
      <c r="R147" s="10" t="s">
        <v>133</v>
      </c>
      <c r="S147" s="10" t="s">
        <v>2021</v>
      </c>
      <c r="T147" s="10" t="s">
        <v>136</v>
      </c>
      <c r="U147" s="10">
        <v>3225435032</v>
      </c>
      <c r="V147" s="10">
        <v>3205649186</v>
      </c>
      <c r="W147" s="10" t="s">
        <v>2022</v>
      </c>
      <c r="X147" s="10" t="s">
        <v>136</v>
      </c>
      <c r="Y147" s="10" t="s">
        <v>203</v>
      </c>
      <c r="Z147" s="10" t="s">
        <v>170</v>
      </c>
      <c r="AA147" s="24"/>
      <c r="AB147" s="24"/>
      <c r="AC147" s="13">
        <v>45362</v>
      </c>
      <c r="AD147" s="24"/>
    </row>
    <row r="148" spans="1:30" ht="15.75" customHeight="1" x14ac:dyDescent="0.25">
      <c r="A148" s="10" t="s">
        <v>77</v>
      </c>
      <c r="B148" s="10" t="s">
        <v>86</v>
      </c>
      <c r="C148" s="10" t="s">
        <v>91</v>
      </c>
      <c r="D148" s="12" t="s">
        <v>92</v>
      </c>
      <c r="E148" s="12">
        <v>1002236337</v>
      </c>
      <c r="F148" s="15" t="s">
        <v>2023</v>
      </c>
      <c r="G148" s="12" t="s">
        <v>11</v>
      </c>
      <c r="H148" s="12" t="s">
        <v>2024</v>
      </c>
      <c r="I148" s="115">
        <v>45424</v>
      </c>
      <c r="J148" s="10" t="str">
        <f t="shared" ca="1" si="0"/>
        <v xml:space="preserve">2  Años, 3  Mes, 14 Dias </v>
      </c>
      <c r="K148" s="12" t="s">
        <v>113</v>
      </c>
      <c r="L148" s="20"/>
      <c r="M148" s="5"/>
      <c r="N148" s="10" t="s">
        <v>120</v>
      </c>
      <c r="O148" s="10" t="s">
        <v>236</v>
      </c>
      <c r="P148" s="12" t="s">
        <v>142</v>
      </c>
      <c r="Q148" s="18" t="s">
        <v>128</v>
      </c>
      <c r="R148" s="12" t="s">
        <v>133</v>
      </c>
      <c r="S148" s="12" t="s">
        <v>2029</v>
      </c>
      <c r="T148" s="12" t="s">
        <v>136</v>
      </c>
      <c r="U148" s="12">
        <v>3226095958</v>
      </c>
      <c r="V148" s="5"/>
      <c r="W148" s="5"/>
      <c r="X148" s="10" t="s">
        <v>136</v>
      </c>
      <c r="Y148" s="12" t="s">
        <v>781</v>
      </c>
      <c r="Z148" s="12" t="s">
        <v>170</v>
      </c>
      <c r="AA148" s="20"/>
      <c r="AB148" s="20"/>
      <c r="AC148" s="16">
        <v>45744</v>
      </c>
      <c r="AD148" s="13" t="s">
        <v>148</v>
      </c>
    </row>
    <row r="149" spans="1:30" ht="15.75" customHeight="1" x14ac:dyDescent="0.25">
      <c r="A149" s="10" t="s">
        <v>77</v>
      </c>
      <c r="B149" s="10" t="s">
        <v>86</v>
      </c>
      <c r="C149" s="10" t="s">
        <v>91</v>
      </c>
      <c r="D149" s="10" t="s">
        <v>92</v>
      </c>
      <c r="E149" s="10">
        <v>72047462</v>
      </c>
      <c r="F149" s="23" t="s">
        <v>211</v>
      </c>
      <c r="G149" s="10" t="s">
        <v>741</v>
      </c>
      <c r="H149" s="10" t="s">
        <v>2033</v>
      </c>
      <c r="I149" s="13">
        <v>44843</v>
      </c>
      <c r="J149" s="10" t="str">
        <f t="shared" ca="1" si="0"/>
        <v xml:space="preserve">3  Años, 10  Mes, 17 Dias </v>
      </c>
      <c r="K149" s="10" t="s">
        <v>113</v>
      </c>
      <c r="L149" s="19"/>
      <c r="M149" s="19" t="str">
        <f t="shared" ref="M149:M151" ca="1" si="22">IF(L149=0,"", DATEDIF(L149,TODAY(),"y"))</f>
        <v/>
      </c>
      <c r="N149" s="10" t="s">
        <v>120</v>
      </c>
      <c r="O149" s="10" t="s">
        <v>122</v>
      </c>
      <c r="P149" s="10" t="s">
        <v>142</v>
      </c>
      <c r="Q149" s="18" t="s">
        <v>128</v>
      </c>
      <c r="R149" s="10" t="s">
        <v>133</v>
      </c>
      <c r="S149" s="10" t="s">
        <v>2039</v>
      </c>
      <c r="T149" s="10" t="s">
        <v>136</v>
      </c>
      <c r="U149" s="10">
        <v>3002513078</v>
      </c>
      <c r="V149" s="19"/>
      <c r="W149" s="10" t="s">
        <v>2041</v>
      </c>
      <c r="X149" s="10" t="s">
        <v>136</v>
      </c>
      <c r="Y149" s="10" t="s">
        <v>206</v>
      </c>
      <c r="Z149" s="10" t="s">
        <v>216</v>
      </c>
      <c r="AA149" s="33"/>
      <c r="AB149" s="33"/>
      <c r="AC149" s="35">
        <v>44896</v>
      </c>
      <c r="AD149" s="19"/>
    </row>
    <row r="150" spans="1:30" ht="15.75" customHeight="1" x14ac:dyDescent="0.25">
      <c r="A150" s="10" t="s">
        <v>77</v>
      </c>
      <c r="B150" s="10" t="s">
        <v>90</v>
      </c>
      <c r="C150" s="10" t="s">
        <v>175</v>
      </c>
      <c r="D150" s="10" t="s">
        <v>92</v>
      </c>
      <c r="E150" s="10">
        <v>72049150</v>
      </c>
      <c r="F150" s="23" t="s">
        <v>760</v>
      </c>
      <c r="G150" s="10" t="s">
        <v>11</v>
      </c>
      <c r="H150" s="10" t="s">
        <v>761</v>
      </c>
      <c r="I150" s="13">
        <v>45831</v>
      </c>
      <c r="J150" s="10" t="str">
        <f t="shared" ca="1" si="0"/>
        <v xml:space="preserve">1  Años, 2  Mes, 3 Dias </v>
      </c>
      <c r="K150" s="10" t="s">
        <v>113</v>
      </c>
      <c r="L150" s="24"/>
      <c r="M150" s="19" t="str">
        <f t="shared" ca="1" si="22"/>
        <v/>
      </c>
      <c r="N150" s="10" t="s">
        <v>120</v>
      </c>
      <c r="O150" s="10" t="s">
        <v>122</v>
      </c>
      <c r="P150" s="10" t="s">
        <v>142</v>
      </c>
      <c r="Q150" s="18" t="s">
        <v>128</v>
      </c>
      <c r="R150" s="10" t="s">
        <v>133</v>
      </c>
      <c r="S150" s="10" t="s">
        <v>766</v>
      </c>
      <c r="T150" s="10" t="s">
        <v>136</v>
      </c>
      <c r="U150" s="10">
        <v>3005528357</v>
      </c>
      <c r="V150" s="19"/>
      <c r="W150" s="10" t="s">
        <v>768</v>
      </c>
      <c r="X150" s="10" t="s">
        <v>136</v>
      </c>
      <c r="Y150" s="10" t="s">
        <v>206</v>
      </c>
      <c r="Z150" s="10" t="s">
        <v>216</v>
      </c>
      <c r="AA150" s="63"/>
      <c r="AB150" s="63"/>
      <c r="AC150" s="63"/>
      <c r="AD150" s="10" t="s">
        <v>209</v>
      </c>
    </row>
    <row r="151" spans="1:30" ht="15.75" customHeight="1" x14ac:dyDescent="0.25">
      <c r="A151" s="10" t="s">
        <v>77</v>
      </c>
      <c r="B151" s="10" t="s">
        <v>86</v>
      </c>
      <c r="C151" s="10" t="s">
        <v>91</v>
      </c>
      <c r="D151" s="10" t="s">
        <v>92</v>
      </c>
      <c r="E151" s="10">
        <v>1048303686</v>
      </c>
      <c r="F151" s="23" t="s">
        <v>182</v>
      </c>
      <c r="G151" s="10" t="s">
        <v>11</v>
      </c>
      <c r="H151" s="10" t="s">
        <v>2051</v>
      </c>
      <c r="I151" s="13">
        <v>45297</v>
      </c>
      <c r="J151" s="10" t="str">
        <f t="shared" ca="1" si="0"/>
        <v xml:space="preserve">2  Años, 7  Mes, 20 Dias </v>
      </c>
      <c r="K151" s="10" t="s">
        <v>113</v>
      </c>
      <c r="L151" s="24"/>
      <c r="M151" s="19" t="str">
        <f t="shared" ca="1" si="22"/>
        <v/>
      </c>
      <c r="N151" s="10" t="s">
        <v>120</v>
      </c>
      <c r="O151" s="10" t="s">
        <v>122</v>
      </c>
      <c r="P151" s="10" t="s">
        <v>124</v>
      </c>
      <c r="Q151" s="18" t="s">
        <v>128</v>
      </c>
      <c r="R151" s="10" t="s">
        <v>133</v>
      </c>
      <c r="S151" s="10" t="s">
        <v>2056</v>
      </c>
      <c r="T151" s="10" t="s">
        <v>507</v>
      </c>
      <c r="U151" s="10">
        <v>3012869015</v>
      </c>
      <c r="V151" s="19"/>
      <c r="W151" s="59" t="s">
        <v>2057</v>
      </c>
      <c r="X151" s="10" t="s">
        <v>136</v>
      </c>
      <c r="Y151" s="10" t="s">
        <v>155</v>
      </c>
      <c r="Z151" s="10" t="s">
        <v>170</v>
      </c>
      <c r="AA151" s="24"/>
      <c r="AB151" s="24"/>
      <c r="AC151" s="13">
        <v>45440</v>
      </c>
      <c r="AD151" s="24"/>
    </row>
    <row r="152" spans="1:30" ht="15.75" customHeight="1" x14ac:dyDescent="0.25">
      <c r="A152" s="10" t="s">
        <v>77</v>
      </c>
      <c r="B152" s="10" t="s">
        <v>86</v>
      </c>
      <c r="C152" s="10" t="s">
        <v>91</v>
      </c>
      <c r="D152" s="10" t="s">
        <v>92</v>
      </c>
      <c r="E152" s="10">
        <v>9875832</v>
      </c>
      <c r="F152" s="23" t="s">
        <v>2063</v>
      </c>
      <c r="G152" s="10" t="s">
        <v>26</v>
      </c>
      <c r="H152" s="10" t="s">
        <v>2065</v>
      </c>
      <c r="I152" s="13">
        <v>45432</v>
      </c>
      <c r="J152" s="10" t="str">
        <f t="shared" ca="1" si="0"/>
        <v xml:space="preserve">2  Años, 3  Mes, 6 Dias </v>
      </c>
      <c r="K152" s="10" t="s">
        <v>113</v>
      </c>
      <c r="L152" s="36">
        <v>29184</v>
      </c>
      <c r="M152" s="10">
        <v>33</v>
      </c>
      <c r="N152" s="10" t="s">
        <v>120</v>
      </c>
      <c r="O152" s="10" t="s">
        <v>122</v>
      </c>
      <c r="P152" s="10" t="s">
        <v>142</v>
      </c>
      <c r="Q152" s="18" t="s">
        <v>128</v>
      </c>
      <c r="R152" s="10" t="s">
        <v>133</v>
      </c>
      <c r="S152" s="10" t="s">
        <v>2068</v>
      </c>
      <c r="T152" s="10" t="s">
        <v>136</v>
      </c>
      <c r="U152" s="10">
        <v>3124917216</v>
      </c>
      <c r="V152" s="19"/>
      <c r="W152" s="40" t="s">
        <v>2070</v>
      </c>
      <c r="X152" s="10" t="s">
        <v>136</v>
      </c>
      <c r="Y152" s="37" t="s">
        <v>155</v>
      </c>
      <c r="Z152" s="10" t="s">
        <v>170</v>
      </c>
      <c r="AA152" s="24"/>
      <c r="AB152" s="24"/>
      <c r="AC152" s="13">
        <v>45444</v>
      </c>
      <c r="AD152" s="24"/>
    </row>
    <row r="153" spans="1:30" ht="15.75" customHeight="1" x14ac:dyDescent="0.25">
      <c r="A153" s="10" t="s">
        <v>77</v>
      </c>
      <c r="B153" s="10" t="s">
        <v>86</v>
      </c>
      <c r="C153" s="10" t="s">
        <v>91</v>
      </c>
      <c r="D153" s="10" t="s">
        <v>92</v>
      </c>
      <c r="E153" s="10">
        <v>72430958</v>
      </c>
      <c r="F153" s="23" t="s">
        <v>451</v>
      </c>
      <c r="G153" s="10" t="s">
        <v>11</v>
      </c>
      <c r="H153" s="10" t="s">
        <v>2077</v>
      </c>
      <c r="I153" s="13">
        <v>44843</v>
      </c>
      <c r="J153" s="10" t="str">
        <f t="shared" ca="1" si="0"/>
        <v xml:space="preserve">3  Años, 10  Mes, 17 Dias </v>
      </c>
      <c r="K153" s="10" t="s">
        <v>113</v>
      </c>
      <c r="L153" s="19"/>
      <c r="M153" s="19" t="str">
        <f t="shared" ref="M153:M155" ca="1" si="23">IF(L153=0,"", DATEDIF(L153,TODAY(),"y"))</f>
        <v/>
      </c>
      <c r="N153" s="10" t="s">
        <v>120</v>
      </c>
      <c r="O153" s="10" t="s">
        <v>122</v>
      </c>
      <c r="P153" s="10" t="s">
        <v>124</v>
      </c>
      <c r="Q153" s="18" t="s">
        <v>128</v>
      </c>
      <c r="R153" s="10" t="s">
        <v>133</v>
      </c>
      <c r="S153" s="10" t="s">
        <v>2080</v>
      </c>
      <c r="T153" s="10" t="s">
        <v>136</v>
      </c>
      <c r="U153" s="10">
        <v>3014196250</v>
      </c>
      <c r="V153" s="19"/>
      <c r="W153" s="10" t="s">
        <v>845</v>
      </c>
      <c r="X153" s="10" t="s">
        <v>136</v>
      </c>
      <c r="Y153" s="10" t="s">
        <v>206</v>
      </c>
      <c r="Z153" s="10" t="s">
        <v>170</v>
      </c>
      <c r="AA153" s="24"/>
      <c r="AB153" s="24"/>
      <c r="AC153" s="13">
        <v>45830</v>
      </c>
      <c r="AD153" s="10" t="s">
        <v>209</v>
      </c>
    </row>
    <row r="154" spans="1:30" ht="15.75" customHeight="1" x14ac:dyDescent="0.25">
      <c r="A154" s="10" t="s">
        <v>77</v>
      </c>
      <c r="B154" s="10" t="s">
        <v>86</v>
      </c>
      <c r="C154" s="10" t="s">
        <v>91</v>
      </c>
      <c r="D154" s="10" t="s">
        <v>92</v>
      </c>
      <c r="E154" s="37">
        <v>1129581277</v>
      </c>
      <c r="F154" s="38" t="s">
        <v>2084</v>
      </c>
      <c r="G154" s="10" t="s">
        <v>11</v>
      </c>
      <c r="H154" s="10" t="s">
        <v>2085</v>
      </c>
      <c r="I154" s="13">
        <v>45330</v>
      </c>
      <c r="J154" s="10" t="str">
        <f t="shared" ca="1" si="0"/>
        <v xml:space="preserve">2  Años, 6  Mes, 18 Dias </v>
      </c>
      <c r="K154" s="10" t="s">
        <v>113</v>
      </c>
      <c r="L154" s="36" t="s">
        <v>2088</v>
      </c>
      <c r="M154" s="10" t="e">
        <f t="shared" ca="1" si="23"/>
        <v>#VALUE!</v>
      </c>
      <c r="N154" s="10" t="s">
        <v>120</v>
      </c>
      <c r="O154" s="10" t="s">
        <v>236</v>
      </c>
      <c r="P154" s="10" t="s">
        <v>142</v>
      </c>
      <c r="Q154" s="18" t="s">
        <v>128</v>
      </c>
      <c r="R154" s="10" t="s">
        <v>133</v>
      </c>
      <c r="S154" s="37" t="s">
        <v>2090</v>
      </c>
      <c r="T154" s="10" t="s">
        <v>151</v>
      </c>
      <c r="U154" s="37">
        <v>3116051561</v>
      </c>
      <c r="V154" s="19"/>
      <c r="W154" s="40" t="s">
        <v>2093</v>
      </c>
      <c r="X154" s="10" t="s">
        <v>136</v>
      </c>
      <c r="Y154" s="37" t="s">
        <v>155</v>
      </c>
      <c r="Z154" s="10" t="s">
        <v>170</v>
      </c>
      <c r="AA154" s="33"/>
      <c r="AB154" s="33"/>
      <c r="AC154" s="35">
        <v>45656</v>
      </c>
      <c r="AD154" s="24"/>
    </row>
    <row r="155" spans="1:30" ht="15.75" customHeight="1" x14ac:dyDescent="0.25">
      <c r="A155" s="10" t="s">
        <v>77</v>
      </c>
      <c r="B155" s="10" t="s">
        <v>90</v>
      </c>
      <c r="C155" s="10" t="s">
        <v>175</v>
      </c>
      <c r="D155" s="10" t="s">
        <v>92</v>
      </c>
      <c r="E155" s="10">
        <v>1143271328</v>
      </c>
      <c r="F155" s="23" t="s">
        <v>788</v>
      </c>
      <c r="G155" s="10" t="s">
        <v>11</v>
      </c>
      <c r="H155" s="10" t="s">
        <v>789</v>
      </c>
      <c r="I155" s="13">
        <v>45864</v>
      </c>
      <c r="J155" s="10" t="str">
        <f t="shared" ca="1" si="0"/>
        <v xml:space="preserve">1  Años, 1  Mes, 0 Dias </v>
      </c>
      <c r="K155" s="10" t="s">
        <v>113</v>
      </c>
      <c r="L155" s="13">
        <v>36521</v>
      </c>
      <c r="M155" s="10">
        <f t="shared" ca="1" si="23"/>
        <v>26</v>
      </c>
      <c r="N155" s="10" t="s">
        <v>120</v>
      </c>
      <c r="O155" s="10" t="s">
        <v>236</v>
      </c>
      <c r="P155" s="10" t="s">
        <v>142</v>
      </c>
      <c r="Q155" s="18" t="s">
        <v>128</v>
      </c>
      <c r="R155" s="10" t="s">
        <v>133</v>
      </c>
      <c r="S155" s="10" t="s">
        <v>795</v>
      </c>
      <c r="T155" s="10" t="s">
        <v>136</v>
      </c>
      <c r="U155" s="10">
        <v>3022202997</v>
      </c>
      <c r="V155" s="19"/>
      <c r="W155" s="19"/>
      <c r="X155" s="10" t="s">
        <v>136</v>
      </c>
      <c r="Y155" s="19"/>
      <c r="Z155" s="19"/>
      <c r="AA155" s="45"/>
      <c r="AB155" s="24"/>
      <c r="AC155" s="24"/>
      <c r="AD155" s="10" t="s">
        <v>209</v>
      </c>
    </row>
    <row r="156" spans="1:30" ht="15.75" customHeight="1" x14ac:dyDescent="0.25">
      <c r="A156" s="10" t="s">
        <v>160</v>
      </c>
      <c r="B156" s="10" t="s">
        <v>86</v>
      </c>
      <c r="C156" s="10" t="s">
        <v>91</v>
      </c>
      <c r="D156" s="10" t="s">
        <v>92</v>
      </c>
      <c r="E156" s="10">
        <v>1045736677</v>
      </c>
      <c r="F156" s="23" t="s">
        <v>2109</v>
      </c>
      <c r="G156" s="10" t="s">
        <v>2110</v>
      </c>
      <c r="H156" s="10" t="s">
        <v>2111</v>
      </c>
      <c r="I156" s="13">
        <v>45521</v>
      </c>
      <c r="J156" s="10" t="str">
        <f t="shared" ca="1" si="0"/>
        <v xml:space="preserve">2  Años, 0  Mes, 9 Dias </v>
      </c>
      <c r="K156" s="10" t="s">
        <v>113</v>
      </c>
      <c r="L156" s="19"/>
      <c r="M156" s="19"/>
      <c r="N156" s="10" t="s">
        <v>320</v>
      </c>
      <c r="O156" s="10" t="s">
        <v>277</v>
      </c>
      <c r="P156" s="10" t="s">
        <v>210</v>
      </c>
      <c r="Q156" s="18" t="s">
        <v>128</v>
      </c>
      <c r="R156" s="10" t="s">
        <v>133</v>
      </c>
      <c r="S156" s="10" t="s">
        <v>2112</v>
      </c>
      <c r="T156" s="10" t="s">
        <v>136</v>
      </c>
      <c r="U156" s="10">
        <v>3246853312</v>
      </c>
      <c r="V156" s="19"/>
      <c r="W156" s="10" t="s">
        <v>2114</v>
      </c>
      <c r="X156" s="10" t="s">
        <v>136</v>
      </c>
      <c r="Y156" s="10" t="s">
        <v>1144</v>
      </c>
      <c r="Z156" s="10" t="s">
        <v>1266</v>
      </c>
      <c r="AA156" s="33"/>
      <c r="AB156" s="33"/>
      <c r="AC156" s="35">
        <v>45656</v>
      </c>
      <c r="AD156" s="19"/>
    </row>
    <row r="157" spans="1:30" ht="15.75" customHeight="1" x14ac:dyDescent="0.25">
      <c r="A157" s="10" t="s">
        <v>77</v>
      </c>
      <c r="B157" s="10" t="s">
        <v>90</v>
      </c>
      <c r="C157" s="10" t="s">
        <v>175</v>
      </c>
      <c r="D157" s="10" t="s">
        <v>92</v>
      </c>
      <c r="E157" s="10">
        <v>3746339</v>
      </c>
      <c r="F157" s="23" t="s">
        <v>554</v>
      </c>
      <c r="G157" s="10" t="s">
        <v>26</v>
      </c>
      <c r="H157" s="10" t="s">
        <v>920</v>
      </c>
      <c r="I157" s="13">
        <v>45831</v>
      </c>
      <c r="J157" s="10" t="str">
        <f t="shared" ca="1" si="0"/>
        <v xml:space="preserve">1  Años, 2  Mes, 3 Dias </v>
      </c>
      <c r="K157" s="10" t="s">
        <v>113</v>
      </c>
      <c r="L157" s="19"/>
      <c r="M157" s="19" t="str">
        <f t="shared" ref="M157:M163" ca="1" si="24">IF(L157=0,"", DATEDIF(L157,TODAY(),"y"))</f>
        <v/>
      </c>
      <c r="N157" s="10" t="s">
        <v>120</v>
      </c>
      <c r="O157" s="10" t="s">
        <v>122</v>
      </c>
      <c r="P157" s="10" t="s">
        <v>142</v>
      </c>
      <c r="Q157" s="18" t="s">
        <v>128</v>
      </c>
      <c r="R157" s="10" t="s">
        <v>133</v>
      </c>
      <c r="S157" s="10" t="s">
        <v>928</v>
      </c>
      <c r="T157" s="10" t="s">
        <v>136</v>
      </c>
      <c r="U157" s="10">
        <v>3012640714</v>
      </c>
      <c r="V157" s="19"/>
      <c r="W157" s="10" t="s">
        <v>845</v>
      </c>
      <c r="X157" s="10" t="s">
        <v>136</v>
      </c>
      <c r="Y157" s="10" t="s">
        <v>206</v>
      </c>
      <c r="Z157" s="10" t="s">
        <v>216</v>
      </c>
      <c r="AA157" s="63"/>
      <c r="AB157" s="63"/>
      <c r="AC157" s="63"/>
      <c r="AD157" s="10" t="s">
        <v>209</v>
      </c>
    </row>
    <row r="158" spans="1:30" ht="15.75" customHeight="1" x14ac:dyDescent="0.25">
      <c r="A158" s="10" t="s">
        <v>77</v>
      </c>
      <c r="B158" s="10" t="s">
        <v>86</v>
      </c>
      <c r="C158" s="10" t="s">
        <v>91</v>
      </c>
      <c r="D158" s="10" t="s">
        <v>92</v>
      </c>
      <c r="E158" s="10">
        <v>72273081</v>
      </c>
      <c r="F158" s="23" t="s">
        <v>553</v>
      </c>
      <c r="G158" s="10" t="s">
        <v>18</v>
      </c>
      <c r="H158" s="10" t="s">
        <v>2127</v>
      </c>
      <c r="I158" s="13">
        <v>45162</v>
      </c>
      <c r="J158" s="10" t="str">
        <f t="shared" ca="1" si="0"/>
        <v xml:space="preserve">3  Años, 0  Mes, 2 Dias </v>
      </c>
      <c r="K158" s="10" t="s">
        <v>113</v>
      </c>
      <c r="L158" s="24"/>
      <c r="M158" s="19" t="str">
        <f t="shared" ca="1" si="24"/>
        <v/>
      </c>
      <c r="N158" s="10" t="s">
        <v>120</v>
      </c>
      <c r="O158" s="10" t="s">
        <v>122</v>
      </c>
      <c r="P158" s="10" t="s">
        <v>142</v>
      </c>
      <c r="Q158" s="18" t="s">
        <v>128</v>
      </c>
      <c r="R158" s="10" t="s">
        <v>133</v>
      </c>
      <c r="S158" s="10" t="s">
        <v>2131</v>
      </c>
      <c r="T158" s="10" t="s">
        <v>151</v>
      </c>
      <c r="U158" s="10">
        <v>3003867082</v>
      </c>
      <c r="V158" s="10">
        <v>3003867082</v>
      </c>
      <c r="W158" s="10" t="s">
        <v>2134</v>
      </c>
      <c r="X158" s="10" t="s">
        <v>136</v>
      </c>
      <c r="Y158" s="10" t="s">
        <v>206</v>
      </c>
      <c r="Z158" s="10" t="s">
        <v>170</v>
      </c>
      <c r="AA158" s="24"/>
      <c r="AB158" s="24"/>
      <c r="AC158" s="13">
        <v>45597</v>
      </c>
      <c r="AD158" s="24"/>
    </row>
    <row r="159" spans="1:30" ht="15.75" customHeight="1" x14ac:dyDescent="0.25">
      <c r="A159" s="10" t="s">
        <v>77</v>
      </c>
      <c r="B159" s="10" t="s">
        <v>90</v>
      </c>
      <c r="C159" s="10" t="s">
        <v>175</v>
      </c>
      <c r="D159" s="10" t="s">
        <v>92</v>
      </c>
      <c r="E159" s="10">
        <v>1143425190</v>
      </c>
      <c r="F159" s="23" t="s">
        <v>421</v>
      </c>
      <c r="G159" s="10" t="s">
        <v>741</v>
      </c>
      <c r="H159" s="10" t="s">
        <v>919</v>
      </c>
      <c r="I159" s="13">
        <v>45831</v>
      </c>
      <c r="J159" s="10" t="str">
        <f t="shared" ca="1" si="0"/>
        <v xml:space="preserve">1  Años, 2  Mes, 3 Dias </v>
      </c>
      <c r="K159" s="10" t="s">
        <v>113</v>
      </c>
      <c r="L159" s="19"/>
      <c r="M159" s="19" t="str">
        <f t="shared" ca="1" si="24"/>
        <v/>
      </c>
      <c r="N159" s="10" t="s">
        <v>120</v>
      </c>
      <c r="O159" s="10" t="s">
        <v>122</v>
      </c>
      <c r="P159" s="10" t="s">
        <v>142</v>
      </c>
      <c r="Q159" s="18" t="s">
        <v>128</v>
      </c>
      <c r="R159" s="10" t="s">
        <v>133</v>
      </c>
      <c r="S159" s="10" t="s">
        <v>923</v>
      </c>
      <c r="T159" s="10" t="s">
        <v>136</v>
      </c>
      <c r="U159" s="10">
        <v>3158229087</v>
      </c>
      <c r="V159" s="10">
        <v>3017493974</v>
      </c>
      <c r="W159" s="10" t="s">
        <v>924</v>
      </c>
      <c r="X159" s="10" t="s">
        <v>136</v>
      </c>
      <c r="Y159" s="10" t="s">
        <v>206</v>
      </c>
      <c r="Z159" s="10" t="s">
        <v>170</v>
      </c>
      <c r="AA159" s="24"/>
      <c r="AB159" s="24"/>
      <c r="AC159" s="13">
        <v>45336</v>
      </c>
      <c r="AD159" s="13" t="s">
        <v>209</v>
      </c>
    </row>
    <row r="160" spans="1:30" ht="15.75" customHeight="1" x14ac:dyDescent="0.25">
      <c r="A160" s="10" t="s">
        <v>77</v>
      </c>
      <c r="B160" s="10" t="s">
        <v>90</v>
      </c>
      <c r="C160" s="10" t="s">
        <v>175</v>
      </c>
      <c r="D160" s="10" t="s">
        <v>92</v>
      </c>
      <c r="E160" s="10">
        <v>1042426070</v>
      </c>
      <c r="F160" s="23" t="s">
        <v>550</v>
      </c>
      <c r="G160" s="10" t="s">
        <v>11</v>
      </c>
      <c r="H160" s="10" t="s">
        <v>786</v>
      </c>
      <c r="I160" s="13">
        <v>45831</v>
      </c>
      <c r="J160" s="10" t="str">
        <f t="shared" ca="1" si="0"/>
        <v xml:space="preserve">1  Años, 2  Mes, 3 Dias </v>
      </c>
      <c r="K160" s="10" t="s">
        <v>113</v>
      </c>
      <c r="L160" s="24"/>
      <c r="M160" s="19" t="str">
        <f t="shared" ca="1" si="24"/>
        <v/>
      </c>
      <c r="N160" s="10" t="s">
        <v>120</v>
      </c>
      <c r="O160" s="10" t="s">
        <v>122</v>
      </c>
      <c r="P160" s="10" t="s">
        <v>142</v>
      </c>
      <c r="Q160" s="18" t="s">
        <v>128</v>
      </c>
      <c r="R160" s="10" t="s">
        <v>133</v>
      </c>
      <c r="S160" s="10" t="s">
        <v>787</v>
      </c>
      <c r="T160" s="10" t="s">
        <v>136</v>
      </c>
      <c r="U160" s="10">
        <v>3217301619</v>
      </c>
      <c r="V160" s="19"/>
      <c r="W160" s="10" t="s">
        <v>790</v>
      </c>
      <c r="X160" s="10" t="s">
        <v>136</v>
      </c>
      <c r="Y160" s="10" t="s">
        <v>791</v>
      </c>
      <c r="Z160" s="10" t="s">
        <v>170</v>
      </c>
      <c r="AA160" s="24"/>
      <c r="AB160" s="24"/>
      <c r="AC160" s="24"/>
      <c r="AD160" s="10" t="s">
        <v>209</v>
      </c>
    </row>
    <row r="161" spans="1:30" ht="15.75" customHeight="1" x14ac:dyDescent="0.25">
      <c r="A161" s="10" t="s">
        <v>77</v>
      </c>
      <c r="B161" s="10" t="s">
        <v>86</v>
      </c>
      <c r="C161" s="10" t="s">
        <v>91</v>
      </c>
      <c r="D161" s="10" t="s">
        <v>92</v>
      </c>
      <c r="E161" s="10">
        <v>72227729</v>
      </c>
      <c r="F161" s="23" t="s">
        <v>547</v>
      </c>
      <c r="G161" s="10" t="s">
        <v>11</v>
      </c>
      <c r="H161" s="10" t="s">
        <v>2146</v>
      </c>
      <c r="I161" s="13">
        <v>45126</v>
      </c>
      <c r="J161" s="10" t="str">
        <f t="shared" ca="1" si="0"/>
        <v xml:space="preserve">3  Años, 1  Mes, 7 Dias </v>
      </c>
      <c r="K161" s="10" t="s">
        <v>113</v>
      </c>
      <c r="L161" s="19"/>
      <c r="M161" s="19" t="str">
        <f t="shared" ca="1" si="24"/>
        <v/>
      </c>
      <c r="N161" s="10" t="s">
        <v>120</v>
      </c>
      <c r="O161" s="10" t="s">
        <v>122</v>
      </c>
      <c r="P161" s="10" t="s">
        <v>142</v>
      </c>
      <c r="Q161" s="18" t="s">
        <v>128</v>
      </c>
      <c r="R161" s="10" t="s">
        <v>133</v>
      </c>
      <c r="S161" s="10" t="s">
        <v>2151</v>
      </c>
      <c r="T161" s="10" t="s">
        <v>136</v>
      </c>
      <c r="U161" s="10">
        <v>3003062446</v>
      </c>
      <c r="V161" s="19"/>
      <c r="W161" s="10" t="s">
        <v>2152</v>
      </c>
      <c r="X161" s="10" t="s">
        <v>136</v>
      </c>
      <c r="Y161" s="10" t="s">
        <v>169</v>
      </c>
      <c r="Z161" s="10" t="s">
        <v>170</v>
      </c>
      <c r="AA161" s="33"/>
      <c r="AB161" s="33"/>
      <c r="AC161" s="35">
        <v>45290</v>
      </c>
      <c r="AD161" s="19"/>
    </row>
    <row r="162" spans="1:30" ht="15.75" customHeight="1" x14ac:dyDescent="0.25">
      <c r="A162" s="10" t="s">
        <v>160</v>
      </c>
      <c r="B162" s="10" t="s">
        <v>90</v>
      </c>
      <c r="C162" s="10" t="s">
        <v>175</v>
      </c>
      <c r="D162" s="10" t="s">
        <v>92</v>
      </c>
      <c r="E162" s="10">
        <v>1005488760</v>
      </c>
      <c r="F162" s="23" t="s">
        <v>2156</v>
      </c>
      <c r="G162" s="10" t="s">
        <v>424</v>
      </c>
      <c r="H162" s="10" t="s">
        <v>2158</v>
      </c>
      <c r="I162" s="13">
        <v>45845</v>
      </c>
      <c r="J162" s="10" t="str">
        <f t="shared" ca="1" si="0"/>
        <v xml:space="preserve">1  Años, 1  Mes, 19 Dias </v>
      </c>
      <c r="K162" s="10" t="s">
        <v>113</v>
      </c>
      <c r="L162" s="24"/>
      <c r="M162" s="19" t="str">
        <f t="shared" ca="1" si="24"/>
        <v/>
      </c>
      <c r="N162" s="10" t="s">
        <v>120</v>
      </c>
      <c r="O162" s="10" t="s">
        <v>236</v>
      </c>
      <c r="P162" s="19"/>
      <c r="Q162" s="18" t="s">
        <v>128</v>
      </c>
      <c r="R162" s="19"/>
      <c r="S162" s="19"/>
      <c r="T162" s="10" t="s">
        <v>136</v>
      </c>
      <c r="U162" s="19"/>
      <c r="V162" s="19"/>
      <c r="W162" s="19"/>
      <c r="X162" s="10" t="s">
        <v>136</v>
      </c>
      <c r="Y162" s="19"/>
      <c r="Z162" s="19"/>
      <c r="AA162" s="13">
        <v>286410733</v>
      </c>
      <c r="AB162" s="13" t="s">
        <v>2163</v>
      </c>
      <c r="AC162" s="24"/>
      <c r="AD162" s="13" t="s">
        <v>209</v>
      </c>
    </row>
    <row r="163" spans="1:30" ht="15.75" customHeight="1" x14ac:dyDescent="0.25">
      <c r="A163" s="10" t="s">
        <v>77</v>
      </c>
      <c r="B163" s="10" t="s">
        <v>86</v>
      </c>
      <c r="C163" s="10" t="s">
        <v>91</v>
      </c>
      <c r="D163" s="10" t="s">
        <v>92</v>
      </c>
      <c r="E163" s="10">
        <v>19640203</v>
      </c>
      <c r="F163" s="23" t="s">
        <v>543</v>
      </c>
      <c r="G163" s="10" t="s">
        <v>11</v>
      </c>
      <c r="H163" s="10" t="s">
        <v>2171</v>
      </c>
      <c r="I163" s="13">
        <v>44843</v>
      </c>
      <c r="J163" s="10" t="str">
        <f t="shared" ca="1" si="0"/>
        <v xml:space="preserve">3  Años, 10  Mes, 17 Dias </v>
      </c>
      <c r="K163" s="10" t="s">
        <v>113</v>
      </c>
      <c r="L163" s="24"/>
      <c r="M163" s="19" t="str">
        <f t="shared" ca="1" si="24"/>
        <v/>
      </c>
      <c r="N163" s="10" t="s">
        <v>120</v>
      </c>
      <c r="O163" s="10" t="s">
        <v>122</v>
      </c>
      <c r="P163" s="10" t="s">
        <v>142</v>
      </c>
      <c r="Q163" s="18" t="s">
        <v>128</v>
      </c>
      <c r="R163" s="10" t="s">
        <v>133</v>
      </c>
      <c r="S163" s="10" t="s">
        <v>2174</v>
      </c>
      <c r="T163" s="10" t="s">
        <v>136</v>
      </c>
      <c r="U163" s="10">
        <v>3006951698</v>
      </c>
      <c r="V163" s="19"/>
      <c r="W163" s="10" t="s">
        <v>845</v>
      </c>
      <c r="X163" s="10" t="s">
        <v>136</v>
      </c>
      <c r="Y163" s="10" t="s">
        <v>206</v>
      </c>
      <c r="Z163" s="10" t="s">
        <v>170</v>
      </c>
      <c r="AA163" s="24"/>
      <c r="AB163" s="24"/>
      <c r="AC163" s="13">
        <v>45440</v>
      </c>
      <c r="AD163" s="24"/>
    </row>
    <row r="164" spans="1:30" ht="15.75" customHeight="1" x14ac:dyDescent="0.25">
      <c r="A164" s="10" t="s">
        <v>160</v>
      </c>
      <c r="B164" s="10" t="s">
        <v>86</v>
      </c>
      <c r="C164" s="10" t="s">
        <v>91</v>
      </c>
      <c r="D164" s="10" t="s">
        <v>92</v>
      </c>
      <c r="E164" s="10">
        <v>1043131134</v>
      </c>
      <c r="F164" s="23" t="s">
        <v>2177</v>
      </c>
      <c r="G164" s="10" t="s">
        <v>2178</v>
      </c>
      <c r="H164" s="10" t="s">
        <v>2179</v>
      </c>
      <c r="I164" s="13">
        <v>45601</v>
      </c>
      <c r="J164" s="10" t="str">
        <f t="shared" ca="1" si="0"/>
        <v xml:space="preserve">1  Años, 9  Mes, 21 Dias </v>
      </c>
      <c r="K164" s="10" t="s">
        <v>113</v>
      </c>
      <c r="L164" s="36">
        <v>38359</v>
      </c>
      <c r="M164" s="10">
        <v>19</v>
      </c>
      <c r="N164" s="10" t="s">
        <v>320</v>
      </c>
      <c r="O164" s="10" t="s">
        <v>122</v>
      </c>
      <c r="P164" s="10" t="s">
        <v>210</v>
      </c>
      <c r="Q164" s="18" t="s">
        <v>128</v>
      </c>
      <c r="R164" s="10" t="s">
        <v>133</v>
      </c>
      <c r="S164" s="10" t="s">
        <v>2182</v>
      </c>
      <c r="T164" s="10" t="s">
        <v>801</v>
      </c>
      <c r="U164" s="10">
        <v>3104870061</v>
      </c>
      <c r="V164" s="19"/>
      <c r="W164" s="109" t="s">
        <v>2183</v>
      </c>
      <c r="X164" s="10" t="s">
        <v>136</v>
      </c>
      <c r="Y164" s="10" t="s">
        <v>539</v>
      </c>
      <c r="Z164" s="10" t="s">
        <v>170</v>
      </c>
      <c r="AA164" s="24"/>
      <c r="AB164" s="24"/>
      <c r="AC164" s="13">
        <v>45789</v>
      </c>
      <c r="AD164" s="10" t="s">
        <v>2186</v>
      </c>
    </row>
    <row r="165" spans="1:30" ht="15.75" customHeight="1" x14ac:dyDescent="0.25">
      <c r="A165" s="10" t="s">
        <v>160</v>
      </c>
      <c r="B165" s="10" t="s">
        <v>86</v>
      </c>
      <c r="C165" s="10" t="s">
        <v>91</v>
      </c>
      <c r="D165" s="10" t="s">
        <v>92</v>
      </c>
      <c r="E165" s="10">
        <v>1048277805</v>
      </c>
      <c r="F165" s="23" t="s">
        <v>2189</v>
      </c>
      <c r="G165" s="10" t="s">
        <v>2190</v>
      </c>
      <c r="H165" s="10" t="s">
        <v>2191</v>
      </c>
      <c r="I165" s="30">
        <v>45227</v>
      </c>
      <c r="J165" s="10" t="str">
        <f t="shared" ca="1" si="0"/>
        <v xml:space="preserve">2  Años, 9  Mes, 29 Dias </v>
      </c>
      <c r="K165" s="10" t="s">
        <v>113</v>
      </c>
      <c r="L165" s="19"/>
      <c r="M165" s="19" t="str">
        <f t="shared" ref="M165:M168" ca="1" si="25">IF(L165=0,"", DATEDIF(L165,TODAY(),"y"))</f>
        <v/>
      </c>
      <c r="N165" s="10" t="s">
        <v>120</v>
      </c>
      <c r="O165" s="10" t="s">
        <v>567</v>
      </c>
      <c r="P165" s="10" t="s">
        <v>124</v>
      </c>
      <c r="Q165" s="18" t="s">
        <v>128</v>
      </c>
      <c r="R165" s="10" t="s">
        <v>133</v>
      </c>
      <c r="S165" s="10" t="s">
        <v>2199</v>
      </c>
      <c r="T165" s="10" t="s">
        <v>136</v>
      </c>
      <c r="U165" s="10">
        <v>3135756546</v>
      </c>
      <c r="V165" s="10">
        <v>3135756546</v>
      </c>
      <c r="W165" s="10" t="s">
        <v>2200</v>
      </c>
      <c r="X165" s="10" t="s">
        <v>136</v>
      </c>
      <c r="Y165" s="10" t="s">
        <v>206</v>
      </c>
      <c r="Z165" s="10" t="s">
        <v>170</v>
      </c>
      <c r="AA165" s="63"/>
      <c r="AB165" s="63"/>
      <c r="AC165" s="63"/>
      <c r="AD165" s="30" t="s">
        <v>209</v>
      </c>
    </row>
    <row r="166" spans="1:30" ht="15.75" customHeight="1" x14ac:dyDescent="0.25">
      <c r="A166" s="10" t="s">
        <v>77</v>
      </c>
      <c r="B166" s="10" t="s">
        <v>86</v>
      </c>
      <c r="C166" s="10" t="s">
        <v>91</v>
      </c>
      <c r="D166" s="10" t="s">
        <v>92</v>
      </c>
      <c r="E166" s="10">
        <v>1043009502</v>
      </c>
      <c r="F166" s="23" t="s">
        <v>542</v>
      </c>
      <c r="G166" s="10" t="s">
        <v>11</v>
      </c>
      <c r="H166" s="10" t="s">
        <v>2204</v>
      </c>
      <c r="I166" s="13">
        <v>44843</v>
      </c>
      <c r="J166" s="10" t="str">
        <f t="shared" ca="1" si="0"/>
        <v xml:space="preserve">3  Años, 10  Mes, 17 Dias </v>
      </c>
      <c r="K166" s="10" t="s">
        <v>113</v>
      </c>
      <c r="L166" s="19"/>
      <c r="M166" s="19" t="str">
        <f t="shared" ca="1" si="25"/>
        <v/>
      </c>
      <c r="N166" s="10" t="s">
        <v>120</v>
      </c>
      <c r="O166" s="10" t="s">
        <v>122</v>
      </c>
      <c r="P166" s="10" t="s">
        <v>142</v>
      </c>
      <c r="Q166" s="18" t="s">
        <v>128</v>
      </c>
      <c r="R166" s="10" t="s">
        <v>133</v>
      </c>
      <c r="S166" s="10" t="s">
        <v>2212</v>
      </c>
      <c r="T166" s="10" t="s">
        <v>136</v>
      </c>
      <c r="U166" s="10">
        <v>3117139501</v>
      </c>
      <c r="V166" s="19"/>
      <c r="W166" s="10" t="s">
        <v>845</v>
      </c>
      <c r="X166" s="10" t="s">
        <v>136</v>
      </c>
      <c r="Y166" s="10" t="s">
        <v>203</v>
      </c>
      <c r="Z166" s="10" t="s">
        <v>216</v>
      </c>
      <c r="AA166" s="24"/>
      <c r="AB166" s="24"/>
      <c r="AC166" s="13">
        <v>45362</v>
      </c>
      <c r="AD166" s="24"/>
    </row>
    <row r="167" spans="1:30" ht="15.75" customHeight="1" x14ac:dyDescent="0.25">
      <c r="A167" s="10" t="s">
        <v>77</v>
      </c>
      <c r="B167" s="10" t="s">
        <v>90</v>
      </c>
      <c r="C167" s="10" t="s">
        <v>175</v>
      </c>
      <c r="D167" s="10" t="s">
        <v>92</v>
      </c>
      <c r="E167" s="10">
        <v>1046273534</v>
      </c>
      <c r="F167" s="23" t="s">
        <v>720</v>
      </c>
      <c r="G167" s="10" t="s">
        <v>655</v>
      </c>
      <c r="H167" s="10" t="s">
        <v>722</v>
      </c>
      <c r="I167" s="13">
        <v>45859</v>
      </c>
      <c r="J167" s="10" t="str">
        <f t="shared" ca="1" si="0"/>
        <v xml:space="preserve">1  Años, 1  Mes, 5 Dias </v>
      </c>
      <c r="K167" s="10" t="s">
        <v>113</v>
      </c>
      <c r="L167" s="24"/>
      <c r="M167" s="19" t="str">
        <f t="shared" ca="1" si="25"/>
        <v/>
      </c>
      <c r="N167" s="10" t="s">
        <v>120</v>
      </c>
      <c r="O167" s="10" t="s">
        <v>122</v>
      </c>
      <c r="P167" s="19"/>
      <c r="Q167" s="18" t="s">
        <v>128</v>
      </c>
      <c r="R167" s="10" t="s">
        <v>133</v>
      </c>
      <c r="S167" s="19"/>
      <c r="T167" s="10" t="s">
        <v>151</v>
      </c>
      <c r="U167" s="10">
        <v>3006022341</v>
      </c>
      <c r="V167" s="19"/>
      <c r="W167" s="10" t="s">
        <v>725</v>
      </c>
      <c r="X167" s="10" t="s">
        <v>136</v>
      </c>
      <c r="Y167" s="19"/>
      <c r="Z167" s="19"/>
      <c r="AA167" s="24"/>
      <c r="AB167" s="24"/>
      <c r="AC167" s="24"/>
      <c r="AD167" s="13" t="s">
        <v>209</v>
      </c>
    </row>
    <row r="168" spans="1:30" ht="15.75" customHeight="1" x14ac:dyDescent="0.25">
      <c r="A168" s="10" t="s">
        <v>77</v>
      </c>
      <c r="B168" s="10" t="s">
        <v>90</v>
      </c>
      <c r="C168" s="10" t="s">
        <v>175</v>
      </c>
      <c r="D168" s="10" t="s">
        <v>92</v>
      </c>
      <c r="E168" s="10">
        <v>7959524</v>
      </c>
      <c r="F168" s="23" t="s">
        <v>444</v>
      </c>
      <c r="G168" s="10" t="s">
        <v>26</v>
      </c>
      <c r="H168" s="10" t="s">
        <v>944</v>
      </c>
      <c r="I168" s="13">
        <v>45831</v>
      </c>
      <c r="J168" s="10" t="str">
        <f t="shared" ca="1" si="0"/>
        <v xml:space="preserve">1  Años, 2  Mes, 3 Dias </v>
      </c>
      <c r="K168" s="10" t="s">
        <v>113</v>
      </c>
      <c r="L168" s="19"/>
      <c r="M168" s="19" t="str">
        <f t="shared" ca="1" si="25"/>
        <v/>
      </c>
      <c r="N168" s="10" t="s">
        <v>120</v>
      </c>
      <c r="O168" s="10" t="s">
        <v>122</v>
      </c>
      <c r="P168" s="10" t="s">
        <v>124</v>
      </c>
      <c r="Q168" s="18" t="s">
        <v>128</v>
      </c>
      <c r="R168" s="10" t="s">
        <v>133</v>
      </c>
      <c r="S168" s="10" t="s">
        <v>949</v>
      </c>
      <c r="T168" s="10" t="s">
        <v>136</v>
      </c>
      <c r="U168" s="10">
        <v>3168179859</v>
      </c>
      <c r="V168" s="19"/>
      <c r="W168" s="10" t="s">
        <v>950</v>
      </c>
      <c r="X168" s="10" t="s">
        <v>136</v>
      </c>
      <c r="Y168" s="10" t="s">
        <v>253</v>
      </c>
      <c r="Z168" s="10" t="s">
        <v>216</v>
      </c>
      <c r="AA168" s="19"/>
      <c r="AB168" s="19"/>
      <c r="AC168" s="19"/>
      <c r="AD168" s="10" t="s">
        <v>209</v>
      </c>
    </row>
    <row r="169" spans="1:30" ht="15.75" customHeight="1" x14ac:dyDescent="0.25">
      <c r="A169" s="10" t="s">
        <v>77</v>
      </c>
      <c r="B169" s="10" t="s">
        <v>86</v>
      </c>
      <c r="C169" s="10" t="s">
        <v>91</v>
      </c>
      <c r="D169" s="10" t="s">
        <v>92</v>
      </c>
      <c r="E169" s="12">
        <v>1143248338</v>
      </c>
      <c r="F169" s="15" t="s">
        <v>2237</v>
      </c>
      <c r="G169" s="10" t="s">
        <v>26</v>
      </c>
      <c r="H169" s="10" t="s">
        <v>2239</v>
      </c>
      <c r="I169" s="53">
        <v>45588</v>
      </c>
      <c r="J169" s="10" t="str">
        <f t="shared" ca="1" si="0"/>
        <v xml:space="preserve">1  Años, 10  Mes, 3 Dias </v>
      </c>
      <c r="K169" s="12" t="s">
        <v>113</v>
      </c>
      <c r="L169" s="5"/>
      <c r="M169" s="5"/>
      <c r="N169" s="10" t="s">
        <v>120</v>
      </c>
      <c r="O169" s="10" t="s">
        <v>277</v>
      </c>
      <c r="P169" s="12" t="s">
        <v>210</v>
      </c>
      <c r="Q169" s="18" t="s">
        <v>128</v>
      </c>
      <c r="R169" s="12" t="s">
        <v>133</v>
      </c>
      <c r="S169" s="10" t="s">
        <v>2244</v>
      </c>
      <c r="T169" s="10" t="s">
        <v>136</v>
      </c>
      <c r="U169" s="12">
        <v>3205136010</v>
      </c>
      <c r="V169" s="5"/>
      <c r="W169" s="12" t="s">
        <v>2246</v>
      </c>
      <c r="X169" s="10" t="s">
        <v>136</v>
      </c>
      <c r="Y169" s="10" t="s">
        <v>1401</v>
      </c>
      <c r="Z169" s="10" t="s">
        <v>170</v>
      </c>
      <c r="AA169" s="31"/>
      <c r="AB169" s="31"/>
      <c r="AC169" s="53">
        <v>45657</v>
      </c>
      <c r="AD169" s="31"/>
    </row>
    <row r="170" spans="1:30" ht="15.75" customHeight="1" x14ac:dyDescent="0.25">
      <c r="A170" s="10" t="s">
        <v>77</v>
      </c>
      <c r="B170" s="10" t="s">
        <v>86</v>
      </c>
      <c r="C170" s="10" t="s">
        <v>91</v>
      </c>
      <c r="D170" s="10" t="s">
        <v>92</v>
      </c>
      <c r="E170" s="10">
        <v>1047226163</v>
      </c>
      <c r="F170" s="23" t="s">
        <v>537</v>
      </c>
      <c r="G170" s="10" t="s">
        <v>26</v>
      </c>
      <c r="H170" s="10" t="s">
        <v>2249</v>
      </c>
      <c r="I170" s="13">
        <v>45297</v>
      </c>
      <c r="J170" s="10" t="str">
        <f t="shared" ca="1" si="0"/>
        <v xml:space="preserve">2  Años, 7  Mes, 20 Dias </v>
      </c>
      <c r="K170" s="10" t="s">
        <v>113</v>
      </c>
      <c r="L170" s="19"/>
      <c r="M170" s="19" t="str">
        <f t="shared" ref="M170:M177" ca="1" si="26">IF(L170=0,"", DATEDIF(L170,TODAY(),"y"))</f>
        <v/>
      </c>
      <c r="N170" s="10" t="s">
        <v>120</v>
      </c>
      <c r="O170" s="10" t="s">
        <v>122</v>
      </c>
      <c r="P170" s="10" t="s">
        <v>142</v>
      </c>
      <c r="Q170" s="18" t="s">
        <v>128</v>
      </c>
      <c r="R170" s="10" t="s">
        <v>133</v>
      </c>
      <c r="S170" s="10" t="s">
        <v>2253</v>
      </c>
      <c r="T170" s="10" t="s">
        <v>801</v>
      </c>
      <c r="U170" s="10">
        <v>300188797</v>
      </c>
      <c r="V170" s="19"/>
      <c r="W170" s="59" t="s">
        <v>2257</v>
      </c>
      <c r="X170" s="10" t="s">
        <v>136</v>
      </c>
      <c r="Y170" s="10" t="s">
        <v>169</v>
      </c>
      <c r="Z170" s="10" t="s">
        <v>1266</v>
      </c>
      <c r="AA170" s="24"/>
      <c r="AB170" s="24"/>
      <c r="AC170" s="13">
        <v>45293</v>
      </c>
      <c r="AD170" s="24"/>
    </row>
    <row r="171" spans="1:30" ht="15.75" customHeight="1" x14ac:dyDescent="0.25">
      <c r="A171" s="10" t="s">
        <v>77</v>
      </c>
      <c r="B171" s="10" t="s">
        <v>86</v>
      </c>
      <c r="C171" s="10" t="s">
        <v>91</v>
      </c>
      <c r="D171" s="10" t="s">
        <v>92</v>
      </c>
      <c r="E171" s="10">
        <v>72432687</v>
      </c>
      <c r="F171" s="23" t="s">
        <v>534</v>
      </c>
      <c r="G171" s="10" t="s">
        <v>26</v>
      </c>
      <c r="H171" s="10" t="s">
        <v>755</v>
      </c>
      <c r="I171" s="13">
        <v>45294</v>
      </c>
      <c r="J171" s="10" t="str">
        <f t="shared" ca="1" si="0"/>
        <v xml:space="preserve">2  Años, 7  Mes, 23 Dias </v>
      </c>
      <c r="K171" s="10" t="s">
        <v>113</v>
      </c>
      <c r="L171" s="24"/>
      <c r="M171" s="19" t="str">
        <f t="shared" ca="1" si="26"/>
        <v/>
      </c>
      <c r="N171" s="10" t="s">
        <v>120</v>
      </c>
      <c r="O171" s="10" t="s">
        <v>122</v>
      </c>
      <c r="P171" s="10" t="s">
        <v>124</v>
      </c>
      <c r="Q171" s="18" t="s">
        <v>128</v>
      </c>
      <c r="R171" s="10" t="s">
        <v>133</v>
      </c>
      <c r="S171" s="10" t="s">
        <v>2272</v>
      </c>
      <c r="T171" s="10" t="s">
        <v>136</v>
      </c>
      <c r="U171" s="10">
        <v>3245186777</v>
      </c>
      <c r="V171" s="19"/>
      <c r="W171" s="59" t="s">
        <v>2276</v>
      </c>
      <c r="X171" s="10" t="s">
        <v>136</v>
      </c>
      <c r="Y171" s="10" t="s">
        <v>203</v>
      </c>
      <c r="Z171" s="10" t="s">
        <v>255</v>
      </c>
      <c r="AA171" s="24"/>
      <c r="AB171" s="24"/>
      <c r="AC171" s="13">
        <v>45321</v>
      </c>
      <c r="AD171" s="24"/>
    </row>
    <row r="172" spans="1:30" ht="15.75" customHeight="1" x14ac:dyDescent="0.25">
      <c r="A172" s="10" t="s">
        <v>77</v>
      </c>
      <c r="B172" s="10" t="s">
        <v>90</v>
      </c>
      <c r="C172" s="10" t="s">
        <v>175</v>
      </c>
      <c r="D172" s="10" t="s">
        <v>92</v>
      </c>
      <c r="E172" s="10">
        <v>72121487</v>
      </c>
      <c r="F172" s="23" t="s">
        <v>529</v>
      </c>
      <c r="G172" s="10" t="s">
        <v>26</v>
      </c>
      <c r="H172" s="10" t="s">
        <v>1001</v>
      </c>
      <c r="I172" s="13">
        <v>45831</v>
      </c>
      <c r="J172" s="10" t="str">
        <f t="shared" ca="1" si="0"/>
        <v xml:space="preserve">1  Años, 2  Mes, 3 Dias </v>
      </c>
      <c r="K172" s="10" t="s">
        <v>113</v>
      </c>
      <c r="L172" s="24"/>
      <c r="M172" s="19" t="str">
        <f t="shared" ca="1" si="26"/>
        <v/>
      </c>
      <c r="N172" s="10" t="s">
        <v>120</v>
      </c>
      <c r="O172" s="10" t="s">
        <v>122</v>
      </c>
      <c r="P172" s="10" t="s">
        <v>142</v>
      </c>
      <c r="Q172" s="18" t="s">
        <v>128</v>
      </c>
      <c r="R172" s="10" t="s">
        <v>133</v>
      </c>
      <c r="S172" s="10" t="s">
        <v>1007</v>
      </c>
      <c r="T172" s="10" t="s">
        <v>136</v>
      </c>
      <c r="U172" s="10">
        <v>3246051248</v>
      </c>
      <c r="V172" s="19"/>
      <c r="W172" s="10" t="s">
        <v>1008</v>
      </c>
      <c r="X172" s="10" t="s">
        <v>136</v>
      </c>
      <c r="Y172" s="10" t="s">
        <v>206</v>
      </c>
      <c r="Z172" s="10" t="s">
        <v>170</v>
      </c>
      <c r="AA172" s="19"/>
      <c r="AB172" s="19"/>
      <c r="AC172" s="19"/>
      <c r="AD172" s="10" t="s">
        <v>209</v>
      </c>
    </row>
    <row r="173" spans="1:30" ht="15.75" customHeight="1" x14ac:dyDescent="0.25">
      <c r="A173" s="10" t="s">
        <v>160</v>
      </c>
      <c r="B173" s="10" t="s">
        <v>86</v>
      </c>
      <c r="C173" s="10" t="s">
        <v>91</v>
      </c>
      <c r="D173" s="10" t="s">
        <v>92</v>
      </c>
      <c r="E173" s="10">
        <v>72007407</v>
      </c>
      <c r="F173" s="23" t="s">
        <v>2292</v>
      </c>
      <c r="G173" s="10" t="s">
        <v>693</v>
      </c>
      <c r="H173" s="10" t="s">
        <v>2293</v>
      </c>
      <c r="I173" s="13">
        <v>44843</v>
      </c>
      <c r="J173" s="10" t="str">
        <f t="shared" ca="1" si="0"/>
        <v xml:space="preserve">3  Años, 10  Mes, 17 Dias </v>
      </c>
      <c r="K173" s="10" t="s">
        <v>113</v>
      </c>
      <c r="L173" s="19"/>
      <c r="M173" s="19" t="str">
        <f t="shared" ca="1" si="26"/>
        <v/>
      </c>
      <c r="N173" s="10" t="s">
        <v>120</v>
      </c>
      <c r="O173" s="10" t="s">
        <v>122</v>
      </c>
      <c r="P173" s="10" t="s">
        <v>124</v>
      </c>
      <c r="Q173" s="18" t="s">
        <v>128</v>
      </c>
      <c r="R173" s="10" t="s">
        <v>133</v>
      </c>
      <c r="S173" s="10" t="s">
        <v>2299</v>
      </c>
      <c r="T173" s="10" t="s">
        <v>136</v>
      </c>
      <c r="U173" s="10">
        <v>3002564256</v>
      </c>
      <c r="V173" s="19"/>
      <c r="W173" s="10" t="s">
        <v>2300</v>
      </c>
      <c r="X173" s="10" t="s">
        <v>136</v>
      </c>
      <c r="Y173" s="10" t="s">
        <v>253</v>
      </c>
      <c r="Z173" s="10" t="s">
        <v>170</v>
      </c>
      <c r="AA173" s="24"/>
      <c r="AB173" s="24"/>
      <c r="AC173" s="13">
        <v>45476</v>
      </c>
      <c r="AD173" s="24"/>
    </row>
    <row r="174" spans="1:30" ht="15.75" customHeight="1" x14ac:dyDescent="0.25">
      <c r="A174" s="10" t="s">
        <v>77</v>
      </c>
      <c r="B174" s="10" t="s">
        <v>86</v>
      </c>
      <c r="C174" s="10" t="s">
        <v>91</v>
      </c>
      <c r="D174" s="10" t="s">
        <v>92</v>
      </c>
      <c r="E174" s="10">
        <v>72044918</v>
      </c>
      <c r="F174" s="23" t="s">
        <v>526</v>
      </c>
      <c r="G174" s="10" t="s">
        <v>26</v>
      </c>
      <c r="H174" s="10" t="s">
        <v>2304</v>
      </c>
      <c r="I174" s="13">
        <v>44843</v>
      </c>
      <c r="J174" s="10" t="str">
        <f t="shared" ca="1" si="0"/>
        <v xml:space="preserve">3  Años, 10  Mes, 17 Dias </v>
      </c>
      <c r="K174" s="10" t="s">
        <v>113</v>
      </c>
      <c r="L174" s="19"/>
      <c r="M174" s="19" t="str">
        <f t="shared" ca="1" si="26"/>
        <v/>
      </c>
      <c r="N174" s="10" t="s">
        <v>120</v>
      </c>
      <c r="O174" s="10" t="s">
        <v>122</v>
      </c>
      <c r="P174" s="10" t="s">
        <v>124</v>
      </c>
      <c r="Q174" s="18" t="s">
        <v>128</v>
      </c>
      <c r="R174" s="10" t="s">
        <v>133</v>
      </c>
      <c r="S174" s="10" t="s">
        <v>2309</v>
      </c>
      <c r="T174" s="10" t="s">
        <v>136</v>
      </c>
      <c r="U174" s="10">
        <v>3012859356</v>
      </c>
      <c r="V174" s="19"/>
      <c r="W174" s="10" t="s">
        <v>2310</v>
      </c>
      <c r="X174" s="10" t="s">
        <v>136</v>
      </c>
      <c r="Y174" s="10" t="s">
        <v>206</v>
      </c>
      <c r="Z174" s="10" t="s">
        <v>216</v>
      </c>
      <c r="AA174" s="33"/>
      <c r="AB174" s="33"/>
      <c r="AC174" s="35">
        <v>44896</v>
      </c>
      <c r="AD174" s="19"/>
    </row>
    <row r="175" spans="1:30" ht="15.75" customHeight="1" x14ac:dyDescent="0.25">
      <c r="A175" s="10" t="s">
        <v>77</v>
      </c>
      <c r="B175" s="10" t="s">
        <v>90</v>
      </c>
      <c r="C175" s="10" t="s">
        <v>175</v>
      </c>
      <c r="D175" s="10" t="s">
        <v>92</v>
      </c>
      <c r="E175" s="10">
        <v>72044918</v>
      </c>
      <c r="F175" s="23" t="s">
        <v>526</v>
      </c>
      <c r="G175" s="10" t="s">
        <v>26</v>
      </c>
      <c r="H175" s="10" t="s">
        <v>1012</v>
      </c>
      <c r="I175" s="13">
        <v>45864</v>
      </c>
      <c r="J175" s="10" t="str">
        <f t="shared" ca="1" si="0"/>
        <v xml:space="preserve">1  Años, 1  Mes, 0 Dias </v>
      </c>
      <c r="K175" s="10" t="s">
        <v>113</v>
      </c>
      <c r="L175" s="13">
        <v>25944</v>
      </c>
      <c r="M175" s="10">
        <f t="shared" ca="1" si="26"/>
        <v>55</v>
      </c>
      <c r="N175" s="10" t="s">
        <v>120</v>
      </c>
      <c r="O175" s="10" t="s">
        <v>277</v>
      </c>
      <c r="P175" s="10" t="s">
        <v>124</v>
      </c>
      <c r="Q175" s="18" t="s">
        <v>128</v>
      </c>
      <c r="R175" s="10" t="s">
        <v>133</v>
      </c>
      <c r="S175" s="10" t="s">
        <v>1017</v>
      </c>
      <c r="T175" s="10" t="s">
        <v>151</v>
      </c>
      <c r="U175" s="10">
        <v>3006995045</v>
      </c>
      <c r="V175" s="19"/>
      <c r="W175" s="19"/>
      <c r="X175" s="10" t="s">
        <v>136</v>
      </c>
      <c r="Y175" s="19"/>
      <c r="Z175" s="19"/>
      <c r="AA175" s="28" t="s">
        <v>1018</v>
      </c>
      <c r="AB175" s="13" t="s">
        <v>393</v>
      </c>
      <c r="AC175" s="24"/>
      <c r="AD175" s="13" t="s">
        <v>209</v>
      </c>
    </row>
    <row r="176" spans="1:30" ht="15.75" customHeight="1" x14ac:dyDescent="0.25">
      <c r="A176" s="10" t="s">
        <v>77</v>
      </c>
      <c r="B176" s="10" t="s">
        <v>90</v>
      </c>
      <c r="C176" s="10" t="s">
        <v>175</v>
      </c>
      <c r="D176" s="10" t="s">
        <v>92</v>
      </c>
      <c r="E176" s="10">
        <v>72056722</v>
      </c>
      <c r="F176" s="23" t="s">
        <v>832</v>
      </c>
      <c r="G176" s="10" t="s">
        <v>18</v>
      </c>
      <c r="H176" s="10" t="s">
        <v>833</v>
      </c>
      <c r="I176" s="13">
        <v>45831</v>
      </c>
      <c r="J176" s="10" t="str">
        <f t="shared" ca="1" si="0"/>
        <v xml:space="preserve">1  Años, 2  Mes, 3 Dias </v>
      </c>
      <c r="K176" s="10" t="s">
        <v>113</v>
      </c>
      <c r="L176" s="13">
        <v>31453</v>
      </c>
      <c r="M176" s="10">
        <f t="shared" ca="1" si="26"/>
        <v>40</v>
      </c>
      <c r="N176" s="10" t="s">
        <v>120</v>
      </c>
      <c r="O176" s="10" t="s">
        <v>122</v>
      </c>
      <c r="P176" s="10" t="s">
        <v>142</v>
      </c>
      <c r="Q176" s="18" t="s">
        <v>128</v>
      </c>
      <c r="R176" s="10" t="s">
        <v>133</v>
      </c>
      <c r="S176" s="10" t="s">
        <v>837</v>
      </c>
      <c r="T176" s="10" t="s">
        <v>507</v>
      </c>
      <c r="U176" s="10">
        <v>3023027275</v>
      </c>
      <c r="V176" s="19"/>
      <c r="W176" s="40" t="s">
        <v>838</v>
      </c>
      <c r="X176" s="10" t="s">
        <v>136</v>
      </c>
      <c r="Y176" s="10" t="s">
        <v>539</v>
      </c>
      <c r="Z176" s="10" t="s">
        <v>170</v>
      </c>
      <c r="AA176" s="24"/>
      <c r="AB176" s="24"/>
      <c r="AC176" s="24"/>
      <c r="AD176" s="10" t="s">
        <v>209</v>
      </c>
    </row>
    <row r="177" spans="1:30" ht="15.75" customHeight="1" x14ac:dyDescent="0.25">
      <c r="A177" s="10" t="s">
        <v>77</v>
      </c>
      <c r="B177" s="10" t="s">
        <v>86</v>
      </c>
      <c r="C177" s="10" t="s">
        <v>91</v>
      </c>
      <c r="D177" s="10" t="s">
        <v>92</v>
      </c>
      <c r="E177" s="10">
        <v>1043871006</v>
      </c>
      <c r="F177" s="23" t="s">
        <v>140</v>
      </c>
      <c r="G177" s="10" t="s">
        <v>26</v>
      </c>
      <c r="H177" s="10" t="s">
        <v>2337</v>
      </c>
      <c r="I177" s="30">
        <v>45252</v>
      </c>
      <c r="J177" s="10" t="str">
        <f t="shared" ca="1" si="0"/>
        <v xml:space="preserve">2  Años, 9  Mes, 4 Dias </v>
      </c>
      <c r="K177" s="10" t="s">
        <v>113</v>
      </c>
      <c r="L177" s="24"/>
      <c r="M177" s="19" t="str">
        <f t="shared" ca="1" si="26"/>
        <v/>
      </c>
      <c r="N177" s="10" t="s">
        <v>120</v>
      </c>
      <c r="O177" s="10" t="s">
        <v>122</v>
      </c>
      <c r="P177" s="10" t="s">
        <v>142</v>
      </c>
      <c r="Q177" s="18" t="s">
        <v>128</v>
      </c>
      <c r="R177" s="10" t="s">
        <v>133</v>
      </c>
      <c r="S177" s="10" t="s">
        <v>2341</v>
      </c>
      <c r="T177" s="10" t="s">
        <v>136</v>
      </c>
      <c r="U177" s="10">
        <v>3001498538</v>
      </c>
      <c r="V177" s="19"/>
      <c r="W177" s="10" t="s">
        <v>2342</v>
      </c>
      <c r="X177" s="10" t="s">
        <v>136</v>
      </c>
      <c r="Y177" s="10" t="s">
        <v>206</v>
      </c>
      <c r="Z177" s="10" t="s">
        <v>170</v>
      </c>
      <c r="AA177" s="24"/>
      <c r="AB177" s="24"/>
      <c r="AC177" s="13">
        <v>45373</v>
      </c>
      <c r="AD177" s="24"/>
    </row>
    <row r="178" spans="1:30" ht="15.75" customHeight="1" x14ac:dyDescent="0.25">
      <c r="A178" s="10" t="s">
        <v>77</v>
      </c>
      <c r="B178" s="10" t="s">
        <v>90</v>
      </c>
      <c r="C178" s="10" t="s">
        <v>175</v>
      </c>
      <c r="D178" s="10" t="s">
        <v>92</v>
      </c>
      <c r="E178" s="10">
        <v>1063134418</v>
      </c>
      <c r="F178" s="23" t="s">
        <v>846</v>
      </c>
      <c r="G178" s="10" t="s">
        <v>11</v>
      </c>
      <c r="H178" s="46" t="s">
        <v>847</v>
      </c>
      <c r="I178" s="13">
        <v>45831</v>
      </c>
      <c r="J178" s="10" t="str">
        <f t="shared" ca="1" si="0"/>
        <v xml:space="preserve">1  Años, 2  Mes, 3 Dias </v>
      </c>
      <c r="K178" s="12" t="s">
        <v>113</v>
      </c>
      <c r="L178" s="5"/>
      <c r="M178" s="5"/>
      <c r="N178" s="10" t="s">
        <v>120</v>
      </c>
      <c r="O178" s="10" t="s">
        <v>236</v>
      </c>
      <c r="P178" s="10" t="s">
        <v>142</v>
      </c>
      <c r="Q178" s="18" t="s">
        <v>128</v>
      </c>
      <c r="R178" s="12" t="s">
        <v>133</v>
      </c>
      <c r="S178" s="10" t="s">
        <v>852</v>
      </c>
      <c r="T178" s="10" t="s">
        <v>136</v>
      </c>
      <c r="U178" s="10">
        <v>3243157238</v>
      </c>
      <c r="V178" s="19"/>
      <c r="W178" s="62" t="s">
        <v>2352</v>
      </c>
      <c r="X178" s="10" t="s">
        <v>136</v>
      </c>
      <c r="Y178" s="10" t="s">
        <v>203</v>
      </c>
      <c r="Z178" s="10" t="s">
        <v>170</v>
      </c>
      <c r="AA178" s="5"/>
      <c r="AB178" s="5"/>
      <c r="AC178" s="5"/>
      <c r="AD178" s="10" t="s">
        <v>209</v>
      </c>
    </row>
    <row r="179" spans="1:30" ht="15.75" customHeight="1" x14ac:dyDescent="0.25">
      <c r="A179" s="10" t="s">
        <v>77</v>
      </c>
      <c r="B179" s="10" t="s">
        <v>86</v>
      </c>
      <c r="C179" s="10" t="s">
        <v>91</v>
      </c>
      <c r="D179" s="10" t="s">
        <v>92</v>
      </c>
      <c r="E179" s="10">
        <v>1091667199</v>
      </c>
      <c r="F179" s="23" t="s">
        <v>519</v>
      </c>
      <c r="G179" s="10" t="s">
        <v>11</v>
      </c>
      <c r="H179" s="10" t="s">
        <v>2360</v>
      </c>
      <c r="I179" s="13">
        <v>44843</v>
      </c>
      <c r="J179" s="10" t="str">
        <f t="shared" ca="1" si="0"/>
        <v xml:space="preserve">3  Años, 10  Mes, 17 Dias </v>
      </c>
      <c r="K179" s="10" t="s">
        <v>113</v>
      </c>
      <c r="L179" s="19"/>
      <c r="M179" s="19" t="str">
        <f ca="1">IF(L179=0,"", DATEDIF(L179,TODAY(),"y"))</f>
        <v/>
      </c>
      <c r="N179" s="10" t="s">
        <v>120</v>
      </c>
      <c r="O179" s="10" t="s">
        <v>122</v>
      </c>
      <c r="P179" s="10" t="s">
        <v>142</v>
      </c>
      <c r="Q179" s="18" t="s">
        <v>128</v>
      </c>
      <c r="R179" s="10" t="s">
        <v>133</v>
      </c>
      <c r="S179" s="10" t="s">
        <v>2367</v>
      </c>
      <c r="T179" s="10" t="s">
        <v>136</v>
      </c>
      <c r="U179" s="10">
        <v>3042630331</v>
      </c>
      <c r="V179" s="19"/>
      <c r="W179" s="10" t="s">
        <v>2369</v>
      </c>
      <c r="X179" s="10" t="s">
        <v>136</v>
      </c>
      <c r="Y179" s="10" t="s">
        <v>206</v>
      </c>
      <c r="Z179" s="10" t="s">
        <v>170</v>
      </c>
      <c r="AA179" s="24"/>
      <c r="AB179" s="24"/>
      <c r="AC179" s="13">
        <v>45385</v>
      </c>
      <c r="AD179" s="24"/>
    </row>
    <row r="180" spans="1:30" ht="15.75" customHeight="1" x14ac:dyDescent="0.25">
      <c r="A180" s="10" t="s">
        <v>77</v>
      </c>
      <c r="B180" s="10" t="s">
        <v>86</v>
      </c>
      <c r="C180" s="10" t="s">
        <v>91</v>
      </c>
      <c r="D180" s="10" t="s">
        <v>92</v>
      </c>
      <c r="E180" s="12">
        <v>1043661452</v>
      </c>
      <c r="F180" s="15" t="s">
        <v>2372</v>
      </c>
      <c r="G180" s="12" t="s">
        <v>32</v>
      </c>
      <c r="H180" s="12" t="s">
        <v>2375</v>
      </c>
      <c r="I180" s="16">
        <v>45749</v>
      </c>
      <c r="J180" s="10" t="str">
        <f t="shared" ca="1" si="0"/>
        <v xml:space="preserve">1  Años, 4  Mes, 24 Dias </v>
      </c>
      <c r="K180" s="12" t="s">
        <v>113</v>
      </c>
      <c r="L180" s="5"/>
      <c r="M180" s="5"/>
      <c r="N180" s="10" t="s">
        <v>120</v>
      </c>
      <c r="O180" s="10" t="s">
        <v>236</v>
      </c>
      <c r="P180" s="12" t="s">
        <v>142</v>
      </c>
      <c r="Q180" s="18" t="s">
        <v>648</v>
      </c>
      <c r="R180" s="10" t="s">
        <v>133</v>
      </c>
      <c r="S180" s="12" t="s">
        <v>2377</v>
      </c>
      <c r="T180" s="12" t="s">
        <v>136</v>
      </c>
      <c r="U180" s="12" t="s">
        <v>2380</v>
      </c>
      <c r="V180" s="5"/>
      <c r="W180" s="12" t="s">
        <v>2383</v>
      </c>
      <c r="X180" s="12" t="s">
        <v>136</v>
      </c>
      <c r="Y180" s="12" t="s">
        <v>673</v>
      </c>
      <c r="Z180" s="12" t="s">
        <v>1266</v>
      </c>
      <c r="AA180" s="20"/>
      <c r="AB180" s="20"/>
      <c r="AC180" s="16">
        <v>45828</v>
      </c>
      <c r="AD180" s="10" t="s">
        <v>209</v>
      </c>
    </row>
    <row r="181" spans="1:30" ht="15.75" customHeight="1" x14ac:dyDescent="0.25">
      <c r="A181" s="10" t="s">
        <v>77</v>
      </c>
      <c r="B181" s="10" t="s">
        <v>86</v>
      </c>
      <c r="C181" s="10" t="s">
        <v>91</v>
      </c>
      <c r="D181" s="10" t="s">
        <v>92</v>
      </c>
      <c r="E181" s="10">
        <v>1129527091</v>
      </c>
      <c r="F181" s="23" t="s">
        <v>2387</v>
      </c>
      <c r="G181" s="10" t="s">
        <v>11</v>
      </c>
      <c r="H181" s="10" t="s">
        <v>2388</v>
      </c>
      <c r="I181" s="13">
        <v>45309</v>
      </c>
      <c r="J181" s="10" t="str">
        <f t="shared" ca="1" si="0"/>
        <v xml:space="preserve">2  Años, 7  Mes, 8 Dias </v>
      </c>
      <c r="K181" s="10" t="s">
        <v>113</v>
      </c>
      <c r="L181" s="13">
        <v>30029</v>
      </c>
      <c r="M181" s="10">
        <f ca="1">IF(L181=0,"", DATEDIF(L181,TODAY(),"y"))</f>
        <v>44</v>
      </c>
      <c r="N181" s="10" t="s">
        <v>120</v>
      </c>
      <c r="O181" s="10" t="s">
        <v>122</v>
      </c>
      <c r="P181" s="10" t="s">
        <v>142</v>
      </c>
      <c r="Q181" s="18" t="s">
        <v>128</v>
      </c>
      <c r="R181" s="10" t="s">
        <v>133</v>
      </c>
      <c r="S181" s="10" t="s">
        <v>2395</v>
      </c>
      <c r="T181" s="10" t="s">
        <v>136</v>
      </c>
      <c r="U181" s="10">
        <v>3169868848</v>
      </c>
      <c r="V181" s="19"/>
      <c r="W181" s="40" t="s">
        <v>2397</v>
      </c>
      <c r="X181" s="10" t="s">
        <v>136</v>
      </c>
      <c r="Y181" s="10" t="s">
        <v>155</v>
      </c>
      <c r="Z181" s="10" t="s">
        <v>170</v>
      </c>
      <c r="AA181" s="24"/>
      <c r="AB181" s="24"/>
      <c r="AC181" s="13">
        <v>45394</v>
      </c>
      <c r="AD181" s="24"/>
    </row>
    <row r="182" spans="1:30" ht="15.75" customHeight="1" x14ac:dyDescent="0.25">
      <c r="A182" s="10" t="s">
        <v>160</v>
      </c>
      <c r="B182" s="10" t="s">
        <v>86</v>
      </c>
      <c r="C182" s="10" t="s">
        <v>91</v>
      </c>
      <c r="D182" s="10" t="s">
        <v>92</v>
      </c>
      <c r="E182" s="12">
        <v>1143134748</v>
      </c>
      <c r="F182" s="23" t="s">
        <v>167</v>
      </c>
      <c r="G182" s="10" t="s">
        <v>171</v>
      </c>
      <c r="H182" s="10" t="s">
        <v>173</v>
      </c>
      <c r="I182" s="13">
        <v>45831</v>
      </c>
      <c r="J182" s="10" t="str">
        <f t="shared" ca="1" si="0"/>
        <v xml:space="preserve">1  Años, 2  Mes, 3 Dias </v>
      </c>
      <c r="K182" s="10" t="s">
        <v>113</v>
      </c>
      <c r="L182" s="5"/>
      <c r="M182" s="5"/>
      <c r="N182" s="10" t="s">
        <v>120</v>
      </c>
      <c r="O182" s="10" t="s">
        <v>122</v>
      </c>
      <c r="P182" s="12" t="s">
        <v>142</v>
      </c>
      <c r="Q182" s="18" t="s">
        <v>128</v>
      </c>
      <c r="R182" s="10" t="s">
        <v>133</v>
      </c>
      <c r="S182" s="12" t="s">
        <v>183</v>
      </c>
      <c r="T182" s="10" t="s">
        <v>136</v>
      </c>
      <c r="U182" s="10">
        <v>3006291222</v>
      </c>
      <c r="V182" s="5"/>
      <c r="W182" s="10" t="s">
        <v>187</v>
      </c>
      <c r="X182" s="10" t="s">
        <v>136</v>
      </c>
      <c r="Y182" s="12" t="s">
        <v>155</v>
      </c>
      <c r="Z182" s="12" t="s">
        <v>170</v>
      </c>
      <c r="AA182" s="5"/>
      <c r="AB182" s="5"/>
      <c r="AC182" s="5"/>
      <c r="AD182" s="10" t="s">
        <v>209</v>
      </c>
    </row>
    <row r="183" spans="1:30" ht="15.75" customHeight="1" x14ac:dyDescent="0.25">
      <c r="A183" s="10" t="s">
        <v>77</v>
      </c>
      <c r="B183" s="10" t="s">
        <v>86</v>
      </c>
      <c r="C183" s="10" t="s">
        <v>91</v>
      </c>
      <c r="D183" s="10" t="s">
        <v>92</v>
      </c>
      <c r="E183" s="10">
        <v>1043016222</v>
      </c>
      <c r="F183" s="23" t="s">
        <v>2404</v>
      </c>
      <c r="G183" s="10" t="s">
        <v>32</v>
      </c>
      <c r="H183" s="10" t="s">
        <v>2405</v>
      </c>
      <c r="I183" s="30">
        <v>45211</v>
      </c>
      <c r="J183" s="10" t="str">
        <f t="shared" ca="1" si="0"/>
        <v xml:space="preserve">2  Años, 10  Mes, 14 Dias </v>
      </c>
      <c r="K183" s="10" t="s">
        <v>113</v>
      </c>
      <c r="L183" s="19"/>
      <c r="M183" s="19" t="str">
        <f ca="1">IF(L183=0,"", DATEDIF(L183,TODAY(),"y"))</f>
        <v/>
      </c>
      <c r="N183" s="10" t="s">
        <v>120</v>
      </c>
      <c r="O183" s="10" t="s">
        <v>122</v>
      </c>
      <c r="P183" s="10" t="s">
        <v>210</v>
      </c>
      <c r="Q183" s="18" t="s">
        <v>128</v>
      </c>
      <c r="R183" s="10" t="s">
        <v>133</v>
      </c>
      <c r="S183" s="10" t="s">
        <v>2415</v>
      </c>
      <c r="T183" s="10" t="s">
        <v>195</v>
      </c>
      <c r="U183" s="10">
        <v>3242372115</v>
      </c>
      <c r="V183" s="10">
        <v>3242372115</v>
      </c>
      <c r="W183" s="10" t="s">
        <v>2416</v>
      </c>
      <c r="X183" s="10" t="s">
        <v>136</v>
      </c>
      <c r="Y183" s="10" t="s">
        <v>203</v>
      </c>
      <c r="Z183" s="10" t="s">
        <v>170</v>
      </c>
      <c r="AA183" s="24"/>
      <c r="AB183" s="24"/>
      <c r="AC183" s="13">
        <v>45366</v>
      </c>
      <c r="AD183" s="24"/>
    </row>
    <row r="184" spans="1:30" ht="15.75" customHeight="1" x14ac:dyDescent="0.25">
      <c r="A184" s="10" t="s">
        <v>77</v>
      </c>
      <c r="B184" s="10" t="s">
        <v>86</v>
      </c>
      <c r="C184" s="10" t="s">
        <v>91</v>
      </c>
      <c r="D184" s="10" t="s">
        <v>92</v>
      </c>
      <c r="E184" s="12">
        <v>1047336643</v>
      </c>
      <c r="F184" s="15" t="s">
        <v>2420</v>
      </c>
      <c r="G184" s="12" t="s">
        <v>11</v>
      </c>
      <c r="H184" s="12" t="s">
        <v>2421</v>
      </c>
      <c r="I184" s="16">
        <v>45667</v>
      </c>
      <c r="J184" s="10" t="str">
        <f t="shared" ca="1" si="0"/>
        <v xml:space="preserve">1  Años, 7  Mes, 16 Dias </v>
      </c>
      <c r="K184" s="12" t="s">
        <v>113</v>
      </c>
      <c r="L184" s="5"/>
      <c r="M184" s="5"/>
      <c r="N184" s="10" t="s">
        <v>120</v>
      </c>
      <c r="O184" s="10" t="s">
        <v>122</v>
      </c>
      <c r="P184" s="12" t="s">
        <v>142</v>
      </c>
      <c r="Q184" s="18" t="s">
        <v>128</v>
      </c>
      <c r="R184" s="12" t="s">
        <v>133</v>
      </c>
      <c r="S184" s="12" t="s">
        <v>2426</v>
      </c>
      <c r="T184" s="12" t="s">
        <v>136</v>
      </c>
      <c r="U184" s="12">
        <v>3017340585</v>
      </c>
      <c r="V184" s="5"/>
      <c r="W184" s="12" t="s">
        <v>2429</v>
      </c>
      <c r="X184" s="12" t="s">
        <v>136</v>
      </c>
      <c r="Y184" s="12" t="s">
        <v>673</v>
      </c>
      <c r="Z184" s="12" t="s">
        <v>170</v>
      </c>
      <c r="AA184" s="20"/>
      <c r="AB184" s="20"/>
      <c r="AC184" s="16">
        <v>45712</v>
      </c>
      <c r="AD184" s="10" t="s">
        <v>1515</v>
      </c>
    </row>
    <row r="185" spans="1:30" ht="15.75" customHeight="1" x14ac:dyDescent="0.25">
      <c r="A185" s="10" t="s">
        <v>77</v>
      </c>
      <c r="B185" s="10" t="s">
        <v>86</v>
      </c>
      <c r="C185" s="10" t="s">
        <v>91</v>
      </c>
      <c r="D185" s="10" t="s">
        <v>92</v>
      </c>
      <c r="E185" s="10">
        <v>8526355</v>
      </c>
      <c r="F185" s="23" t="s">
        <v>518</v>
      </c>
      <c r="G185" s="10" t="s">
        <v>11</v>
      </c>
      <c r="H185" s="10" t="s">
        <v>2432</v>
      </c>
      <c r="I185" s="13">
        <v>45071</v>
      </c>
      <c r="J185" s="10" t="str">
        <f t="shared" ca="1" si="0"/>
        <v xml:space="preserve">3  Años, 3  Mes, 1 Dias </v>
      </c>
      <c r="K185" s="10" t="s">
        <v>113</v>
      </c>
      <c r="L185" s="19"/>
      <c r="M185" s="19" t="str">
        <f t="shared" ref="M185:M187" ca="1" si="27">IF(L185=0,"", DATEDIF(L185,TODAY(),"y"))</f>
        <v/>
      </c>
      <c r="N185" s="10" t="s">
        <v>120</v>
      </c>
      <c r="O185" s="10" t="s">
        <v>122</v>
      </c>
      <c r="P185" s="10" t="s">
        <v>124</v>
      </c>
      <c r="Q185" s="18" t="s">
        <v>128</v>
      </c>
      <c r="R185" s="10" t="s">
        <v>133</v>
      </c>
      <c r="S185" s="10" t="s">
        <v>2438</v>
      </c>
      <c r="T185" s="10" t="s">
        <v>1225</v>
      </c>
      <c r="U185" s="10">
        <v>3242407675</v>
      </c>
      <c r="V185" s="10">
        <v>3242407675</v>
      </c>
      <c r="W185" s="10" t="s">
        <v>2440</v>
      </c>
      <c r="X185" s="10" t="s">
        <v>136</v>
      </c>
      <c r="Y185" s="10" t="s">
        <v>473</v>
      </c>
      <c r="Z185" s="10" t="s">
        <v>216</v>
      </c>
      <c r="AA185" s="24"/>
      <c r="AB185" s="24"/>
      <c r="AC185" s="13">
        <v>45362</v>
      </c>
      <c r="AD185" s="24"/>
    </row>
    <row r="186" spans="1:30" ht="15.75" customHeight="1" x14ac:dyDescent="0.25">
      <c r="A186" s="10" t="s">
        <v>77</v>
      </c>
      <c r="B186" s="10" t="s">
        <v>90</v>
      </c>
      <c r="C186" s="10" t="s">
        <v>175</v>
      </c>
      <c r="D186" s="10" t="s">
        <v>92</v>
      </c>
      <c r="E186" s="10">
        <v>5049904</v>
      </c>
      <c r="F186" s="23" t="s">
        <v>402</v>
      </c>
      <c r="G186" s="10" t="s">
        <v>11</v>
      </c>
      <c r="H186" s="10" t="s">
        <v>877</v>
      </c>
      <c r="I186" s="13">
        <v>45831</v>
      </c>
      <c r="J186" s="10" t="str">
        <f t="shared" ca="1" si="0"/>
        <v xml:space="preserve">1  Años, 2  Mes, 3 Dias </v>
      </c>
      <c r="K186" s="10" t="s">
        <v>113</v>
      </c>
      <c r="L186" s="24"/>
      <c r="M186" s="19" t="str">
        <f t="shared" ca="1" si="27"/>
        <v/>
      </c>
      <c r="N186" s="10" t="s">
        <v>120</v>
      </c>
      <c r="O186" s="10" t="s">
        <v>122</v>
      </c>
      <c r="P186" s="10" t="s">
        <v>210</v>
      </c>
      <c r="Q186" s="18" t="s">
        <v>128</v>
      </c>
      <c r="R186" s="10" t="s">
        <v>133</v>
      </c>
      <c r="S186" s="10" t="s">
        <v>880</v>
      </c>
      <c r="T186" s="10" t="s">
        <v>136</v>
      </c>
      <c r="U186" s="10">
        <v>3212470737</v>
      </c>
      <c r="V186" s="19"/>
      <c r="W186" s="10" t="s">
        <v>882</v>
      </c>
      <c r="X186" s="10" t="s">
        <v>136</v>
      </c>
      <c r="Y186" s="10" t="s">
        <v>206</v>
      </c>
      <c r="Z186" s="10" t="s">
        <v>170</v>
      </c>
      <c r="AA186" s="19"/>
      <c r="AB186" s="19"/>
      <c r="AC186" s="19"/>
      <c r="AD186" s="10" t="s">
        <v>209</v>
      </c>
    </row>
    <row r="187" spans="1:30" ht="15.75" customHeight="1" x14ac:dyDescent="0.25">
      <c r="A187" s="10" t="s">
        <v>77</v>
      </c>
      <c r="B187" s="10" t="s">
        <v>86</v>
      </c>
      <c r="C187" s="10" t="s">
        <v>91</v>
      </c>
      <c r="D187" s="10" t="s">
        <v>92</v>
      </c>
      <c r="E187" s="10">
        <v>1123998396</v>
      </c>
      <c r="F187" s="23" t="s">
        <v>513</v>
      </c>
      <c r="G187" s="10" t="s">
        <v>11</v>
      </c>
      <c r="H187" s="10" t="s">
        <v>2456</v>
      </c>
      <c r="I187" s="30">
        <v>45282</v>
      </c>
      <c r="J187" s="10" t="str">
        <f t="shared" ca="1" si="0"/>
        <v xml:space="preserve">2  Años, 8  Mes, 4 Dias </v>
      </c>
      <c r="K187" s="10" t="s">
        <v>113</v>
      </c>
      <c r="L187" s="19"/>
      <c r="M187" s="19" t="str">
        <f t="shared" ca="1" si="27"/>
        <v/>
      </c>
      <c r="N187" s="10" t="s">
        <v>120</v>
      </c>
      <c r="O187" s="10" t="s">
        <v>122</v>
      </c>
      <c r="P187" s="10" t="s">
        <v>124</v>
      </c>
      <c r="Q187" s="18" t="s">
        <v>128</v>
      </c>
      <c r="R187" s="10" t="s">
        <v>133</v>
      </c>
      <c r="S187" s="10" t="s">
        <v>2459</v>
      </c>
      <c r="T187" s="10" t="s">
        <v>136</v>
      </c>
      <c r="U187" s="10">
        <v>3011875827</v>
      </c>
      <c r="V187" s="10">
        <v>3011875827</v>
      </c>
      <c r="W187" s="10" t="s">
        <v>2463</v>
      </c>
      <c r="X187" s="10" t="s">
        <v>136</v>
      </c>
      <c r="Y187" s="10" t="s">
        <v>206</v>
      </c>
      <c r="Z187" s="10" t="s">
        <v>170</v>
      </c>
      <c r="AA187" s="24"/>
      <c r="AB187" s="24"/>
      <c r="AC187" s="13">
        <v>45366</v>
      </c>
      <c r="AD187" s="24"/>
    </row>
    <row r="188" spans="1:30" ht="15.75" customHeight="1" x14ac:dyDescent="0.25">
      <c r="A188" s="10" t="s">
        <v>77</v>
      </c>
      <c r="B188" s="10" t="s">
        <v>86</v>
      </c>
      <c r="C188" s="10" t="s">
        <v>91</v>
      </c>
      <c r="D188" s="10" t="s">
        <v>92</v>
      </c>
      <c r="E188" s="12">
        <v>1082954950</v>
      </c>
      <c r="F188" s="15" t="s">
        <v>2466</v>
      </c>
      <c r="G188" s="10" t="s">
        <v>26</v>
      </c>
      <c r="H188" s="12" t="s">
        <v>2467</v>
      </c>
      <c r="I188" s="16">
        <v>45630</v>
      </c>
      <c r="J188" s="10" t="str">
        <f t="shared" ca="1" si="0"/>
        <v xml:space="preserve">1  Años, 8  Mes, 22 Dias </v>
      </c>
      <c r="K188" s="10" t="s">
        <v>113</v>
      </c>
      <c r="L188" s="5"/>
      <c r="M188" s="5"/>
      <c r="N188" s="10" t="s">
        <v>120</v>
      </c>
      <c r="O188" s="10" t="s">
        <v>122</v>
      </c>
      <c r="P188" s="12" t="s">
        <v>124</v>
      </c>
      <c r="Q188" s="18" t="s">
        <v>648</v>
      </c>
      <c r="R188" s="12" t="s">
        <v>133</v>
      </c>
      <c r="S188" s="12" t="s">
        <v>2470</v>
      </c>
      <c r="T188" s="12" t="s">
        <v>507</v>
      </c>
      <c r="U188" s="12">
        <v>3002911271</v>
      </c>
      <c r="V188" s="5"/>
      <c r="W188" s="5"/>
      <c r="X188" s="12" t="s">
        <v>136</v>
      </c>
      <c r="Y188" s="12" t="s">
        <v>605</v>
      </c>
      <c r="Z188" s="12" t="s">
        <v>966</v>
      </c>
      <c r="AA188" s="20"/>
      <c r="AB188" s="20"/>
      <c r="AC188" s="16">
        <v>45719</v>
      </c>
      <c r="AD188" s="10" t="s">
        <v>148</v>
      </c>
    </row>
    <row r="189" spans="1:30" ht="15.75" customHeight="1" x14ac:dyDescent="0.25">
      <c r="A189" s="10" t="s">
        <v>160</v>
      </c>
      <c r="B189" s="10" t="s">
        <v>86</v>
      </c>
      <c r="C189" s="10" t="s">
        <v>91</v>
      </c>
      <c r="D189" s="10" t="s">
        <v>92</v>
      </c>
      <c r="E189" s="10">
        <v>72181689</v>
      </c>
      <c r="F189" s="23" t="s">
        <v>511</v>
      </c>
      <c r="G189" s="10" t="s">
        <v>848</v>
      </c>
      <c r="H189" s="10" t="s">
        <v>2475</v>
      </c>
      <c r="I189" s="13">
        <v>44843</v>
      </c>
      <c r="J189" s="10" t="str">
        <f t="shared" ca="1" si="0"/>
        <v xml:space="preserve">3  Años, 10  Mes, 17 Dias </v>
      </c>
      <c r="K189" s="10" t="s">
        <v>113</v>
      </c>
      <c r="L189" s="19"/>
      <c r="M189" s="19" t="str">
        <f t="shared" ref="M189:M195" ca="1" si="28">IF(L189=0,"", DATEDIF(L189,TODAY(),"y"))</f>
        <v/>
      </c>
      <c r="N189" s="10" t="s">
        <v>120</v>
      </c>
      <c r="O189" s="10" t="s">
        <v>122</v>
      </c>
      <c r="P189" s="10" t="s">
        <v>142</v>
      </c>
      <c r="Q189" s="18" t="s">
        <v>128</v>
      </c>
      <c r="R189" s="10" t="s">
        <v>133</v>
      </c>
      <c r="S189" s="10" t="s">
        <v>2479</v>
      </c>
      <c r="T189" s="10" t="s">
        <v>136</v>
      </c>
      <c r="U189" s="10">
        <v>3042866303</v>
      </c>
      <c r="V189" s="19"/>
      <c r="W189" s="10" t="s">
        <v>2481</v>
      </c>
      <c r="X189" s="10" t="s">
        <v>136</v>
      </c>
      <c r="Y189" s="10" t="s">
        <v>206</v>
      </c>
      <c r="Z189" s="10" t="s">
        <v>170</v>
      </c>
      <c r="AA189" s="19"/>
      <c r="AB189" s="19"/>
      <c r="AC189" s="19"/>
      <c r="AD189" s="10" t="s">
        <v>209</v>
      </c>
    </row>
    <row r="190" spans="1:30" ht="15.75" customHeight="1" x14ac:dyDescent="0.25">
      <c r="A190" s="10" t="s">
        <v>160</v>
      </c>
      <c r="B190" s="10" t="s">
        <v>90</v>
      </c>
      <c r="C190" s="10" t="s">
        <v>175</v>
      </c>
      <c r="D190" s="10" t="s">
        <v>92</v>
      </c>
      <c r="E190" s="12">
        <v>1067291657</v>
      </c>
      <c r="F190" s="23" t="s">
        <v>887</v>
      </c>
      <c r="G190" s="10" t="s">
        <v>888</v>
      </c>
      <c r="H190" s="12" t="s">
        <v>889</v>
      </c>
      <c r="I190" s="13">
        <v>45831</v>
      </c>
      <c r="J190" s="10" t="str">
        <f t="shared" ca="1" si="0"/>
        <v xml:space="preserve">1  Años, 2  Mes, 3 Dias </v>
      </c>
      <c r="K190" s="12" t="s">
        <v>113</v>
      </c>
      <c r="L190" s="16">
        <v>35513</v>
      </c>
      <c r="M190" s="10">
        <f t="shared" ca="1" si="28"/>
        <v>29</v>
      </c>
      <c r="N190" s="10" t="s">
        <v>120</v>
      </c>
      <c r="O190" s="10" t="s">
        <v>122</v>
      </c>
      <c r="P190" s="12" t="s">
        <v>142</v>
      </c>
      <c r="Q190" s="18" t="s">
        <v>128</v>
      </c>
      <c r="R190" s="10" t="s">
        <v>133</v>
      </c>
      <c r="S190" s="95" t="s">
        <v>896</v>
      </c>
      <c r="T190" s="12" t="s">
        <v>136</v>
      </c>
      <c r="U190" s="12">
        <v>3235244387</v>
      </c>
      <c r="V190" s="5"/>
      <c r="W190" s="12" t="s">
        <v>897</v>
      </c>
      <c r="X190" s="12" t="s">
        <v>136</v>
      </c>
      <c r="Y190" s="5"/>
      <c r="Z190" s="5"/>
      <c r="AA190" s="20"/>
      <c r="AB190" s="20"/>
      <c r="AC190" s="20"/>
      <c r="AD190" s="10" t="s">
        <v>209</v>
      </c>
    </row>
    <row r="191" spans="1:30" ht="15.75" customHeight="1" x14ac:dyDescent="0.25">
      <c r="A191" s="10" t="s">
        <v>77</v>
      </c>
      <c r="B191" s="10" t="s">
        <v>86</v>
      </c>
      <c r="C191" s="10" t="s">
        <v>91</v>
      </c>
      <c r="D191" s="10" t="s">
        <v>92</v>
      </c>
      <c r="E191" s="10">
        <v>1143133196</v>
      </c>
      <c r="F191" s="23" t="s">
        <v>510</v>
      </c>
      <c r="G191" s="10" t="s">
        <v>18</v>
      </c>
      <c r="H191" s="10" t="s">
        <v>2486</v>
      </c>
      <c r="I191" s="30">
        <v>45272</v>
      </c>
      <c r="J191" s="10" t="str">
        <f t="shared" ca="1" si="0"/>
        <v xml:space="preserve">2  Años, 8  Mes, 14 Dias </v>
      </c>
      <c r="K191" s="10" t="s">
        <v>113</v>
      </c>
      <c r="L191" s="24"/>
      <c r="M191" s="19" t="str">
        <f t="shared" ca="1" si="28"/>
        <v/>
      </c>
      <c r="N191" s="10" t="s">
        <v>120</v>
      </c>
      <c r="O191" s="10" t="s">
        <v>122</v>
      </c>
      <c r="P191" s="10" t="s">
        <v>142</v>
      </c>
      <c r="Q191" s="18" t="s">
        <v>128</v>
      </c>
      <c r="R191" s="10" t="s">
        <v>133</v>
      </c>
      <c r="S191" s="10" t="s">
        <v>2488</v>
      </c>
      <c r="T191" s="10" t="s">
        <v>136</v>
      </c>
      <c r="U191" s="10">
        <v>3023151522</v>
      </c>
      <c r="V191" s="19"/>
      <c r="W191" s="10" t="s">
        <v>2489</v>
      </c>
      <c r="X191" s="10" t="s">
        <v>136</v>
      </c>
      <c r="Y191" s="10" t="s">
        <v>253</v>
      </c>
      <c r="Z191" s="10" t="s">
        <v>216</v>
      </c>
      <c r="AA191" s="24"/>
      <c r="AB191" s="24"/>
      <c r="AC191" s="13">
        <v>45489</v>
      </c>
      <c r="AD191" s="24"/>
    </row>
    <row r="192" spans="1:30" ht="15.75" customHeight="1" x14ac:dyDescent="0.25">
      <c r="A192" s="10" t="s">
        <v>77</v>
      </c>
      <c r="B192" s="10" t="s">
        <v>86</v>
      </c>
      <c r="C192" s="10" t="s">
        <v>91</v>
      </c>
      <c r="D192" s="10" t="s">
        <v>92</v>
      </c>
      <c r="E192" s="10">
        <v>72345932</v>
      </c>
      <c r="F192" s="23" t="s">
        <v>505</v>
      </c>
      <c r="G192" s="10" t="s">
        <v>26</v>
      </c>
      <c r="H192" s="10" t="s">
        <v>2491</v>
      </c>
      <c r="I192" s="13">
        <v>44843</v>
      </c>
      <c r="J192" s="10" t="str">
        <f t="shared" ca="1" si="0"/>
        <v xml:space="preserve">3  Años, 10  Mes, 17 Dias </v>
      </c>
      <c r="K192" s="10" t="s">
        <v>113</v>
      </c>
      <c r="L192" s="24"/>
      <c r="M192" s="19" t="str">
        <f t="shared" ca="1" si="28"/>
        <v/>
      </c>
      <c r="N192" s="10" t="s">
        <v>120</v>
      </c>
      <c r="O192" s="10" t="s">
        <v>122</v>
      </c>
      <c r="P192" s="10" t="s">
        <v>142</v>
      </c>
      <c r="Q192" s="18" t="s">
        <v>128</v>
      </c>
      <c r="R192" s="10" t="s">
        <v>133</v>
      </c>
      <c r="S192" s="10" t="s">
        <v>2492</v>
      </c>
      <c r="T192" s="10" t="s">
        <v>136</v>
      </c>
      <c r="U192" s="10">
        <v>3042107339</v>
      </c>
      <c r="V192" s="19"/>
      <c r="W192" s="10" t="s">
        <v>2493</v>
      </c>
      <c r="X192" s="10" t="s">
        <v>136</v>
      </c>
      <c r="Y192" s="10" t="s">
        <v>206</v>
      </c>
      <c r="Z192" s="10" t="s">
        <v>170</v>
      </c>
      <c r="AA192" s="33"/>
      <c r="AB192" s="33"/>
      <c r="AC192" s="35">
        <v>44896</v>
      </c>
      <c r="AD192" s="19"/>
    </row>
    <row r="193" spans="1:30" ht="15.75" customHeight="1" x14ac:dyDescent="0.25">
      <c r="A193" s="10" t="s">
        <v>160</v>
      </c>
      <c r="B193" s="10" t="s">
        <v>90</v>
      </c>
      <c r="C193" s="10" t="s">
        <v>175</v>
      </c>
      <c r="D193" s="10" t="s">
        <v>92</v>
      </c>
      <c r="E193" s="10">
        <v>1047338892</v>
      </c>
      <c r="F193" s="23" t="s">
        <v>906</v>
      </c>
      <c r="G193" s="10" t="s">
        <v>424</v>
      </c>
      <c r="H193" s="10" t="s">
        <v>907</v>
      </c>
      <c r="I193" s="13">
        <v>45831</v>
      </c>
      <c r="J193" s="10" t="str">
        <f t="shared" ca="1" si="0"/>
        <v xml:space="preserve">1  Años, 2  Mes, 3 Dias </v>
      </c>
      <c r="K193" s="10" t="s">
        <v>113</v>
      </c>
      <c r="L193" s="13">
        <v>32677</v>
      </c>
      <c r="M193" s="10">
        <f t="shared" ca="1" si="28"/>
        <v>37</v>
      </c>
      <c r="N193" s="10" t="s">
        <v>120</v>
      </c>
      <c r="O193" s="10" t="s">
        <v>277</v>
      </c>
      <c r="P193" s="10" t="s">
        <v>142</v>
      </c>
      <c r="Q193" s="18" t="s">
        <v>128</v>
      </c>
      <c r="R193" s="10" t="s">
        <v>133</v>
      </c>
      <c r="S193" s="10" t="s">
        <v>913</v>
      </c>
      <c r="T193" s="10" t="s">
        <v>233</v>
      </c>
      <c r="U193" s="10">
        <v>3113001409</v>
      </c>
      <c r="V193" s="19"/>
      <c r="W193" s="10" t="s">
        <v>914</v>
      </c>
      <c r="X193" s="10" t="s">
        <v>136</v>
      </c>
      <c r="Y193" s="10" t="s">
        <v>206</v>
      </c>
      <c r="Z193" s="10" t="s">
        <v>170</v>
      </c>
      <c r="AA193" s="24"/>
      <c r="AB193" s="24"/>
      <c r="AC193" s="24"/>
      <c r="AD193" s="13" t="s">
        <v>209</v>
      </c>
    </row>
    <row r="194" spans="1:30" ht="15.75" customHeight="1" x14ac:dyDescent="0.25">
      <c r="A194" s="10" t="s">
        <v>77</v>
      </c>
      <c r="B194" s="10" t="s">
        <v>86</v>
      </c>
      <c r="C194" s="10" t="s">
        <v>91</v>
      </c>
      <c r="D194" s="10" t="s">
        <v>92</v>
      </c>
      <c r="E194" s="10">
        <v>1047336680</v>
      </c>
      <c r="F194" s="23" t="s">
        <v>502</v>
      </c>
      <c r="G194" s="10" t="s">
        <v>18</v>
      </c>
      <c r="H194" s="10" t="s">
        <v>2498</v>
      </c>
      <c r="I194" s="13">
        <v>44843</v>
      </c>
      <c r="J194" s="10" t="str">
        <f t="shared" ca="1" si="0"/>
        <v xml:space="preserve">3  Años, 10  Mes, 17 Dias </v>
      </c>
      <c r="K194" s="10" t="s">
        <v>113</v>
      </c>
      <c r="L194" s="19"/>
      <c r="M194" s="19" t="str">
        <f t="shared" ca="1" si="28"/>
        <v/>
      </c>
      <c r="N194" s="10" t="s">
        <v>120</v>
      </c>
      <c r="O194" s="10" t="s">
        <v>122</v>
      </c>
      <c r="P194" s="10" t="s">
        <v>142</v>
      </c>
      <c r="Q194" s="18" t="s">
        <v>128</v>
      </c>
      <c r="R194" s="10" t="s">
        <v>133</v>
      </c>
      <c r="S194" s="10" t="s">
        <v>2500</v>
      </c>
      <c r="T194" s="10" t="s">
        <v>136</v>
      </c>
      <c r="U194" s="10">
        <v>3027278992</v>
      </c>
      <c r="V194" s="19"/>
      <c r="W194" s="10" t="s">
        <v>2501</v>
      </c>
      <c r="X194" s="10" t="s">
        <v>136</v>
      </c>
      <c r="Y194" s="10" t="s">
        <v>473</v>
      </c>
      <c r="Z194" s="10" t="s">
        <v>170</v>
      </c>
      <c r="AA194" s="24"/>
      <c r="AB194" s="24"/>
      <c r="AC194" s="13">
        <v>45678</v>
      </c>
      <c r="AD194" s="13" t="s">
        <v>1515</v>
      </c>
    </row>
    <row r="195" spans="1:30" ht="15.75" customHeight="1" x14ac:dyDescent="0.25">
      <c r="A195" s="10" t="s">
        <v>77</v>
      </c>
      <c r="B195" s="10" t="s">
        <v>90</v>
      </c>
      <c r="C195" s="10" t="s">
        <v>175</v>
      </c>
      <c r="D195" s="10" t="s">
        <v>92</v>
      </c>
      <c r="E195" s="12">
        <v>72336936</v>
      </c>
      <c r="F195" s="23" t="s">
        <v>2224</v>
      </c>
      <c r="G195" s="10" t="s">
        <v>26</v>
      </c>
      <c r="H195" s="10" t="s">
        <v>2226</v>
      </c>
      <c r="I195" s="13">
        <v>45831</v>
      </c>
      <c r="J195" s="10" t="str">
        <f t="shared" ca="1" si="0"/>
        <v xml:space="preserve">1  Años, 2  Mes, 3 Dias </v>
      </c>
      <c r="K195" s="12" t="s">
        <v>113</v>
      </c>
      <c r="L195" s="16">
        <v>31161</v>
      </c>
      <c r="M195" s="10">
        <f t="shared" ca="1" si="28"/>
        <v>41</v>
      </c>
      <c r="N195" s="10" t="s">
        <v>120</v>
      </c>
      <c r="O195" s="10" t="s">
        <v>236</v>
      </c>
      <c r="P195" s="12" t="s">
        <v>210</v>
      </c>
      <c r="Q195" s="18" t="s">
        <v>128</v>
      </c>
      <c r="R195" s="10" t="s">
        <v>133</v>
      </c>
      <c r="S195" s="12" t="s">
        <v>2229</v>
      </c>
      <c r="T195" s="12" t="s">
        <v>1873</v>
      </c>
      <c r="U195" s="12">
        <v>3233797780</v>
      </c>
      <c r="V195" s="5"/>
      <c r="W195" s="12" t="s">
        <v>2230</v>
      </c>
      <c r="X195" s="12" t="s">
        <v>136</v>
      </c>
      <c r="Y195" s="12" t="s">
        <v>2231</v>
      </c>
      <c r="Z195" s="12" t="s">
        <v>2232</v>
      </c>
      <c r="AA195" s="20"/>
      <c r="AB195" s="20"/>
      <c r="AC195" s="20"/>
      <c r="AD195" s="10" t="s">
        <v>209</v>
      </c>
    </row>
    <row r="196" spans="1:30" ht="15.75" customHeight="1" x14ac:dyDescent="0.25">
      <c r="A196" s="10" t="s">
        <v>77</v>
      </c>
      <c r="B196" s="10" t="s">
        <v>90</v>
      </c>
      <c r="C196" s="10" t="s">
        <v>175</v>
      </c>
      <c r="D196" s="12" t="s">
        <v>92</v>
      </c>
      <c r="E196" s="12">
        <v>1007350126</v>
      </c>
      <c r="F196" s="23" t="s">
        <v>812</v>
      </c>
      <c r="G196" s="10" t="s">
        <v>26</v>
      </c>
      <c r="H196" s="10" t="s">
        <v>814</v>
      </c>
      <c r="I196" s="13">
        <v>45831</v>
      </c>
      <c r="J196" s="10" t="str">
        <f t="shared" ca="1" si="0"/>
        <v xml:space="preserve">1  Años, 2  Mes, 3 Dias </v>
      </c>
      <c r="K196" s="12" t="s">
        <v>113</v>
      </c>
      <c r="L196" s="5"/>
      <c r="M196" s="12">
        <v>35</v>
      </c>
      <c r="N196" s="10" t="s">
        <v>120</v>
      </c>
      <c r="O196" s="10" t="s">
        <v>122</v>
      </c>
      <c r="P196" s="12" t="s">
        <v>142</v>
      </c>
      <c r="Q196" s="18" t="s">
        <v>128</v>
      </c>
      <c r="R196" s="12" t="s">
        <v>133</v>
      </c>
      <c r="S196" s="12" t="s">
        <v>816</v>
      </c>
      <c r="T196" s="12" t="s">
        <v>136</v>
      </c>
      <c r="U196" s="12">
        <v>3004777180</v>
      </c>
      <c r="V196" s="5"/>
      <c r="W196" s="5"/>
      <c r="X196" s="12" t="s">
        <v>136</v>
      </c>
      <c r="Y196" s="12" t="s">
        <v>605</v>
      </c>
      <c r="Z196" s="12" t="s">
        <v>170</v>
      </c>
      <c r="AA196" s="20"/>
      <c r="AB196" s="20"/>
      <c r="AC196" s="20"/>
      <c r="AD196" s="13" t="s">
        <v>209</v>
      </c>
    </row>
    <row r="197" spans="1:30" ht="15.75" customHeight="1" x14ac:dyDescent="0.25">
      <c r="A197" s="10" t="s">
        <v>77</v>
      </c>
      <c r="B197" s="10" t="s">
        <v>86</v>
      </c>
      <c r="C197" s="10" t="s">
        <v>91</v>
      </c>
      <c r="D197" s="10" t="s">
        <v>92</v>
      </c>
      <c r="E197" s="10">
        <v>72182422</v>
      </c>
      <c r="F197" s="23" t="s">
        <v>499</v>
      </c>
      <c r="G197" s="10" t="s">
        <v>26</v>
      </c>
      <c r="H197" s="13" t="s">
        <v>2510</v>
      </c>
      <c r="I197" s="13">
        <v>45232</v>
      </c>
      <c r="J197" s="10" t="str">
        <f t="shared" ca="1" si="0"/>
        <v xml:space="preserve">2  Años, 9  Mes, 24 Dias </v>
      </c>
      <c r="K197" s="10" t="s">
        <v>113</v>
      </c>
      <c r="L197" s="24"/>
      <c r="M197" s="19" t="str">
        <f t="shared" ref="M197:M203" ca="1" si="29">IF(L197=0,"", DATEDIF(L197,TODAY(),"y"))</f>
        <v/>
      </c>
      <c r="N197" s="10" t="s">
        <v>120</v>
      </c>
      <c r="O197" s="10" t="s">
        <v>277</v>
      </c>
      <c r="P197" s="10" t="s">
        <v>124</v>
      </c>
      <c r="Q197" s="18" t="s">
        <v>128</v>
      </c>
      <c r="R197" s="10" t="s">
        <v>133</v>
      </c>
      <c r="S197" s="10" t="s">
        <v>2515</v>
      </c>
      <c r="T197" s="10" t="s">
        <v>151</v>
      </c>
      <c r="U197" s="10">
        <v>310503153</v>
      </c>
      <c r="V197" s="10">
        <v>3105031563</v>
      </c>
      <c r="W197" s="10" t="s">
        <v>2516</v>
      </c>
      <c r="X197" s="10" t="s">
        <v>136</v>
      </c>
      <c r="Y197" s="10" t="s">
        <v>206</v>
      </c>
      <c r="Z197" s="10" t="s">
        <v>170</v>
      </c>
      <c r="AA197" s="24"/>
      <c r="AB197" s="24"/>
      <c r="AC197" s="13">
        <v>45394</v>
      </c>
      <c r="AD197" s="24"/>
    </row>
    <row r="198" spans="1:30" ht="15.75" customHeight="1" x14ac:dyDescent="0.25">
      <c r="A198" s="10" t="s">
        <v>77</v>
      </c>
      <c r="B198" s="10" t="s">
        <v>86</v>
      </c>
      <c r="C198" s="10" t="s">
        <v>91</v>
      </c>
      <c r="D198" s="10" t="s">
        <v>92</v>
      </c>
      <c r="E198" s="10">
        <v>1193551323</v>
      </c>
      <c r="F198" s="23" t="s">
        <v>495</v>
      </c>
      <c r="G198" s="10" t="s">
        <v>11</v>
      </c>
      <c r="H198" s="10" t="s">
        <v>2520</v>
      </c>
      <c r="I198" s="30">
        <v>45279</v>
      </c>
      <c r="J198" s="10" t="str">
        <f t="shared" ca="1" si="0"/>
        <v xml:space="preserve">2  Años, 8  Mes, 7 Dias </v>
      </c>
      <c r="K198" s="10" t="s">
        <v>113</v>
      </c>
      <c r="L198" s="19"/>
      <c r="M198" s="19" t="str">
        <f t="shared" ca="1" si="29"/>
        <v/>
      </c>
      <c r="N198" s="10" t="s">
        <v>120</v>
      </c>
      <c r="O198" s="10" t="s">
        <v>122</v>
      </c>
      <c r="P198" s="10" t="s">
        <v>142</v>
      </c>
      <c r="Q198" s="18" t="s">
        <v>128</v>
      </c>
      <c r="R198" s="10" t="s">
        <v>133</v>
      </c>
      <c r="S198" s="10" t="s">
        <v>2523</v>
      </c>
      <c r="T198" s="10" t="s">
        <v>136</v>
      </c>
      <c r="U198" s="10">
        <v>3122862218</v>
      </c>
      <c r="V198" s="10">
        <v>3042571624</v>
      </c>
      <c r="W198" s="10" t="s">
        <v>2524</v>
      </c>
      <c r="X198" s="10" t="s">
        <v>136</v>
      </c>
      <c r="Y198" s="10" t="s">
        <v>473</v>
      </c>
      <c r="Z198" s="10" t="s">
        <v>170</v>
      </c>
      <c r="AA198" s="24"/>
      <c r="AB198" s="24"/>
      <c r="AC198" s="13">
        <v>45362</v>
      </c>
      <c r="AD198" s="24"/>
    </row>
    <row r="199" spans="1:30" ht="15.75" customHeight="1" x14ac:dyDescent="0.25">
      <c r="A199" s="10" t="s">
        <v>160</v>
      </c>
      <c r="B199" s="10" t="s">
        <v>86</v>
      </c>
      <c r="C199" s="10" t="s">
        <v>91</v>
      </c>
      <c r="D199" s="10" t="s">
        <v>92</v>
      </c>
      <c r="E199" s="10">
        <v>1001939607</v>
      </c>
      <c r="F199" s="23" t="s">
        <v>2526</v>
      </c>
      <c r="G199" s="10" t="s">
        <v>503</v>
      </c>
      <c r="H199" s="10" t="s">
        <v>2527</v>
      </c>
      <c r="I199" s="13">
        <v>45231</v>
      </c>
      <c r="J199" s="10" t="str">
        <f t="shared" ca="1" si="0"/>
        <v xml:space="preserve">2  Años, 9  Mes, 25 Dias </v>
      </c>
      <c r="K199" s="10" t="s">
        <v>113</v>
      </c>
      <c r="L199" s="19"/>
      <c r="M199" s="19" t="str">
        <f t="shared" ca="1" si="29"/>
        <v/>
      </c>
      <c r="N199" s="10" t="s">
        <v>320</v>
      </c>
      <c r="O199" s="10" t="s">
        <v>236</v>
      </c>
      <c r="P199" s="10" t="s">
        <v>210</v>
      </c>
      <c r="Q199" s="18" t="s">
        <v>128</v>
      </c>
      <c r="R199" s="10" t="s">
        <v>133</v>
      </c>
      <c r="S199" s="10" t="s">
        <v>2531</v>
      </c>
      <c r="T199" s="10" t="s">
        <v>136</v>
      </c>
      <c r="U199" s="10">
        <v>3045264595</v>
      </c>
      <c r="V199" s="10">
        <v>3045264595</v>
      </c>
      <c r="W199" s="10" t="s">
        <v>2532</v>
      </c>
      <c r="X199" s="10" t="s">
        <v>136</v>
      </c>
      <c r="Y199" s="10" t="s">
        <v>169</v>
      </c>
      <c r="Z199" s="10" t="s">
        <v>216</v>
      </c>
      <c r="AA199" s="24"/>
      <c r="AB199" s="24"/>
      <c r="AC199" s="13">
        <v>45678</v>
      </c>
      <c r="AD199" s="10" t="s">
        <v>1515</v>
      </c>
    </row>
    <row r="200" spans="1:30" ht="15.75" customHeight="1" x14ac:dyDescent="0.25">
      <c r="A200" s="10" t="s">
        <v>77</v>
      </c>
      <c r="B200" s="10" t="s">
        <v>86</v>
      </c>
      <c r="C200" s="10" t="s">
        <v>91</v>
      </c>
      <c r="D200" s="10" t="s">
        <v>92</v>
      </c>
      <c r="E200" s="10">
        <v>72019165</v>
      </c>
      <c r="F200" s="23" t="s">
        <v>69</v>
      </c>
      <c r="G200" s="10" t="s">
        <v>26</v>
      </c>
      <c r="H200" s="10" t="s">
        <v>755</v>
      </c>
      <c r="I200" s="13">
        <v>45153</v>
      </c>
      <c r="J200" s="10" t="str">
        <f t="shared" ca="1" si="0"/>
        <v xml:space="preserve">3  Años, 0  Mes, 11 Dias </v>
      </c>
      <c r="K200" s="10" t="s">
        <v>113</v>
      </c>
      <c r="L200" s="19"/>
      <c r="M200" s="19" t="str">
        <f t="shared" ca="1" si="29"/>
        <v/>
      </c>
      <c r="N200" s="10" t="s">
        <v>120</v>
      </c>
      <c r="O200" s="10" t="s">
        <v>122</v>
      </c>
      <c r="P200" s="10" t="s">
        <v>142</v>
      </c>
      <c r="Q200" s="18" t="s">
        <v>128</v>
      </c>
      <c r="R200" s="10" t="s">
        <v>133</v>
      </c>
      <c r="S200" s="10" t="s">
        <v>2535</v>
      </c>
      <c r="T200" s="10" t="s">
        <v>2536</v>
      </c>
      <c r="U200" s="10">
        <v>3013687669</v>
      </c>
      <c r="V200" s="10">
        <v>3013687669</v>
      </c>
      <c r="W200" s="10" t="s">
        <v>2537</v>
      </c>
      <c r="X200" s="10" t="s">
        <v>136</v>
      </c>
      <c r="Y200" s="10" t="s">
        <v>206</v>
      </c>
      <c r="Z200" s="10" t="s">
        <v>216</v>
      </c>
      <c r="AA200" s="24"/>
      <c r="AB200" s="24"/>
      <c r="AC200" s="13">
        <v>45318</v>
      </c>
      <c r="AD200" s="24"/>
    </row>
    <row r="201" spans="1:30" ht="15.75" customHeight="1" x14ac:dyDescent="0.25">
      <c r="A201" s="10" t="s">
        <v>160</v>
      </c>
      <c r="B201" s="10" t="s">
        <v>86</v>
      </c>
      <c r="C201" s="10" t="s">
        <v>91</v>
      </c>
      <c r="D201" s="10" t="s">
        <v>92</v>
      </c>
      <c r="E201" s="10">
        <v>1005457609</v>
      </c>
      <c r="F201" s="23" t="s">
        <v>403</v>
      </c>
      <c r="G201" s="10" t="s">
        <v>404</v>
      </c>
      <c r="H201" s="13">
        <v>45846</v>
      </c>
      <c r="I201" s="13">
        <v>45846</v>
      </c>
      <c r="J201" s="10" t="str">
        <f t="shared" ca="1" si="0"/>
        <v xml:space="preserve">1  Años, 1  Mes, 18 Dias </v>
      </c>
      <c r="K201" s="10" t="s">
        <v>113</v>
      </c>
      <c r="L201" s="24"/>
      <c r="M201" s="19" t="str">
        <f t="shared" ca="1" si="29"/>
        <v/>
      </c>
      <c r="N201" s="10" t="s">
        <v>120</v>
      </c>
      <c r="O201" s="10" t="s">
        <v>236</v>
      </c>
      <c r="P201" s="19"/>
      <c r="Q201" s="18" t="s">
        <v>128</v>
      </c>
      <c r="R201" s="19"/>
      <c r="S201" s="19"/>
      <c r="T201" s="10" t="s">
        <v>136</v>
      </c>
      <c r="U201" s="10">
        <v>3218146112</v>
      </c>
      <c r="V201" s="19"/>
      <c r="W201" s="19"/>
      <c r="X201" s="10" t="s">
        <v>136</v>
      </c>
      <c r="Y201" s="19"/>
      <c r="Z201" s="19"/>
      <c r="AA201" s="13">
        <v>3218146112</v>
      </c>
      <c r="AB201" s="13" t="s">
        <v>420</v>
      </c>
      <c r="AC201" s="24"/>
      <c r="AD201" s="10" t="s">
        <v>209</v>
      </c>
    </row>
    <row r="202" spans="1:30" ht="15.75" customHeight="1" x14ac:dyDescent="0.25">
      <c r="A202" s="10" t="s">
        <v>77</v>
      </c>
      <c r="B202" s="10" t="s">
        <v>86</v>
      </c>
      <c r="C202" s="10" t="s">
        <v>91</v>
      </c>
      <c r="D202" s="10" t="s">
        <v>92</v>
      </c>
      <c r="E202" s="10">
        <v>8530769</v>
      </c>
      <c r="F202" s="23" t="s">
        <v>487</v>
      </c>
      <c r="G202" s="10" t="s">
        <v>32</v>
      </c>
      <c r="H202" s="10" t="s">
        <v>2538</v>
      </c>
      <c r="I202" s="13">
        <v>44901</v>
      </c>
      <c r="J202" s="10" t="str">
        <f t="shared" ca="1" si="0"/>
        <v xml:space="preserve">3  Años, 8  Mes, 20 Dias </v>
      </c>
      <c r="K202" s="10" t="s">
        <v>113</v>
      </c>
      <c r="L202" s="108"/>
      <c r="M202" s="19" t="str">
        <f t="shared" ca="1" si="29"/>
        <v/>
      </c>
      <c r="N202" s="10" t="s">
        <v>120</v>
      </c>
      <c r="O202" s="10" t="s">
        <v>122</v>
      </c>
      <c r="P202" s="10" t="s">
        <v>142</v>
      </c>
      <c r="Q202" s="18" t="s">
        <v>128</v>
      </c>
      <c r="R202" s="10" t="s">
        <v>133</v>
      </c>
      <c r="S202" s="10" t="s">
        <v>2539</v>
      </c>
      <c r="T202" s="10" t="s">
        <v>136</v>
      </c>
      <c r="U202" s="10">
        <v>3162258596</v>
      </c>
      <c r="V202" s="19"/>
      <c r="W202" s="10" t="s">
        <v>2540</v>
      </c>
      <c r="X202" s="10" t="s">
        <v>136</v>
      </c>
      <c r="Y202" s="10" t="s">
        <v>169</v>
      </c>
      <c r="Z202" s="10" t="s">
        <v>373</v>
      </c>
      <c r="AA202" s="63"/>
      <c r="AB202" s="63"/>
      <c r="AC202" s="30">
        <v>45616</v>
      </c>
      <c r="AD202" s="63"/>
    </row>
    <row r="203" spans="1:30" ht="15.75" customHeight="1" x14ac:dyDescent="0.25">
      <c r="A203" s="10" t="s">
        <v>77</v>
      </c>
      <c r="B203" s="10" t="s">
        <v>86</v>
      </c>
      <c r="C203" s="10" t="s">
        <v>91</v>
      </c>
      <c r="D203" s="10" t="s">
        <v>92</v>
      </c>
      <c r="E203" s="10">
        <v>72310641</v>
      </c>
      <c r="F203" s="23" t="s">
        <v>486</v>
      </c>
      <c r="G203" s="10" t="s">
        <v>11</v>
      </c>
      <c r="H203" s="10" t="s">
        <v>2541</v>
      </c>
      <c r="I203" s="13">
        <v>44843</v>
      </c>
      <c r="J203" s="10" t="str">
        <f t="shared" ca="1" si="0"/>
        <v xml:space="preserve">3  Años, 10  Mes, 17 Dias </v>
      </c>
      <c r="K203" s="10" t="s">
        <v>113</v>
      </c>
      <c r="L203" s="19"/>
      <c r="M203" s="19" t="str">
        <f t="shared" ca="1" si="29"/>
        <v/>
      </c>
      <c r="N203" s="10" t="s">
        <v>120</v>
      </c>
      <c r="O203" s="10" t="s">
        <v>122</v>
      </c>
      <c r="P203" s="10" t="s">
        <v>210</v>
      </c>
      <c r="Q203" s="18" t="s">
        <v>128</v>
      </c>
      <c r="R203" s="10" t="s">
        <v>133</v>
      </c>
      <c r="S203" s="10" t="s">
        <v>2542</v>
      </c>
      <c r="T203" s="10" t="s">
        <v>136</v>
      </c>
      <c r="U203" s="10">
        <v>3012895181</v>
      </c>
      <c r="V203" s="19"/>
      <c r="W203" s="10" t="s">
        <v>845</v>
      </c>
      <c r="X203" s="10" t="s">
        <v>136</v>
      </c>
      <c r="Y203" s="10" t="s">
        <v>206</v>
      </c>
      <c r="Z203" s="10" t="s">
        <v>170</v>
      </c>
      <c r="AA203" s="24"/>
      <c r="AB203" s="24"/>
      <c r="AC203" s="13">
        <v>45830</v>
      </c>
      <c r="AD203" s="10" t="s">
        <v>209</v>
      </c>
    </row>
    <row r="204" spans="1:30" ht="15.75" customHeight="1" x14ac:dyDescent="0.25">
      <c r="A204" s="10" t="s">
        <v>77</v>
      </c>
      <c r="B204" s="10" t="s">
        <v>86</v>
      </c>
      <c r="C204" s="10" t="s">
        <v>91</v>
      </c>
      <c r="D204" s="10" t="s">
        <v>92</v>
      </c>
      <c r="E204" s="12">
        <v>1007321206</v>
      </c>
      <c r="F204" s="15" t="s">
        <v>2543</v>
      </c>
      <c r="G204" s="10" t="s">
        <v>26</v>
      </c>
      <c r="H204" s="12" t="s">
        <v>2544</v>
      </c>
      <c r="I204" s="53">
        <v>45567</v>
      </c>
      <c r="J204" s="10" t="str">
        <f t="shared" ca="1" si="0"/>
        <v xml:space="preserve">1  Años, 10  Mes, 24 Dias </v>
      </c>
      <c r="K204" s="10" t="s">
        <v>113</v>
      </c>
      <c r="L204" s="20"/>
      <c r="M204" s="5"/>
      <c r="N204" s="10" t="s">
        <v>120</v>
      </c>
      <c r="O204" s="10" t="s">
        <v>236</v>
      </c>
      <c r="P204" s="12" t="s">
        <v>124</v>
      </c>
      <c r="Q204" s="18" t="s">
        <v>128</v>
      </c>
      <c r="R204" s="10" t="s">
        <v>133</v>
      </c>
      <c r="S204" s="12" t="s">
        <v>2545</v>
      </c>
      <c r="T204" s="10" t="s">
        <v>136</v>
      </c>
      <c r="U204" s="10">
        <v>3176616416</v>
      </c>
      <c r="V204" s="5"/>
      <c r="W204" s="10" t="s">
        <v>2546</v>
      </c>
      <c r="X204" s="10" t="s">
        <v>136</v>
      </c>
      <c r="Y204" s="12" t="s">
        <v>155</v>
      </c>
      <c r="Z204" s="12" t="s">
        <v>288</v>
      </c>
      <c r="AA204" s="20"/>
      <c r="AB204" s="20"/>
      <c r="AC204" s="16">
        <v>45708</v>
      </c>
      <c r="AD204" s="10" t="s">
        <v>1515</v>
      </c>
    </row>
    <row r="205" spans="1:30" ht="15.75" customHeight="1" x14ac:dyDescent="0.25">
      <c r="A205" s="10" t="s">
        <v>77</v>
      </c>
      <c r="B205" s="10" t="s">
        <v>86</v>
      </c>
      <c r="C205" s="10" t="s">
        <v>91</v>
      </c>
      <c r="D205" s="10" t="s">
        <v>92</v>
      </c>
      <c r="E205" s="10">
        <v>85127409</v>
      </c>
      <c r="F205" s="23" t="s">
        <v>485</v>
      </c>
      <c r="G205" s="10" t="s">
        <v>11</v>
      </c>
      <c r="H205" s="10" t="s">
        <v>2547</v>
      </c>
      <c r="I205" s="13">
        <v>45063</v>
      </c>
      <c r="J205" s="10" t="str">
        <f t="shared" ca="1" si="0"/>
        <v xml:space="preserve">3  Años, 3  Mes, 9 Dias </v>
      </c>
      <c r="K205" s="10" t="s">
        <v>113</v>
      </c>
      <c r="L205" s="108"/>
      <c r="M205" s="19" t="str">
        <f t="shared" ref="M205:M206" ca="1" si="30">IF(L205=0,"", DATEDIF(L205,TODAY(),"y"))</f>
        <v/>
      </c>
      <c r="N205" s="10" t="s">
        <v>120</v>
      </c>
      <c r="O205" s="10" t="s">
        <v>277</v>
      </c>
      <c r="P205" s="10" t="s">
        <v>142</v>
      </c>
      <c r="Q205" s="18" t="s">
        <v>128</v>
      </c>
      <c r="R205" s="10" t="s">
        <v>133</v>
      </c>
      <c r="S205" s="10" t="s">
        <v>2548</v>
      </c>
      <c r="T205" s="10" t="s">
        <v>151</v>
      </c>
      <c r="U205" s="10">
        <v>3012156507</v>
      </c>
      <c r="V205" s="10">
        <v>3012156507</v>
      </c>
      <c r="W205" s="10" t="s">
        <v>2549</v>
      </c>
      <c r="X205" s="10" t="s">
        <v>136</v>
      </c>
      <c r="Y205" s="10" t="s">
        <v>206</v>
      </c>
      <c r="Z205" s="10" t="s">
        <v>170</v>
      </c>
      <c r="AA205" s="24"/>
      <c r="AB205" s="24"/>
      <c r="AC205" s="13">
        <v>45716</v>
      </c>
      <c r="AD205" s="13" t="s">
        <v>148</v>
      </c>
    </row>
    <row r="206" spans="1:30" ht="15.75" customHeight="1" x14ac:dyDescent="0.25">
      <c r="A206" s="10" t="s">
        <v>77</v>
      </c>
      <c r="B206" s="10" t="s">
        <v>90</v>
      </c>
      <c r="C206" s="10" t="s">
        <v>175</v>
      </c>
      <c r="D206" s="10" t="s">
        <v>92</v>
      </c>
      <c r="E206" s="10">
        <v>72052193</v>
      </c>
      <c r="F206" s="23" t="s">
        <v>936</v>
      </c>
      <c r="G206" s="10" t="s">
        <v>18</v>
      </c>
      <c r="H206" s="10" t="s">
        <v>937</v>
      </c>
      <c r="I206" s="13">
        <v>45831</v>
      </c>
      <c r="J206" s="10" t="str">
        <f t="shared" ca="1" si="0"/>
        <v xml:space="preserve">1  Años, 2  Mes, 3 Dias </v>
      </c>
      <c r="K206" s="10" t="s">
        <v>113</v>
      </c>
      <c r="L206" s="52">
        <v>29896</v>
      </c>
      <c r="M206" s="10">
        <f t="shared" ca="1" si="30"/>
        <v>44</v>
      </c>
      <c r="N206" s="10" t="s">
        <v>120</v>
      </c>
      <c r="O206" s="10" t="s">
        <v>236</v>
      </c>
      <c r="P206" s="10" t="s">
        <v>142</v>
      </c>
      <c r="Q206" s="18" t="s">
        <v>128</v>
      </c>
      <c r="R206" s="10" t="s">
        <v>133</v>
      </c>
      <c r="S206" s="10" t="s">
        <v>939</v>
      </c>
      <c r="T206" s="10" t="s">
        <v>507</v>
      </c>
      <c r="U206" s="10">
        <v>3042757057</v>
      </c>
      <c r="V206" s="19"/>
      <c r="W206" s="10" t="s">
        <v>940</v>
      </c>
      <c r="X206" s="10" t="s">
        <v>136</v>
      </c>
      <c r="Y206" s="10" t="s">
        <v>539</v>
      </c>
      <c r="Z206" s="10" t="s">
        <v>288</v>
      </c>
      <c r="AA206" s="19"/>
      <c r="AB206" s="19"/>
      <c r="AC206" s="24"/>
      <c r="AD206" s="10" t="s">
        <v>209</v>
      </c>
    </row>
    <row r="207" spans="1:30" ht="15.75" customHeight="1" x14ac:dyDescent="0.25">
      <c r="A207" s="10" t="s">
        <v>77</v>
      </c>
      <c r="B207" s="10" t="s">
        <v>86</v>
      </c>
      <c r="C207" s="10" t="s">
        <v>91</v>
      </c>
      <c r="D207" s="12" t="s">
        <v>92</v>
      </c>
      <c r="E207" s="12">
        <v>1007119487</v>
      </c>
      <c r="F207" s="15" t="s">
        <v>200</v>
      </c>
      <c r="G207" s="12" t="s">
        <v>18</v>
      </c>
      <c r="H207" s="10" t="s">
        <v>205</v>
      </c>
      <c r="I207" s="13">
        <v>45831</v>
      </c>
      <c r="J207" s="10" t="str">
        <f t="shared" ca="1" si="0"/>
        <v xml:space="preserve">1  Años, 2  Mes, 3 Dias </v>
      </c>
      <c r="K207" s="12" t="s">
        <v>113</v>
      </c>
      <c r="L207" s="20"/>
      <c r="M207" s="5"/>
      <c r="N207" s="10" t="s">
        <v>120</v>
      </c>
      <c r="O207" s="10" t="s">
        <v>122</v>
      </c>
      <c r="P207" s="12" t="s">
        <v>210</v>
      </c>
      <c r="Q207" s="18" t="s">
        <v>128</v>
      </c>
      <c r="R207" s="12" t="s">
        <v>133</v>
      </c>
      <c r="S207" s="12" t="s">
        <v>212</v>
      </c>
      <c r="T207" s="12" t="s">
        <v>151</v>
      </c>
      <c r="U207" s="12">
        <v>3002036326</v>
      </c>
      <c r="V207" s="5"/>
      <c r="W207" s="5"/>
      <c r="X207" s="12" t="s">
        <v>136</v>
      </c>
      <c r="Y207" s="12" t="s">
        <v>215</v>
      </c>
      <c r="Z207" s="12" t="s">
        <v>216</v>
      </c>
      <c r="AA207" s="20"/>
      <c r="AB207" s="20"/>
      <c r="AC207" s="16">
        <v>45836</v>
      </c>
      <c r="AD207" s="10" t="s">
        <v>209</v>
      </c>
    </row>
    <row r="208" spans="1:30" ht="15.75" customHeight="1" x14ac:dyDescent="0.25">
      <c r="A208" s="10" t="s">
        <v>77</v>
      </c>
      <c r="B208" s="10" t="s">
        <v>86</v>
      </c>
      <c r="C208" s="10" t="s">
        <v>91</v>
      </c>
      <c r="D208" s="10" t="s">
        <v>92</v>
      </c>
      <c r="E208" s="37">
        <v>1042432966</v>
      </c>
      <c r="F208" s="38" t="s">
        <v>2550</v>
      </c>
      <c r="G208" s="10" t="s">
        <v>32</v>
      </c>
      <c r="H208" s="10" t="s">
        <v>2551</v>
      </c>
      <c r="I208" s="13">
        <v>45419</v>
      </c>
      <c r="J208" s="10" t="str">
        <f t="shared" ca="1" si="0"/>
        <v xml:space="preserve">2  Años, 3  Mes, 19 Dias </v>
      </c>
      <c r="K208" s="10" t="s">
        <v>113</v>
      </c>
      <c r="L208" s="36">
        <v>32900</v>
      </c>
      <c r="M208" s="10">
        <f t="shared" ref="M208:M213" ca="1" si="31">IF(L208=0,"", DATEDIF(L208,TODAY(),"y"))</f>
        <v>36</v>
      </c>
      <c r="N208" s="10" t="s">
        <v>120</v>
      </c>
      <c r="O208" s="10" t="s">
        <v>122</v>
      </c>
      <c r="P208" s="10" t="s">
        <v>210</v>
      </c>
      <c r="Q208" s="18" t="s">
        <v>128</v>
      </c>
      <c r="R208" s="10" t="s">
        <v>133</v>
      </c>
      <c r="S208" s="37" t="s">
        <v>2552</v>
      </c>
      <c r="T208" s="10" t="s">
        <v>151</v>
      </c>
      <c r="U208" s="37">
        <v>3244507024</v>
      </c>
      <c r="V208" s="19"/>
      <c r="W208" s="109" t="s">
        <v>2553</v>
      </c>
      <c r="X208" s="10" t="s">
        <v>136</v>
      </c>
      <c r="Y208" s="37" t="s">
        <v>206</v>
      </c>
      <c r="Z208" s="10" t="s">
        <v>170</v>
      </c>
      <c r="AA208" s="33"/>
      <c r="AB208" s="33"/>
      <c r="AC208" s="35">
        <v>45656</v>
      </c>
      <c r="AD208" s="19"/>
    </row>
    <row r="209" spans="1:30" ht="15.75" customHeight="1" x14ac:dyDescent="0.25">
      <c r="A209" s="10" t="s">
        <v>77</v>
      </c>
      <c r="B209" s="10" t="s">
        <v>86</v>
      </c>
      <c r="C209" s="10" t="s">
        <v>91</v>
      </c>
      <c r="D209" s="10" t="s">
        <v>92</v>
      </c>
      <c r="E209" s="10">
        <v>1051823814</v>
      </c>
      <c r="F209" s="23" t="s">
        <v>2554</v>
      </c>
      <c r="G209" s="10" t="s">
        <v>32</v>
      </c>
      <c r="H209" s="10" t="s">
        <v>2555</v>
      </c>
      <c r="I209" s="13">
        <v>45301</v>
      </c>
      <c r="J209" s="10" t="str">
        <f t="shared" ca="1" si="0"/>
        <v xml:space="preserve">2  Años, 7  Mes, 16 Dias </v>
      </c>
      <c r="K209" s="10" t="s">
        <v>113</v>
      </c>
      <c r="L209" s="52">
        <v>32388</v>
      </c>
      <c r="M209" s="10">
        <f t="shared" ca="1" si="31"/>
        <v>37</v>
      </c>
      <c r="N209" s="10" t="s">
        <v>120</v>
      </c>
      <c r="O209" s="10" t="s">
        <v>122</v>
      </c>
      <c r="P209" s="10" t="s">
        <v>142</v>
      </c>
      <c r="Q209" s="18" t="s">
        <v>128</v>
      </c>
      <c r="R209" s="10" t="s">
        <v>133</v>
      </c>
      <c r="S209" s="10" t="s">
        <v>2556</v>
      </c>
      <c r="T209" s="10" t="s">
        <v>151</v>
      </c>
      <c r="U209" s="10">
        <v>3022990053</v>
      </c>
      <c r="V209" s="19"/>
      <c r="W209" s="10" t="s">
        <v>2557</v>
      </c>
      <c r="X209" s="10" t="s">
        <v>136</v>
      </c>
      <c r="Y209" s="10" t="s">
        <v>539</v>
      </c>
      <c r="Z209" s="10" t="s">
        <v>170</v>
      </c>
      <c r="AA209" s="24"/>
      <c r="AB209" s="24"/>
      <c r="AC209" s="13">
        <v>45373</v>
      </c>
      <c r="AD209" s="24"/>
    </row>
    <row r="210" spans="1:30" ht="15.75" customHeight="1" x14ac:dyDescent="0.25">
      <c r="A210" s="10" t="s">
        <v>77</v>
      </c>
      <c r="B210" s="10" t="s">
        <v>90</v>
      </c>
      <c r="C210" s="10" t="s">
        <v>175</v>
      </c>
      <c r="D210" s="10" t="s">
        <v>92</v>
      </c>
      <c r="E210" s="10">
        <v>1100626803</v>
      </c>
      <c r="F210" s="23" t="s">
        <v>2144</v>
      </c>
      <c r="G210" s="10" t="s">
        <v>18</v>
      </c>
      <c r="H210" s="10" t="s">
        <v>2558</v>
      </c>
      <c r="I210" s="13">
        <v>45847</v>
      </c>
      <c r="J210" s="10" t="str">
        <f t="shared" ca="1" si="0"/>
        <v xml:space="preserve">1  Años, 1  Mes, 17 Dias </v>
      </c>
      <c r="K210" s="10" t="s">
        <v>113</v>
      </c>
      <c r="L210" s="19"/>
      <c r="M210" s="19" t="str">
        <f t="shared" ca="1" si="31"/>
        <v/>
      </c>
      <c r="N210" s="10" t="s">
        <v>120</v>
      </c>
      <c r="O210" s="10" t="s">
        <v>122</v>
      </c>
      <c r="P210" s="10" t="s">
        <v>142</v>
      </c>
      <c r="Q210" s="18" t="s">
        <v>128</v>
      </c>
      <c r="R210" s="10" t="s">
        <v>133</v>
      </c>
      <c r="S210" s="19"/>
      <c r="T210" s="10" t="s">
        <v>136</v>
      </c>
      <c r="U210" s="10">
        <v>3218025250</v>
      </c>
      <c r="V210" s="19"/>
      <c r="W210" s="10" t="s">
        <v>2148</v>
      </c>
      <c r="X210" s="10" t="s">
        <v>136</v>
      </c>
      <c r="Y210" s="19"/>
      <c r="Z210" s="19"/>
      <c r="AA210" s="30">
        <v>3217154288</v>
      </c>
      <c r="AB210" s="30" t="s">
        <v>420</v>
      </c>
      <c r="AC210" s="24"/>
      <c r="AD210" s="10" t="s">
        <v>209</v>
      </c>
    </row>
    <row r="211" spans="1:30" ht="15.75" customHeight="1" x14ac:dyDescent="0.25">
      <c r="A211" s="10" t="s">
        <v>160</v>
      </c>
      <c r="B211" s="10" t="s">
        <v>86</v>
      </c>
      <c r="C211" s="10" t="s">
        <v>91</v>
      </c>
      <c r="D211" s="10" t="s">
        <v>92</v>
      </c>
      <c r="E211" s="37">
        <v>1043667091</v>
      </c>
      <c r="F211" s="38" t="s">
        <v>2559</v>
      </c>
      <c r="G211" s="12" t="s">
        <v>688</v>
      </c>
      <c r="H211" s="10" t="s">
        <v>2560</v>
      </c>
      <c r="I211" s="13">
        <v>45364</v>
      </c>
      <c r="J211" s="10" t="str">
        <f t="shared" ca="1" si="0"/>
        <v xml:space="preserve">2  Años, 5  Mes, 13 Dias </v>
      </c>
      <c r="K211" s="10" t="s">
        <v>113</v>
      </c>
      <c r="L211" s="36">
        <v>38412</v>
      </c>
      <c r="M211" s="10">
        <f t="shared" ca="1" si="31"/>
        <v>21</v>
      </c>
      <c r="N211" s="10" t="s">
        <v>320</v>
      </c>
      <c r="O211" s="10" t="s">
        <v>122</v>
      </c>
      <c r="P211" s="10" t="s">
        <v>142</v>
      </c>
      <c r="Q211" s="18" t="s">
        <v>128</v>
      </c>
      <c r="R211" s="10" t="s">
        <v>133</v>
      </c>
      <c r="S211" s="37" t="s">
        <v>2561</v>
      </c>
      <c r="T211" s="10" t="s">
        <v>1122</v>
      </c>
      <c r="U211" s="37">
        <v>3136073919</v>
      </c>
      <c r="V211" s="19"/>
      <c r="W211" s="40" t="s">
        <v>2562</v>
      </c>
      <c r="X211" s="10" t="s">
        <v>136</v>
      </c>
      <c r="Y211" s="37" t="s">
        <v>155</v>
      </c>
      <c r="Z211" s="10" t="s">
        <v>288</v>
      </c>
      <c r="AA211" s="33"/>
      <c r="AB211" s="33"/>
      <c r="AC211" s="35">
        <v>45656</v>
      </c>
      <c r="AD211" s="19"/>
    </row>
    <row r="212" spans="1:30" ht="15.75" customHeight="1" x14ac:dyDescent="0.25">
      <c r="A212" s="10" t="s">
        <v>77</v>
      </c>
      <c r="B212" s="10" t="s">
        <v>86</v>
      </c>
      <c r="C212" s="10" t="s">
        <v>91</v>
      </c>
      <c r="D212" s="10" t="s">
        <v>92</v>
      </c>
      <c r="E212" s="10">
        <v>1143165316</v>
      </c>
      <c r="F212" s="23" t="s">
        <v>17</v>
      </c>
      <c r="G212" s="10" t="s">
        <v>18</v>
      </c>
      <c r="H212" s="10" t="s">
        <v>2563</v>
      </c>
      <c r="I212" s="30">
        <v>45240</v>
      </c>
      <c r="J212" s="10" t="str">
        <f t="shared" ca="1" si="0"/>
        <v xml:space="preserve">2  Años, 9  Mes, 16 Dias </v>
      </c>
      <c r="K212" s="10" t="s">
        <v>113</v>
      </c>
      <c r="L212" s="24"/>
      <c r="M212" s="19" t="str">
        <f t="shared" ca="1" si="31"/>
        <v/>
      </c>
      <c r="N212" s="10" t="s">
        <v>120</v>
      </c>
      <c r="O212" s="10" t="s">
        <v>236</v>
      </c>
      <c r="P212" s="10" t="s">
        <v>142</v>
      </c>
      <c r="Q212" s="18" t="s">
        <v>128</v>
      </c>
      <c r="R212" s="10" t="s">
        <v>133</v>
      </c>
      <c r="S212" s="10" t="s">
        <v>2564</v>
      </c>
      <c r="T212" s="10" t="s">
        <v>136</v>
      </c>
      <c r="U212" s="10">
        <v>3106034870</v>
      </c>
      <c r="V212" s="19"/>
      <c r="W212" s="10" t="s">
        <v>2565</v>
      </c>
      <c r="X212" s="10" t="s">
        <v>136</v>
      </c>
      <c r="Y212" s="10" t="s">
        <v>206</v>
      </c>
      <c r="Z212" s="10" t="s">
        <v>373</v>
      </c>
      <c r="AA212" s="33"/>
      <c r="AB212" s="33"/>
      <c r="AC212" s="35">
        <v>45290</v>
      </c>
      <c r="AD212" s="19"/>
    </row>
    <row r="213" spans="1:30" ht="15.75" customHeight="1" x14ac:dyDescent="0.25">
      <c r="A213" s="10" t="s">
        <v>77</v>
      </c>
      <c r="B213" s="10" t="s">
        <v>86</v>
      </c>
      <c r="C213" s="10" t="s">
        <v>91</v>
      </c>
      <c r="D213" s="10" t="s">
        <v>92</v>
      </c>
      <c r="E213" s="10">
        <v>72310422</v>
      </c>
      <c r="F213" s="23" t="s">
        <v>478</v>
      </c>
      <c r="G213" s="10" t="s">
        <v>26</v>
      </c>
      <c r="H213" s="10" t="s">
        <v>2566</v>
      </c>
      <c r="I213" s="30">
        <v>45279</v>
      </c>
      <c r="J213" s="10" t="str">
        <f t="shared" ca="1" si="0"/>
        <v xml:space="preserve">2  Años, 8  Mes, 7 Dias </v>
      </c>
      <c r="K213" s="10" t="s">
        <v>113</v>
      </c>
      <c r="L213" s="24"/>
      <c r="M213" s="19" t="str">
        <f t="shared" ca="1" si="31"/>
        <v/>
      </c>
      <c r="N213" s="10" t="s">
        <v>120</v>
      </c>
      <c r="O213" s="10" t="s">
        <v>277</v>
      </c>
      <c r="P213" s="10" t="s">
        <v>124</v>
      </c>
      <c r="Q213" s="18" t="s">
        <v>128</v>
      </c>
      <c r="R213" s="10" t="s">
        <v>133</v>
      </c>
      <c r="S213" s="10" t="s">
        <v>2567</v>
      </c>
      <c r="T213" s="10" t="s">
        <v>136</v>
      </c>
      <c r="U213" s="10">
        <v>3001803238</v>
      </c>
      <c r="V213" s="10">
        <v>3001803238</v>
      </c>
      <c r="W213" s="10" t="s">
        <v>2568</v>
      </c>
      <c r="X213" s="10" t="s">
        <v>136</v>
      </c>
      <c r="Y213" s="10" t="s">
        <v>791</v>
      </c>
      <c r="Z213" s="10" t="s">
        <v>170</v>
      </c>
      <c r="AA213" s="24"/>
      <c r="AB213" s="24"/>
      <c r="AC213" s="13">
        <v>45370</v>
      </c>
      <c r="AD213" s="24"/>
    </row>
    <row r="214" spans="1:30" ht="15.75" customHeight="1" x14ac:dyDescent="0.25">
      <c r="A214" s="10" t="s">
        <v>77</v>
      </c>
      <c r="B214" s="10" t="s">
        <v>86</v>
      </c>
      <c r="C214" s="10" t="s">
        <v>91</v>
      </c>
      <c r="D214" s="10" t="s">
        <v>92</v>
      </c>
      <c r="E214" s="10">
        <v>72310422</v>
      </c>
      <c r="F214" s="23" t="s">
        <v>2569</v>
      </c>
      <c r="G214" s="10" t="s">
        <v>26</v>
      </c>
      <c r="H214" s="10" t="s">
        <v>2566</v>
      </c>
      <c r="I214" s="13">
        <v>45437</v>
      </c>
      <c r="J214" s="10" t="str">
        <f t="shared" ca="1" si="0"/>
        <v xml:space="preserve">2  Años, 3  Mes, 1 Dias </v>
      </c>
      <c r="K214" s="10" t="s">
        <v>113</v>
      </c>
      <c r="L214" s="24"/>
      <c r="M214" s="19"/>
      <c r="N214" s="10" t="s">
        <v>120</v>
      </c>
      <c r="O214" s="10" t="s">
        <v>122</v>
      </c>
      <c r="P214" s="10" t="s">
        <v>142</v>
      </c>
      <c r="Q214" s="18" t="s">
        <v>128</v>
      </c>
      <c r="R214" s="10" t="s">
        <v>133</v>
      </c>
      <c r="S214" s="10" t="s">
        <v>2570</v>
      </c>
      <c r="T214" s="10" t="s">
        <v>136</v>
      </c>
      <c r="U214" s="10">
        <v>3001803238</v>
      </c>
      <c r="V214" s="19"/>
      <c r="W214" s="40" t="s">
        <v>2571</v>
      </c>
      <c r="X214" s="10" t="s">
        <v>136</v>
      </c>
      <c r="Y214" s="10" t="s">
        <v>673</v>
      </c>
      <c r="Z214" s="10" t="s">
        <v>170</v>
      </c>
      <c r="AA214" s="33"/>
      <c r="AB214" s="33"/>
      <c r="AC214" s="35">
        <v>45656</v>
      </c>
      <c r="AD214" s="19"/>
    </row>
    <row r="215" spans="1:30" ht="15.75" customHeight="1" x14ac:dyDescent="0.25">
      <c r="A215" s="10" t="s">
        <v>77</v>
      </c>
      <c r="B215" s="10" t="s">
        <v>86</v>
      </c>
      <c r="C215" s="10" t="s">
        <v>91</v>
      </c>
      <c r="D215" s="10" t="s">
        <v>92</v>
      </c>
      <c r="E215" s="10">
        <v>1102391038</v>
      </c>
      <c r="F215" s="23" t="s">
        <v>2572</v>
      </c>
      <c r="G215" s="10" t="s">
        <v>26</v>
      </c>
      <c r="H215" s="10" t="s">
        <v>2573</v>
      </c>
      <c r="I215" s="13">
        <v>45432</v>
      </c>
      <c r="J215" s="10" t="str">
        <f t="shared" ca="1" si="0"/>
        <v xml:space="preserve">2  Años, 3  Mes, 6 Dias </v>
      </c>
      <c r="K215" s="10" t="s">
        <v>113</v>
      </c>
      <c r="L215" s="36">
        <v>36357</v>
      </c>
      <c r="M215" s="19"/>
      <c r="N215" s="10" t="s">
        <v>120</v>
      </c>
      <c r="O215" s="10" t="s">
        <v>122</v>
      </c>
      <c r="P215" s="10" t="s">
        <v>142</v>
      </c>
      <c r="Q215" s="18" t="s">
        <v>128</v>
      </c>
      <c r="R215" s="10" t="s">
        <v>133</v>
      </c>
      <c r="S215" s="10" t="s">
        <v>2574</v>
      </c>
      <c r="T215" s="10" t="s">
        <v>136</v>
      </c>
      <c r="U215" s="10">
        <v>3016329192</v>
      </c>
      <c r="V215" s="19"/>
      <c r="W215" s="40" t="s">
        <v>2575</v>
      </c>
      <c r="X215" s="10" t="s">
        <v>136</v>
      </c>
      <c r="Y215" s="37" t="s">
        <v>1401</v>
      </c>
      <c r="Z215" s="10" t="s">
        <v>170</v>
      </c>
      <c r="AA215" s="33"/>
      <c r="AB215" s="33"/>
      <c r="AC215" s="35">
        <v>45656</v>
      </c>
      <c r="AD215" s="19"/>
    </row>
    <row r="216" spans="1:30" ht="15.75" customHeight="1" x14ac:dyDescent="0.25">
      <c r="A216" s="10" t="s">
        <v>77</v>
      </c>
      <c r="B216" s="10" t="s">
        <v>86</v>
      </c>
      <c r="C216" s="10" t="s">
        <v>91</v>
      </c>
      <c r="D216" s="10" t="s">
        <v>92</v>
      </c>
      <c r="E216" s="10">
        <v>1002210123</v>
      </c>
      <c r="F216" s="23" t="s">
        <v>226</v>
      </c>
      <c r="G216" s="10" t="s">
        <v>18</v>
      </c>
      <c r="H216" s="10" t="s">
        <v>2576</v>
      </c>
      <c r="I216" s="13">
        <v>45432</v>
      </c>
      <c r="J216" s="10" t="str">
        <f t="shared" ca="1" si="0"/>
        <v xml:space="preserve">2  Años, 3  Mes, 6 Dias </v>
      </c>
      <c r="K216" s="10" t="s">
        <v>113</v>
      </c>
      <c r="L216" s="36">
        <v>37404</v>
      </c>
      <c r="M216" s="10">
        <v>24</v>
      </c>
      <c r="N216" s="10" t="s">
        <v>120</v>
      </c>
      <c r="O216" s="10" t="s">
        <v>122</v>
      </c>
      <c r="P216" s="10" t="s">
        <v>142</v>
      </c>
      <c r="Q216" s="18" t="s">
        <v>128</v>
      </c>
      <c r="R216" s="10" t="s">
        <v>133</v>
      </c>
      <c r="S216" s="10" t="s">
        <v>2570</v>
      </c>
      <c r="T216" s="10" t="s">
        <v>136</v>
      </c>
      <c r="U216" s="10" t="s">
        <v>2577</v>
      </c>
      <c r="V216" s="19"/>
      <c r="W216" s="40" t="s">
        <v>244</v>
      </c>
      <c r="X216" s="10" t="s">
        <v>136</v>
      </c>
      <c r="Y216" s="37" t="s">
        <v>539</v>
      </c>
      <c r="Z216" s="10" t="s">
        <v>170</v>
      </c>
      <c r="AA216" s="33"/>
      <c r="AB216" s="33"/>
      <c r="AC216" s="35">
        <v>45656</v>
      </c>
      <c r="AD216" s="24"/>
    </row>
    <row r="217" spans="1:30" ht="15.75" customHeight="1" x14ac:dyDescent="0.25">
      <c r="A217" s="10" t="s">
        <v>77</v>
      </c>
      <c r="B217" s="10" t="s">
        <v>86</v>
      </c>
      <c r="C217" s="10" t="s">
        <v>91</v>
      </c>
      <c r="D217" s="10" t="s">
        <v>92</v>
      </c>
      <c r="E217" s="12">
        <v>1002210123</v>
      </c>
      <c r="F217" s="23" t="s">
        <v>226</v>
      </c>
      <c r="G217" s="10" t="s">
        <v>18</v>
      </c>
      <c r="H217" s="17" t="s">
        <v>228</v>
      </c>
      <c r="I217" s="13">
        <v>45831</v>
      </c>
      <c r="J217" s="10" t="str">
        <f t="shared" ca="1" si="0"/>
        <v xml:space="preserve">1  Años, 2  Mes, 3 Dias </v>
      </c>
      <c r="K217" s="12" t="s">
        <v>113</v>
      </c>
      <c r="L217" s="13">
        <v>37404</v>
      </c>
      <c r="M217" s="10">
        <v>22</v>
      </c>
      <c r="N217" s="10" t="s">
        <v>120</v>
      </c>
      <c r="O217" s="10" t="s">
        <v>236</v>
      </c>
      <c r="P217" s="5"/>
      <c r="Q217" s="18" t="s">
        <v>128</v>
      </c>
      <c r="R217" s="10" t="s">
        <v>133</v>
      </c>
      <c r="S217" s="12" t="s">
        <v>240</v>
      </c>
      <c r="T217" s="12" t="s">
        <v>241</v>
      </c>
      <c r="U217" s="12">
        <v>3244933551</v>
      </c>
      <c r="V217" s="5"/>
      <c r="W217" s="12" t="s">
        <v>244</v>
      </c>
      <c r="X217" s="12" t="s">
        <v>136</v>
      </c>
      <c r="Y217" s="5"/>
      <c r="Z217" s="12" t="s">
        <v>72</v>
      </c>
      <c r="AA217" s="31"/>
      <c r="AB217" s="31"/>
      <c r="AC217" s="31"/>
      <c r="AD217" s="10" t="s">
        <v>209</v>
      </c>
    </row>
    <row r="218" spans="1:30" ht="15.75" customHeight="1" x14ac:dyDescent="0.25">
      <c r="A218" s="10" t="s">
        <v>77</v>
      </c>
      <c r="B218" s="10" t="s">
        <v>90</v>
      </c>
      <c r="C218" s="10" t="s">
        <v>175</v>
      </c>
      <c r="D218" s="10" t="s">
        <v>92</v>
      </c>
      <c r="E218" s="12">
        <v>1124073344</v>
      </c>
      <c r="F218" s="23" t="s">
        <v>1994</v>
      </c>
      <c r="G218" s="10" t="s">
        <v>32</v>
      </c>
      <c r="H218" s="10" t="s">
        <v>1998</v>
      </c>
      <c r="I218" s="13">
        <v>45831</v>
      </c>
      <c r="J218" s="10" t="str">
        <f t="shared" ca="1" si="0"/>
        <v xml:space="preserve">1  Años, 2  Mes, 3 Dias </v>
      </c>
      <c r="K218" s="12" t="s">
        <v>113</v>
      </c>
      <c r="L218" s="5"/>
      <c r="M218" s="5"/>
      <c r="N218" s="10" t="s">
        <v>120</v>
      </c>
      <c r="O218" s="10" t="s">
        <v>122</v>
      </c>
      <c r="P218" s="12" t="s">
        <v>142</v>
      </c>
      <c r="Q218" s="18" t="s">
        <v>128</v>
      </c>
      <c r="R218" s="12" t="s">
        <v>133</v>
      </c>
      <c r="S218" s="12" t="s">
        <v>1999</v>
      </c>
      <c r="T218" s="12" t="s">
        <v>151</v>
      </c>
      <c r="U218" s="12">
        <v>3017638303</v>
      </c>
      <c r="V218" s="5"/>
      <c r="W218" s="12" t="s">
        <v>2000</v>
      </c>
      <c r="X218" s="12" t="s">
        <v>136</v>
      </c>
      <c r="Y218" s="12" t="s">
        <v>831</v>
      </c>
      <c r="Z218" s="12" t="s">
        <v>1378</v>
      </c>
      <c r="AA218" s="5"/>
      <c r="AB218" s="5"/>
      <c r="AC218" s="5"/>
      <c r="AD218" s="10" t="s">
        <v>209</v>
      </c>
    </row>
    <row r="219" spans="1:30" ht="15.75" customHeight="1" x14ac:dyDescent="0.25">
      <c r="A219" s="10" t="s">
        <v>77</v>
      </c>
      <c r="B219" s="10" t="s">
        <v>86</v>
      </c>
      <c r="C219" s="10" t="s">
        <v>91</v>
      </c>
      <c r="D219" s="10" t="s">
        <v>92</v>
      </c>
      <c r="E219" s="10">
        <v>72190657</v>
      </c>
      <c r="F219" s="23" t="s">
        <v>2578</v>
      </c>
      <c r="G219" s="10" t="s">
        <v>32</v>
      </c>
      <c r="H219" s="10" t="s">
        <v>2579</v>
      </c>
      <c r="I219" s="13">
        <v>45008</v>
      </c>
      <c r="J219" s="10" t="str">
        <f t="shared" ca="1" si="0"/>
        <v xml:space="preserve">3  Años, 5  Mes, 3 Dias </v>
      </c>
      <c r="K219" s="10" t="s">
        <v>113</v>
      </c>
      <c r="L219" s="19"/>
      <c r="M219" s="19" t="str">
        <f t="shared" ref="M219:M223" ca="1" si="32">IF(L219=0,"", DATEDIF(L219,TODAY(),"y"))</f>
        <v/>
      </c>
      <c r="N219" s="10" t="s">
        <v>120</v>
      </c>
      <c r="O219" s="10" t="s">
        <v>236</v>
      </c>
      <c r="P219" s="10" t="s">
        <v>124</v>
      </c>
      <c r="Q219" s="18" t="s">
        <v>128</v>
      </c>
      <c r="R219" s="10" t="s">
        <v>133</v>
      </c>
      <c r="S219" s="10" t="s">
        <v>2580</v>
      </c>
      <c r="T219" s="10" t="s">
        <v>136</v>
      </c>
      <c r="U219" s="10">
        <v>3135928698</v>
      </c>
      <c r="V219" s="10">
        <v>3135928698</v>
      </c>
      <c r="W219" s="10" t="s">
        <v>2581</v>
      </c>
      <c r="X219" s="10" t="s">
        <v>136</v>
      </c>
      <c r="Y219" s="10" t="s">
        <v>206</v>
      </c>
      <c r="Z219" s="10" t="s">
        <v>373</v>
      </c>
      <c r="AA219" s="19"/>
      <c r="AB219" s="19"/>
      <c r="AC219" s="19"/>
      <c r="AD219" s="10" t="s">
        <v>209</v>
      </c>
    </row>
    <row r="220" spans="1:30" ht="15.75" customHeight="1" x14ac:dyDescent="0.25">
      <c r="A220" s="10" t="s">
        <v>77</v>
      </c>
      <c r="B220" s="10" t="s">
        <v>86</v>
      </c>
      <c r="C220" s="10" t="s">
        <v>91</v>
      </c>
      <c r="D220" s="10" t="s">
        <v>92</v>
      </c>
      <c r="E220" s="10">
        <v>1043848780</v>
      </c>
      <c r="F220" s="23" t="s">
        <v>2582</v>
      </c>
      <c r="G220" s="10" t="s">
        <v>18</v>
      </c>
      <c r="H220" s="10" t="s">
        <v>2583</v>
      </c>
      <c r="I220" s="13">
        <v>45301</v>
      </c>
      <c r="J220" s="10" t="str">
        <f t="shared" ca="1" si="0"/>
        <v xml:space="preserve">2  Años, 7  Mes, 16 Dias </v>
      </c>
      <c r="K220" s="10" t="s">
        <v>113</v>
      </c>
      <c r="L220" s="52">
        <v>35337</v>
      </c>
      <c r="M220" s="10">
        <f t="shared" ca="1" si="32"/>
        <v>29</v>
      </c>
      <c r="N220" s="10" t="s">
        <v>120</v>
      </c>
      <c r="O220" s="10" t="s">
        <v>122</v>
      </c>
      <c r="P220" s="10" t="s">
        <v>142</v>
      </c>
      <c r="Q220" s="18" t="s">
        <v>128</v>
      </c>
      <c r="R220" s="10" t="s">
        <v>133</v>
      </c>
      <c r="S220" s="10" t="s">
        <v>2584</v>
      </c>
      <c r="T220" s="10" t="s">
        <v>2585</v>
      </c>
      <c r="U220" s="10">
        <v>3006883906</v>
      </c>
      <c r="V220" s="19"/>
      <c r="W220" s="10" t="s">
        <v>2586</v>
      </c>
      <c r="X220" s="10" t="s">
        <v>136</v>
      </c>
      <c r="Y220" s="10" t="s">
        <v>169</v>
      </c>
      <c r="Z220" s="10" t="s">
        <v>170</v>
      </c>
      <c r="AA220" s="24"/>
      <c r="AB220" s="24"/>
      <c r="AC220" s="13">
        <v>45369</v>
      </c>
      <c r="AD220" s="24"/>
    </row>
    <row r="221" spans="1:30" ht="15.75" customHeight="1" x14ac:dyDescent="0.25">
      <c r="A221" s="10" t="s">
        <v>77</v>
      </c>
      <c r="B221" s="10" t="s">
        <v>86</v>
      </c>
      <c r="C221" s="10" t="s">
        <v>91</v>
      </c>
      <c r="D221" s="10" t="s">
        <v>92</v>
      </c>
      <c r="E221" s="10">
        <v>72337530</v>
      </c>
      <c r="F221" s="23" t="s">
        <v>477</v>
      </c>
      <c r="G221" s="10" t="s">
        <v>32</v>
      </c>
      <c r="H221" s="10" t="s">
        <v>2587</v>
      </c>
      <c r="I221" s="13">
        <v>45203</v>
      </c>
      <c r="J221" s="10" t="str">
        <f t="shared" ca="1" si="0"/>
        <v xml:space="preserve">2  Años, 10  Mes, 22 Dias </v>
      </c>
      <c r="K221" s="10" t="s">
        <v>113</v>
      </c>
      <c r="L221" s="19"/>
      <c r="M221" s="19" t="str">
        <f t="shared" ca="1" si="32"/>
        <v/>
      </c>
      <c r="N221" s="10" t="s">
        <v>120</v>
      </c>
      <c r="O221" s="10" t="s">
        <v>122</v>
      </c>
      <c r="P221" s="10" t="s">
        <v>124</v>
      </c>
      <c r="Q221" s="18" t="s">
        <v>128</v>
      </c>
      <c r="R221" s="10" t="s">
        <v>133</v>
      </c>
      <c r="S221" s="10" t="s">
        <v>2588</v>
      </c>
      <c r="T221" s="10" t="s">
        <v>136</v>
      </c>
      <c r="U221" s="10">
        <v>3004529631</v>
      </c>
      <c r="V221" s="10">
        <v>3004529631</v>
      </c>
      <c r="W221" s="10" t="s">
        <v>2589</v>
      </c>
      <c r="X221" s="10" t="s">
        <v>136</v>
      </c>
      <c r="Y221" s="10" t="s">
        <v>206</v>
      </c>
      <c r="Z221" s="10" t="s">
        <v>255</v>
      </c>
      <c r="AA221" s="33"/>
      <c r="AB221" s="33"/>
      <c r="AC221" s="35">
        <v>45290</v>
      </c>
      <c r="AD221" s="19"/>
    </row>
    <row r="222" spans="1:30" ht="15.75" customHeight="1" x14ac:dyDescent="0.25">
      <c r="A222" s="10" t="s">
        <v>77</v>
      </c>
      <c r="B222" s="10" t="s">
        <v>86</v>
      </c>
      <c r="C222" s="10" t="s">
        <v>91</v>
      </c>
      <c r="D222" s="10" t="s">
        <v>92</v>
      </c>
      <c r="E222" s="10">
        <v>1143240889</v>
      </c>
      <c r="F222" s="23" t="s">
        <v>2590</v>
      </c>
      <c r="G222" s="10" t="s">
        <v>32</v>
      </c>
      <c r="H222" s="10" t="s">
        <v>2591</v>
      </c>
      <c r="I222" s="13">
        <v>45121</v>
      </c>
      <c r="J222" s="10" t="str">
        <f t="shared" ca="1" si="0"/>
        <v xml:space="preserve">3  Años, 1  Mes, 12 Dias </v>
      </c>
      <c r="K222" s="10" t="s">
        <v>113</v>
      </c>
      <c r="L222" s="19"/>
      <c r="M222" s="19" t="str">
        <f t="shared" ca="1" si="32"/>
        <v/>
      </c>
      <c r="N222" s="10" t="s">
        <v>120</v>
      </c>
      <c r="O222" s="10" t="s">
        <v>122</v>
      </c>
      <c r="P222" s="10" t="s">
        <v>142</v>
      </c>
      <c r="Q222" s="18" t="s">
        <v>128</v>
      </c>
      <c r="R222" s="10" t="s">
        <v>133</v>
      </c>
      <c r="S222" s="10" t="s">
        <v>2592</v>
      </c>
      <c r="T222" s="10" t="s">
        <v>136</v>
      </c>
      <c r="U222" s="10">
        <v>3023558365</v>
      </c>
      <c r="V222" s="10">
        <v>3023558365</v>
      </c>
      <c r="W222" s="10" t="s">
        <v>2593</v>
      </c>
      <c r="X222" s="10" t="s">
        <v>136</v>
      </c>
      <c r="Y222" s="10" t="s">
        <v>1299</v>
      </c>
      <c r="Z222" s="10" t="s">
        <v>170</v>
      </c>
      <c r="AA222" s="24"/>
      <c r="AB222" s="24"/>
      <c r="AC222" s="13" t="s">
        <v>2594</v>
      </c>
      <c r="AD222" s="24"/>
    </row>
    <row r="223" spans="1:30" ht="15.75" customHeight="1" x14ac:dyDescent="0.25">
      <c r="A223" s="10" t="s">
        <v>77</v>
      </c>
      <c r="B223" s="10" t="s">
        <v>90</v>
      </c>
      <c r="C223" s="10" t="s">
        <v>175</v>
      </c>
      <c r="D223" s="10" t="s">
        <v>92</v>
      </c>
      <c r="E223" s="10">
        <v>1042971540</v>
      </c>
      <c r="F223" s="23" t="s">
        <v>474</v>
      </c>
      <c r="G223" s="10" t="s">
        <v>26</v>
      </c>
      <c r="H223" s="10" t="s">
        <v>1178</v>
      </c>
      <c r="I223" s="13">
        <v>45831</v>
      </c>
      <c r="J223" s="10" t="str">
        <f t="shared" ca="1" si="0"/>
        <v xml:space="preserve">1  Años, 2  Mes, 3 Dias </v>
      </c>
      <c r="K223" s="10" t="s">
        <v>113</v>
      </c>
      <c r="L223" s="24"/>
      <c r="M223" s="19" t="str">
        <f t="shared" ca="1" si="32"/>
        <v/>
      </c>
      <c r="N223" s="10" t="s">
        <v>120</v>
      </c>
      <c r="O223" s="10" t="s">
        <v>122</v>
      </c>
      <c r="P223" s="10" t="s">
        <v>142</v>
      </c>
      <c r="Q223" s="18" t="s">
        <v>128</v>
      </c>
      <c r="R223" s="10" t="s">
        <v>133</v>
      </c>
      <c r="S223" s="10" t="s">
        <v>1180</v>
      </c>
      <c r="T223" s="10" t="s">
        <v>136</v>
      </c>
      <c r="U223" s="10">
        <v>3007858292</v>
      </c>
      <c r="V223" s="19"/>
      <c r="W223" s="10" t="s">
        <v>1182</v>
      </c>
      <c r="X223" s="10" t="s">
        <v>136</v>
      </c>
      <c r="Y223" s="10" t="s">
        <v>203</v>
      </c>
      <c r="Z223" s="10" t="s">
        <v>170</v>
      </c>
      <c r="AA223" s="19"/>
      <c r="AB223" s="19"/>
      <c r="AC223" s="24"/>
      <c r="AD223" s="10" t="s">
        <v>209</v>
      </c>
    </row>
    <row r="224" spans="1:30" ht="15.75" customHeight="1" x14ac:dyDescent="0.25">
      <c r="A224" s="10" t="s">
        <v>77</v>
      </c>
      <c r="B224" s="10" t="s">
        <v>86</v>
      </c>
      <c r="C224" s="10" t="s">
        <v>91</v>
      </c>
      <c r="D224" s="10" t="s">
        <v>92</v>
      </c>
      <c r="E224" s="12">
        <v>1099960432</v>
      </c>
      <c r="F224" s="23" t="s">
        <v>2595</v>
      </c>
      <c r="G224" s="10" t="s">
        <v>26</v>
      </c>
      <c r="H224" s="17" t="s">
        <v>2596</v>
      </c>
      <c r="I224" s="13">
        <v>45831</v>
      </c>
      <c r="J224" s="10" t="str">
        <f t="shared" ca="1" si="0"/>
        <v xml:space="preserve">1  Años, 2  Mes, 3 Dias </v>
      </c>
      <c r="K224" s="12" t="s">
        <v>113</v>
      </c>
      <c r="L224" s="13">
        <v>31327</v>
      </c>
      <c r="M224" s="10">
        <v>39</v>
      </c>
      <c r="N224" s="10" t="s">
        <v>120</v>
      </c>
      <c r="O224" s="10" t="s">
        <v>236</v>
      </c>
      <c r="P224" s="12" t="s">
        <v>124</v>
      </c>
      <c r="Q224" s="18" t="s">
        <v>128</v>
      </c>
      <c r="R224" s="10" t="s">
        <v>133</v>
      </c>
      <c r="S224" s="12" t="s">
        <v>2597</v>
      </c>
      <c r="T224" s="12" t="s">
        <v>2598</v>
      </c>
      <c r="U224" s="12">
        <v>3242033029</v>
      </c>
      <c r="V224" s="5"/>
      <c r="W224" s="12" t="s">
        <v>2599</v>
      </c>
      <c r="X224" s="12" t="s">
        <v>136</v>
      </c>
      <c r="Y224" s="12" t="s">
        <v>539</v>
      </c>
      <c r="Z224" s="12" t="s">
        <v>170</v>
      </c>
      <c r="AA224" s="5"/>
      <c r="AB224" s="5"/>
      <c r="AC224" s="16">
        <v>45874</v>
      </c>
      <c r="AD224" s="10" t="s">
        <v>209</v>
      </c>
    </row>
    <row r="225" spans="1:30" x14ac:dyDescent="0.25">
      <c r="A225" s="10" t="s">
        <v>77</v>
      </c>
      <c r="B225" s="10" t="s">
        <v>86</v>
      </c>
      <c r="C225" s="10" t="s">
        <v>91</v>
      </c>
      <c r="D225" s="10" t="s">
        <v>92</v>
      </c>
      <c r="E225" s="10">
        <v>8527244</v>
      </c>
      <c r="F225" s="23" t="s">
        <v>1217</v>
      </c>
      <c r="G225" s="10" t="s">
        <v>26</v>
      </c>
      <c r="H225" s="10" t="s">
        <v>2600</v>
      </c>
      <c r="I225" s="13">
        <v>45497</v>
      </c>
      <c r="J225" s="10" t="str">
        <f t="shared" ca="1" si="0"/>
        <v xml:space="preserve">2  Años, 1  Mes, 2 Dias </v>
      </c>
      <c r="K225" s="10" t="s">
        <v>113</v>
      </c>
      <c r="L225" s="19"/>
      <c r="M225" s="19"/>
      <c r="N225" s="10" t="s">
        <v>120</v>
      </c>
      <c r="O225" s="10" t="s">
        <v>122</v>
      </c>
      <c r="P225" s="10" t="s">
        <v>142</v>
      </c>
      <c r="Q225" s="18" t="s">
        <v>128</v>
      </c>
      <c r="R225" s="10" t="s">
        <v>133</v>
      </c>
      <c r="S225" s="10" t="s">
        <v>2601</v>
      </c>
      <c r="T225" s="10" t="s">
        <v>136</v>
      </c>
      <c r="U225" s="10">
        <v>3225425657</v>
      </c>
      <c r="V225" s="19"/>
      <c r="W225" s="40" t="s">
        <v>2602</v>
      </c>
      <c r="X225" s="10" t="s">
        <v>136</v>
      </c>
      <c r="Y225" s="10" t="s">
        <v>155</v>
      </c>
      <c r="Z225" s="10" t="s">
        <v>170</v>
      </c>
      <c r="AA225" s="33"/>
      <c r="AB225" s="33"/>
      <c r="AC225" s="35">
        <v>45656</v>
      </c>
      <c r="AD225" s="19"/>
    </row>
    <row r="226" spans="1:30" ht="15.75" customHeight="1" x14ac:dyDescent="0.25">
      <c r="A226" s="10" t="s">
        <v>77</v>
      </c>
      <c r="B226" s="10" t="s">
        <v>86</v>
      </c>
      <c r="C226" s="10" t="s">
        <v>91</v>
      </c>
      <c r="D226" s="10" t="s">
        <v>92</v>
      </c>
      <c r="E226" s="10">
        <v>8649075</v>
      </c>
      <c r="F226" s="23" t="s">
        <v>2603</v>
      </c>
      <c r="G226" s="10" t="s">
        <v>32</v>
      </c>
      <c r="H226" s="10" t="s">
        <v>2604</v>
      </c>
      <c r="I226" s="13">
        <v>45233</v>
      </c>
      <c r="J226" s="10" t="str">
        <f t="shared" ca="1" si="0"/>
        <v xml:space="preserve">2  Años, 9  Mes, 23 Dias </v>
      </c>
      <c r="K226" s="10" t="s">
        <v>113</v>
      </c>
      <c r="L226" s="19"/>
      <c r="M226" s="19" t="str">
        <f t="shared" ref="M226:M233" ca="1" si="33">IF(L226=0,"", DATEDIF(L226,TODAY(),"y"))</f>
        <v/>
      </c>
      <c r="N226" s="10" t="s">
        <v>120</v>
      </c>
      <c r="O226" s="10" t="s">
        <v>122</v>
      </c>
      <c r="P226" s="10" t="s">
        <v>124</v>
      </c>
      <c r="Q226" s="18" t="s">
        <v>128</v>
      </c>
      <c r="R226" s="10" t="s">
        <v>133</v>
      </c>
      <c r="S226" s="10" t="s">
        <v>2605</v>
      </c>
      <c r="T226" s="10" t="s">
        <v>136</v>
      </c>
      <c r="U226" s="10">
        <v>3204246933</v>
      </c>
      <c r="V226" s="19"/>
      <c r="W226" s="10" t="s">
        <v>2606</v>
      </c>
      <c r="X226" s="10" t="s">
        <v>136</v>
      </c>
      <c r="Y226" s="10" t="s">
        <v>203</v>
      </c>
      <c r="Z226" s="10" t="s">
        <v>170</v>
      </c>
      <c r="AA226" s="24"/>
      <c r="AB226" s="24"/>
      <c r="AC226" s="13">
        <v>45366</v>
      </c>
      <c r="AD226" s="24"/>
    </row>
    <row r="227" spans="1:30" ht="15.75" customHeight="1" x14ac:dyDescent="0.25">
      <c r="A227" s="10" t="s">
        <v>160</v>
      </c>
      <c r="B227" s="10" t="s">
        <v>86</v>
      </c>
      <c r="C227" s="10" t="s">
        <v>91</v>
      </c>
      <c r="D227" s="10" t="s">
        <v>92</v>
      </c>
      <c r="E227" s="10">
        <v>1103106520</v>
      </c>
      <c r="F227" s="23" t="s">
        <v>422</v>
      </c>
      <c r="G227" s="10" t="s">
        <v>424</v>
      </c>
      <c r="H227" s="19"/>
      <c r="I227" s="13">
        <v>45846</v>
      </c>
      <c r="J227" s="10" t="str">
        <f t="shared" ca="1" si="0"/>
        <v xml:space="preserve">1  Años, 1  Mes, 18 Dias </v>
      </c>
      <c r="K227" s="10" t="s">
        <v>113</v>
      </c>
      <c r="L227" s="13">
        <v>33239</v>
      </c>
      <c r="M227" s="10">
        <f t="shared" ca="1" si="33"/>
        <v>35</v>
      </c>
      <c r="N227" s="10" t="s">
        <v>120</v>
      </c>
      <c r="O227" s="10" t="s">
        <v>236</v>
      </c>
      <c r="P227" s="10" t="s">
        <v>142</v>
      </c>
      <c r="Q227" s="18" t="s">
        <v>128</v>
      </c>
      <c r="R227" s="10" t="s">
        <v>133</v>
      </c>
      <c r="S227" s="19"/>
      <c r="T227" s="10" t="s">
        <v>136</v>
      </c>
      <c r="U227" s="10">
        <v>3005094131</v>
      </c>
      <c r="V227" s="19"/>
      <c r="W227" s="10" t="s">
        <v>433</v>
      </c>
      <c r="X227" s="10" t="s">
        <v>136</v>
      </c>
      <c r="Y227" s="10" t="s">
        <v>169</v>
      </c>
      <c r="Z227" s="10" t="s">
        <v>216</v>
      </c>
      <c r="AA227" s="30">
        <v>11144420081</v>
      </c>
      <c r="AB227" s="30" t="s">
        <v>393</v>
      </c>
      <c r="AC227" s="24"/>
      <c r="AD227" s="10" t="s">
        <v>209</v>
      </c>
    </row>
    <row r="228" spans="1:30" ht="15.75" customHeight="1" x14ac:dyDescent="0.25">
      <c r="A228" s="10" t="s">
        <v>77</v>
      </c>
      <c r="B228" s="10" t="s">
        <v>90</v>
      </c>
      <c r="C228" s="10" t="s">
        <v>91</v>
      </c>
      <c r="D228" s="10" t="s">
        <v>92</v>
      </c>
      <c r="E228" s="12">
        <v>8527244</v>
      </c>
      <c r="F228" s="15" t="s">
        <v>1217</v>
      </c>
      <c r="G228" s="10" t="s">
        <v>26</v>
      </c>
      <c r="H228" s="10" t="s">
        <v>1219</v>
      </c>
      <c r="I228" s="16">
        <v>45885</v>
      </c>
      <c r="J228" s="10" t="str">
        <f t="shared" ca="1" si="0"/>
        <v xml:space="preserve">1  Años, 0  Mes, 10 Dias </v>
      </c>
      <c r="K228" s="12" t="s">
        <v>113</v>
      </c>
      <c r="L228" s="53">
        <v>30753</v>
      </c>
      <c r="M228" s="10">
        <f t="shared" ca="1" si="33"/>
        <v>42</v>
      </c>
      <c r="N228" s="10" t="s">
        <v>120</v>
      </c>
      <c r="O228" s="10" t="s">
        <v>277</v>
      </c>
      <c r="P228" s="5"/>
      <c r="Q228" s="18" t="s">
        <v>128</v>
      </c>
      <c r="R228" s="10" t="s">
        <v>133</v>
      </c>
      <c r="S228" s="12" t="s">
        <v>1224</v>
      </c>
      <c r="T228" s="12" t="s">
        <v>1225</v>
      </c>
      <c r="U228" s="12">
        <v>3225425657</v>
      </c>
      <c r="V228" s="5"/>
      <c r="W228" s="5"/>
      <c r="X228" s="10" t="s">
        <v>136</v>
      </c>
      <c r="Y228" s="5"/>
      <c r="Z228" s="5"/>
      <c r="AA228" s="5"/>
      <c r="AB228" s="5"/>
      <c r="AC228" s="5"/>
      <c r="AD228" s="10" t="s">
        <v>209</v>
      </c>
    </row>
    <row r="229" spans="1:30" ht="15.75" customHeight="1" x14ac:dyDescent="0.25">
      <c r="A229" s="10" t="s">
        <v>77</v>
      </c>
      <c r="B229" s="10" t="s">
        <v>90</v>
      </c>
      <c r="C229" s="10" t="s">
        <v>175</v>
      </c>
      <c r="D229" s="10" t="s">
        <v>92</v>
      </c>
      <c r="E229" s="10">
        <v>1143253528</v>
      </c>
      <c r="F229" s="23" t="s">
        <v>273</v>
      </c>
      <c r="G229" s="10" t="s">
        <v>11</v>
      </c>
      <c r="H229" s="10" t="s">
        <v>970</v>
      </c>
      <c r="I229" s="13">
        <v>45831</v>
      </c>
      <c r="J229" s="10" t="str">
        <f t="shared" ca="1" si="0"/>
        <v xml:space="preserve">1  Años, 2  Mes, 3 Dias </v>
      </c>
      <c r="K229" s="10" t="s">
        <v>113</v>
      </c>
      <c r="L229" s="24"/>
      <c r="M229" s="19" t="str">
        <f t="shared" ca="1" si="33"/>
        <v/>
      </c>
      <c r="N229" s="10" t="s">
        <v>120</v>
      </c>
      <c r="O229" s="10" t="s">
        <v>122</v>
      </c>
      <c r="P229" s="10" t="s">
        <v>210</v>
      </c>
      <c r="Q229" s="18" t="s">
        <v>128</v>
      </c>
      <c r="R229" s="10" t="s">
        <v>133</v>
      </c>
      <c r="S229" s="10" t="s">
        <v>974</v>
      </c>
      <c r="T229" s="10" t="s">
        <v>136</v>
      </c>
      <c r="U229" s="10">
        <v>3157732891</v>
      </c>
      <c r="V229" s="19"/>
      <c r="W229" s="29" t="s">
        <v>975</v>
      </c>
      <c r="X229" s="10" t="s">
        <v>136</v>
      </c>
      <c r="Y229" s="10" t="s">
        <v>203</v>
      </c>
      <c r="Z229" s="10" t="s">
        <v>170</v>
      </c>
      <c r="AA229" s="19"/>
      <c r="AB229" s="19"/>
      <c r="AC229" s="24"/>
      <c r="AD229" s="10" t="s">
        <v>209</v>
      </c>
    </row>
    <row r="230" spans="1:30" ht="15.75" customHeight="1" x14ac:dyDescent="0.25">
      <c r="A230" s="10" t="s">
        <v>77</v>
      </c>
      <c r="B230" s="10" t="s">
        <v>86</v>
      </c>
      <c r="C230" s="10" t="s">
        <v>91</v>
      </c>
      <c r="D230" s="10" t="s">
        <v>92</v>
      </c>
      <c r="E230" s="10">
        <v>9196036</v>
      </c>
      <c r="F230" s="23" t="s">
        <v>462</v>
      </c>
      <c r="G230" s="10" t="s">
        <v>18</v>
      </c>
      <c r="H230" s="10" t="s">
        <v>2113</v>
      </c>
      <c r="I230" s="13">
        <v>44843</v>
      </c>
      <c r="J230" s="10" t="str">
        <f t="shared" ca="1" si="0"/>
        <v xml:space="preserve">3  Años, 10  Mes, 17 Dias </v>
      </c>
      <c r="K230" s="10" t="s">
        <v>113</v>
      </c>
      <c r="L230" s="19"/>
      <c r="M230" s="19" t="str">
        <f t="shared" ca="1" si="33"/>
        <v/>
      </c>
      <c r="N230" s="10" t="s">
        <v>120</v>
      </c>
      <c r="O230" s="10" t="s">
        <v>122</v>
      </c>
      <c r="P230" s="10" t="s">
        <v>124</v>
      </c>
      <c r="Q230" s="18" t="s">
        <v>128</v>
      </c>
      <c r="R230" s="10" t="s">
        <v>133</v>
      </c>
      <c r="S230" s="10" t="s">
        <v>2607</v>
      </c>
      <c r="T230" s="10" t="s">
        <v>136</v>
      </c>
      <c r="U230" s="10">
        <v>3016441893</v>
      </c>
      <c r="V230" s="19"/>
      <c r="W230" s="10" t="s">
        <v>2608</v>
      </c>
      <c r="X230" s="10" t="s">
        <v>136</v>
      </c>
      <c r="Y230" s="10" t="s">
        <v>206</v>
      </c>
      <c r="Z230" s="10" t="s">
        <v>216</v>
      </c>
      <c r="AA230" s="24"/>
      <c r="AB230" s="24"/>
      <c r="AC230" s="13">
        <v>45346</v>
      </c>
      <c r="AD230" s="10" t="s">
        <v>209</v>
      </c>
    </row>
    <row r="231" spans="1:30" ht="15.75" customHeight="1" x14ac:dyDescent="0.25">
      <c r="A231" s="10" t="s">
        <v>77</v>
      </c>
      <c r="B231" s="10" t="s">
        <v>86</v>
      </c>
      <c r="C231" s="10" t="s">
        <v>91</v>
      </c>
      <c r="D231" s="10" t="s">
        <v>92</v>
      </c>
      <c r="E231" s="10">
        <v>1042424991</v>
      </c>
      <c r="F231" s="23" t="s">
        <v>460</v>
      </c>
      <c r="G231" s="10" t="s">
        <v>11</v>
      </c>
      <c r="H231" s="10" t="s">
        <v>2609</v>
      </c>
      <c r="I231" s="30">
        <v>45251</v>
      </c>
      <c r="J231" s="10" t="str">
        <f t="shared" ca="1" si="0"/>
        <v xml:space="preserve">2  Años, 9  Mes, 5 Dias </v>
      </c>
      <c r="K231" s="10" t="s">
        <v>113</v>
      </c>
      <c r="L231" s="19"/>
      <c r="M231" s="19" t="str">
        <f t="shared" ca="1" si="33"/>
        <v/>
      </c>
      <c r="N231" s="10" t="s">
        <v>120</v>
      </c>
      <c r="O231" s="10" t="s">
        <v>122</v>
      </c>
      <c r="P231" s="10" t="s">
        <v>142</v>
      </c>
      <c r="Q231" s="18" t="s">
        <v>128</v>
      </c>
      <c r="R231" s="10" t="s">
        <v>133</v>
      </c>
      <c r="S231" s="10" t="s">
        <v>2610</v>
      </c>
      <c r="T231" s="10" t="s">
        <v>151</v>
      </c>
      <c r="U231" s="10">
        <v>3052270327</v>
      </c>
      <c r="V231" s="10">
        <v>3052270327</v>
      </c>
      <c r="W231" s="10" t="s">
        <v>2611</v>
      </c>
      <c r="X231" s="10" t="s">
        <v>136</v>
      </c>
      <c r="Y231" s="10" t="s">
        <v>203</v>
      </c>
      <c r="Z231" s="10" t="s">
        <v>216</v>
      </c>
      <c r="AA231" s="33"/>
      <c r="AB231" s="33"/>
      <c r="AC231" s="35">
        <v>45290</v>
      </c>
      <c r="AD231" s="19"/>
    </row>
    <row r="232" spans="1:30" ht="15.75" customHeight="1" x14ac:dyDescent="0.25">
      <c r="A232" s="10" t="s">
        <v>77</v>
      </c>
      <c r="B232" s="10" t="s">
        <v>90</v>
      </c>
      <c r="C232" s="10" t="s">
        <v>175</v>
      </c>
      <c r="D232" s="10" t="s">
        <v>92</v>
      </c>
      <c r="E232" s="10">
        <v>1045712196</v>
      </c>
      <c r="F232" s="23" t="s">
        <v>588</v>
      </c>
      <c r="G232" s="10" t="s">
        <v>11</v>
      </c>
      <c r="H232" s="10" t="s">
        <v>2612</v>
      </c>
      <c r="I232" s="13">
        <v>45831</v>
      </c>
      <c r="J232" s="10" t="str">
        <f t="shared" ca="1" si="0"/>
        <v xml:space="preserve">1  Años, 2  Mes, 3 Dias </v>
      </c>
      <c r="K232" s="10" t="s">
        <v>113</v>
      </c>
      <c r="L232" s="24"/>
      <c r="M232" s="19" t="str">
        <f t="shared" ca="1" si="33"/>
        <v/>
      </c>
      <c r="N232" s="10" t="s">
        <v>120</v>
      </c>
      <c r="O232" s="10" t="s">
        <v>122</v>
      </c>
      <c r="P232" s="10" t="s">
        <v>142</v>
      </c>
      <c r="Q232" s="18" t="s">
        <v>128</v>
      </c>
      <c r="R232" s="10" t="s">
        <v>133</v>
      </c>
      <c r="S232" s="10" t="s">
        <v>984</v>
      </c>
      <c r="T232" s="10" t="s">
        <v>136</v>
      </c>
      <c r="U232" s="10">
        <v>3004435026</v>
      </c>
      <c r="V232" s="19"/>
      <c r="W232" s="10" t="s">
        <v>985</v>
      </c>
      <c r="X232" s="10" t="s">
        <v>136</v>
      </c>
      <c r="Y232" s="10" t="s">
        <v>253</v>
      </c>
      <c r="Z232" s="10" t="s">
        <v>170</v>
      </c>
      <c r="AA232" s="24"/>
      <c r="AB232" s="24"/>
      <c r="AC232" s="24"/>
      <c r="AD232" s="10" t="s">
        <v>209</v>
      </c>
    </row>
    <row r="233" spans="1:30" ht="15.75" customHeight="1" x14ac:dyDescent="0.25">
      <c r="A233" s="10" t="s">
        <v>160</v>
      </c>
      <c r="B233" s="10" t="s">
        <v>90</v>
      </c>
      <c r="C233" s="10" t="s">
        <v>175</v>
      </c>
      <c r="D233" s="10" t="s">
        <v>92</v>
      </c>
      <c r="E233" s="12">
        <v>1007950273</v>
      </c>
      <c r="F233" s="23" t="s">
        <v>1852</v>
      </c>
      <c r="G233" s="10" t="s">
        <v>1853</v>
      </c>
      <c r="H233" s="12" t="s">
        <v>1854</v>
      </c>
      <c r="I233" s="13">
        <v>45835</v>
      </c>
      <c r="J233" s="10" t="str">
        <f t="shared" ca="1" si="0"/>
        <v xml:space="preserve">1  Años, 1  Mes, 30 Dias </v>
      </c>
      <c r="K233" s="12" t="s">
        <v>113</v>
      </c>
      <c r="L233" s="16">
        <v>37295</v>
      </c>
      <c r="M233" s="10">
        <f t="shared" ca="1" si="33"/>
        <v>24</v>
      </c>
      <c r="N233" s="10" t="s">
        <v>120</v>
      </c>
      <c r="O233" s="10" t="s">
        <v>236</v>
      </c>
      <c r="P233" s="12" t="s">
        <v>124</v>
      </c>
      <c r="Q233" s="18" t="s">
        <v>128</v>
      </c>
      <c r="R233" s="10" t="s">
        <v>133</v>
      </c>
      <c r="S233" s="12" t="s">
        <v>1858</v>
      </c>
      <c r="T233" s="12" t="s">
        <v>136</v>
      </c>
      <c r="U233" s="12">
        <v>3015104667</v>
      </c>
      <c r="V233" s="5"/>
      <c r="W233" s="12" t="s">
        <v>1859</v>
      </c>
      <c r="X233" s="12" t="s">
        <v>136</v>
      </c>
      <c r="Y233" s="12" t="s">
        <v>169</v>
      </c>
      <c r="Z233" s="12" t="s">
        <v>170</v>
      </c>
      <c r="AA233" s="20"/>
      <c r="AB233" s="20"/>
      <c r="AC233" s="20"/>
      <c r="AD233" s="13" t="s">
        <v>209</v>
      </c>
    </row>
    <row r="234" spans="1:30" ht="15.75" customHeight="1" x14ac:dyDescent="0.25">
      <c r="A234" s="10" t="s">
        <v>77</v>
      </c>
      <c r="B234" s="10" t="s">
        <v>86</v>
      </c>
      <c r="C234" s="10" t="s">
        <v>91</v>
      </c>
      <c r="D234" s="10" t="s">
        <v>92</v>
      </c>
      <c r="E234" s="10">
        <v>1143146361</v>
      </c>
      <c r="F234" s="23" t="s">
        <v>2613</v>
      </c>
      <c r="G234" s="10" t="s">
        <v>26</v>
      </c>
      <c r="H234" s="10" t="s">
        <v>2614</v>
      </c>
      <c r="I234" s="13">
        <v>45467</v>
      </c>
      <c r="J234" s="10" t="str">
        <f t="shared" ca="1" si="0"/>
        <v xml:space="preserve">2  Años, 2  Mes, 2 Dias </v>
      </c>
      <c r="K234" s="10" t="s">
        <v>113</v>
      </c>
      <c r="L234" s="24"/>
      <c r="M234" s="19"/>
      <c r="N234" s="10" t="s">
        <v>120</v>
      </c>
      <c r="O234" s="10" t="s">
        <v>122</v>
      </c>
      <c r="P234" s="10" t="s">
        <v>142</v>
      </c>
      <c r="Q234" s="18" t="s">
        <v>128</v>
      </c>
      <c r="R234" s="10" t="s">
        <v>133</v>
      </c>
      <c r="S234" s="10" t="s">
        <v>2615</v>
      </c>
      <c r="T234" s="10" t="s">
        <v>136</v>
      </c>
      <c r="U234" s="10">
        <v>3003252125</v>
      </c>
      <c r="V234" s="19"/>
      <c r="W234" s="40" t="s">
        <v>2616</v>
      </c>
      <c r="X234" s="10" t="s">
        <v>136</v>
      </c>
      <c r="Y234" s="10" t="s">
        <v>203</v>
      </c>
      <c r="Z234" s="10" t="s">
        <v>170</v>
      </c>
      <c r="AA234" s="24"/>
      <c r="AB234" s="24"/>
      <c r="AC234" s="13">
        <v>45702</v>
      </c>
      <c r="AD234" s="13" t="s">
        <v>148</v>
      </c>
    </row>
    <row r="235" spans="1:30" ht="15.75" customHeight="1" x14ac:dyDescent="0.25">
      <c r="A235" s="10" t="s">
        <v>77</v>
      </c>
      <c r="B235" s="10" t="s">
        <v>90</v>
      </c>
      <c r="C235" s="10" t="s">
        <v>175</v>
      </c>
      <c r="D235" s="10" t="s">
        <v>92</v>
      </c>
      <c r="E235" s="10">
        <v>1002343994</v>
      </c>
      <c r="F235" s="23" t="s">
        <v>1987</v>
      </c>
      <c r="G235" s="10" t="s">
        <v>26</v>
      </c>
      <c r="H235" s="10" t="s">
        <v>1988</v>
      </c>
      <c r="I235" s="13">
        <v>45847</v>
      </c>
      <c r="J235" s="10" t="str">
        <f t="shared" ca="1" si="0"/>
        <v xml:space="preserve">1  Años, 1  Mes, 17 Dias </v>
      </c>
      <c r="K235" s="10" t="s">
        <v>113</v>
      </c>
      <c r="L235" s="13">
        <v>35651</v>
      </c>
      <c r="M235" s="10">
        <f ca="1">IF(L235=0,"", DATEDIF(L235,TODAY(),"y"))</f>
        <v>29</v>
      </c>
      <c r="N235" s="10" t="s">
        <v>120</v>
      </c>
      <c r="O235" s="10" t="s">
        <v>122</v>
      </c>
      <c r="P235" s="10" t="s">
        <v>142</v>
      </c>
      <c r="Q235" s="18" t="s">
        <v>128</v>
      </c>
      <c r="R235" s="10" t="s">
        <v>133</v>
      </c>
      <c r="S235" s="19"/>
      <c r="T235" s="10" t="s">
        <v>136</v>
      </c>
      <c r="U235" s="10">
        <v>3015373438</v>
      </c>
      <c r="V235" s="19"/>
      <c r="W235" s="10" t="s">
        <v>1990</v>
      </c>
      <c r="X235" s="10" t="s">
        <v>136</v>
      </c>
      <c r="Y235" s="19"/>
      <c r="Z235" s="19"/>
      <c r="AA235" s="10" t="s">
        <v>1991</v>
      </c>
      <c r="AB235" s="10" t="s">
        <v>1992</v>
      </c>
      <c r="AC235" s="24"/>
      <c r="AD235" s="10" t="s">
        <v>209</v>
      </c>
    </row>
    <row r="236" spans="1:30" ht="15.75" customHeight="1" x14ac:dyDescent="0.25">
      <c r="A236" s="10" t="s">
        <v>160</v>
      </c>
      <c r="B236" s="10" t="s">
        <v>90</v>
      </c>
      <c r="C236" s="10" t="s">
        <v>175</v>
      </c>
      <c r="D236" s="10" t="s">
        <v>92</v>
      </c>
      <c r="E236" s="12">
        <v>1007909011</v>
      </c>
      <c r="F236" s="23" t="s">
        <v>1650</v>
      </c>
      <c r="G236" s="10" t="s">
        <v>1651</v>
      </c>
      <c r="H236" s="10" t="s">
        <v>1652</v>
      </c>
      <c r="I236" s="13">
        <v>45831</v>
      </c>
      <c r="J236" s="10" t="str">
        <f t="shared" ca="1" si="0"/>
        <v xml:space="preserve">1  Años, 2  Mes, 3 Dias </v>
      </c>
      <c r="K236" s="10" t="s">
        <v>113</v>
      </c>
      <c r="L236" s="20"/>
      <c r="M236" s="5"/>
      <c r="N236" s="10" t="s">
        <v>320</v>
      </c>
      <c r="O236" s="10" t="s">
        <v>236</v>
      </c>
      <c r="P236" s="12" t="s">
        <v>142</v>
      </c>
      <c r="Q236" s="18" t="s">
        <v>128</v>
      </c>
      <c r="R236" s="10" t="s">
        <v>133</v>
      </c>
      <c r="S236" s="12" t="s">
        <v>1657</v>
      </c>
      <c r="T236" s="10" t="s">
        <v>136</v>
      </c>
      <c r="U236" s="10">
        <v>3005585753</v>
      </c>
      <c r="V236" s="5"/>
      <c r="W236" s="62" t="s">
        <v>2617</v>
      </c>
      <c r="X236" s="10" t="s">
        <v>136</v>
      </c>
      <c r="Y236" s="12" t="s">
        <v>215</v>
      </c>
      <c r="Z236" s="12" t="s">
        <v>288</v>
      </c>
      <c r="AA236" s="5"/>
      <c r="AB236" s="5"/>
      <c r="AC236" s="5"/>
      <c r="AD236" s="10" t="s">
        <v>209</v>
      </c>
    </row>
    <row r="237" spans="1:30" ht="15.75" customHeight="1" x14ac:dyDescent="0.25">
      <c r="A237" s="10" t="s">
        <v>77</v>
      </c>
      <c r="B237" s="10" t="s">
        <v>86</v>
      </c>
      <c r="C237" s="10" t="s">
        <v>91</v>
      </c>
      <c r="D237" s="10" t="s">
        <v>92</v>
      </c>
      <c r="E237" s="10">
        <v>8637359</v>
      </c>
      <c r="F237" s="23" t="s">
        <v>455</v>
      </c>
      <c r="G237" s="10" t="s">
        <v>11</v>
      </c>
      <c r="H237" s="10" t="s">
        <v>2618</v>
      </c>
      <c r="I237" s="30">
        <v>45279</v>
      </c>
      <c r="J237" s="10" t="str">
        <f t="shared" ca="1" si="0"/>
        <v xml:space="preserve">2  Años, 8  Mes, 7 Dias </v>
      </c>
      <c r="K237" s="10" t="s">
        <v>113</v>
      </c>
      <c r="L237" s="24"/>
      <c r="M237" s="19" t="str">
        <f t="shared" ref="M237:M239" ca="1" si="34">IF(L237=0,"", DATEDIF(L237,TODAY(),"y"))</f>
        <v/>
      </c>
      <c r="N237" s="10" t="s">
        <v>120</v>
      </c>
      <c r="O237" s="10" t="s">
        <v>122</v>
      </c>
      <c r="P237" s="10" t="s">
        <v>142</v>
      </c>
      <c r="Q237" s="18" t="s">
        <v>648</v>
      </c>
      <c r="R237" s="10" t="s">
        <v>133</v>
      </c>
      <c r="S237" s="10" t="s">
        <v>2619</v>
      </c>
      <c r="T237" s="10" t="s">
        <v>136</v>
      </c>
      <c r="U237" s="10">
        <v>3003179946</v>
      </c>
      <c r="V237" s="10">
        <v>3003179946</v>
      </c>
      <c r="W237" s="10" t="s">
        <v>2620</v>
      </c>
      <c r="X237" s="10" t="s">
        <v>136</v>
      </c>
      <c r="Y237" s="10" t="s">
        <v>206</v>
      </c>
      <c r="Z237" s="10" t="s">
        <v>255</v>
      </c>
      <c r="AA237" s="24"/>
      <c r="AB237" s="24"/>
      <c r="AC237" s="13">
        <v>45352</v>
      </c>
      <c r="AD237" s="24"/>
    </row>
    <row r="238" spans="1:30" ht="15.75" customHeight="1" x14ac:dyDescent="0.25">
      <c r="A238" s="10" t="s">
        <v>77</v>
      </c>
      <c r="B238" s="10" t="s">
        <v>86</v>
      </c>
      <c r="C238" s="10" t="s">
        <v>91</v>
      </c>
      <c r="D238" s="10" t="s">
        <v>92</v>
      </c>
      <c r="E238" s="10">
        <v>1048326873</v>
      </c>
      <c r="F238" s="23" t="s">
        <v>2621</v>
      </c>
      <c r="G238" s="10" t="s">
        <v>18</v>
      </c>
      <c r="H238" s="10" t="s">
        <v>2622</v>
      </c>
      <c r="I238" s="13">
        <v>45323</v>
      </c>
      <c r="J238" s="10" t="str">
        <f t="shared" ca="1" si="0"/>
        <v xml:space="preserve">2  Años, 6  Mes, 25 Dias </v>
      </c>
      <c r="K238" s="10" t="s">
        <v>113</v>
      </c>
      <c r="L238" s="13">
        <v>35949</v>
      </c>
      <c r="M238" s="10">
        <f t="shared" ca="1" si="34"/>
        <v>28</v>
      </c>
      <c r="N238" s="10" t="s">
        <v>120</v>
      </c>
      <c r="O238" s="10" t="s">
        <v>122</v>
      </c>
      <c r="P238" s="10" t="s">
        <v>142</v>
      </c>
      <c r="Q238" s="18" t="s">
        <v>128</v>
      </c>
      <c r="R238" s="10" t="s">
        <v>133</v>
      </c>
      <c r="S238" s="10" t="s">
        <v>2623</v>
      </c>
      <c r="T238" s="10" t="s">
        <v>507</v>
      </c>
      <c r="U238" s="10">
        <v>3023959611</v>
      </c>
      <c r="V238" s="19"/>
      <c r="W238" s="40" t="s">
        <v>2624</v>
      </c>
      <c r="X238" s="10" t="s">
        <v>136</v>
      </c>
      <c r="Y238" s="10" t="s">
        <v>539</v>
      </c>
      <c r="Z238" s="10" t="s">
        <v>170</v>
      </c>
      <c r="AA238" s="24"/>
      <c r="AB238" s="24"/>
      <c r="AC238" s="13">
        <v>45378</v>
      </c>
      <c r="AD238" s="24"/>
    </row>
    <row r="239" spans="1:30" ht="15.75" customHeight="1" x14ac:dyDescent="0.25">
      <c r="A239" s="10" t="s">
        <v>77</v>
      </c>
      <c r="B239" s="10" t="s">
        <v>86</v>
      </c>
      <c r="C239" s="10" t="s">
        <v>91</v>
      </c>
      <c r="D239" s="10" t="s">
        <v>92</v>
      </c>
      <c r="E239" s="10">
        <v>1042451391</v>
      </c>
      <c r="F239" s="23" t="s">
        <v>452</v>
      </c>
      <c r="G239" s="10" t="s">
        <v>18</v>
      </c>
      <c r="H239" s="10" t="s">
        <v>2625</v>
      </c>
      <c r="I239" s="13">
        <v>45831</v>
      </c>
      <c r="J239" s="10" t="str">
        <f t="shared" ca="1" si="0"/>
        <v xml:space="preserve">1  Años, 2  Mes, 3 Dias </v>
      </c>
      <c r="K239" s="10" t="s">
        <v>113</v>
      </c>
      <c r="L239" s="24"/>
      <c r="M239" s="19" t="str">
        <f t="shared" ca="1" si="34"/>
        <v/>
      </c>
      <c r="N239" s="10" t="s">
        <v>120</v>
      </c>
      <c r="O239" s="10" t="s">
        <v>236</v>
      </c>
      <c r="P239" s="10" t="s">
        <v>142</v>
      </c>
      <c r="Q239" s="18" t="s">
        <v>648</v>
      </c>
      <c r="R239" s="10" t="s">
        <v>133</v>
      </c>
      <c r="S239" s="10" t="s">
        <v>2626</v>
      </c>
      <c r="T239" s="10" t="s">
        <v>136</v>
      </c>
      <c r="U239" s="10">
        <v>3245382100</v>
      </c>
      <c r="V239" s="10">
        <v>3245382100</v>
      </c>
      <c r="W239" s="10" t="s">
        <v>2627</v>
      </c>
      <c r="X239" s="10" t="s">
        <v>136</v>
      </c>
      <c r="Y239" s="10" t="s">
        <v>203</v>
      </c>
      <c r="Z239" s="10" t="s">
        <v>216</v>
      </c>
      <c r="AA239" s="24"/>
      <c r="AB239" s="24"/>
      <c r="AC239" s="13">
        <v>45880</v>
      </c>
      <c r="AD239" s="13" t="s">
        <v>209</v>
      </c>
    </row>
    <row r="240" spans="1:30" ht="15.75" customHeight="1" x14ac:dyDescent="0.25">
      <c r="A240" s="10" t="s">
        <v>160</v>
      </c>
      <c r="B240" s="10" t="s">
        <v>86</v>
      </c>
      <c r="C240" s="10" t="s">
        <v>91</v>
      </c>
      <c r="D240" s="10" t="s">
        <v>92</v>
      </c>
      <c r="E240" s="10">
        <v>1129572618</v>
      </c>
      <c r="F240" s="23" t="s">
        <v>2628</v>
      </c>
      <c r="G240" s="10" t="s">
        <v>2629</v>
      </c>
      <c r="H240" s="10" t="s">
        <v>2630</v>
      </c>
      <c r="I240" s="13">
        <v>44843</v>
      </c>
      <c r="J240" s="10" t="str">
        <f t="shared" ca="1" si="0"/>
        <v xml:space="preserve">3  Años, 10  Mes, 17 Dias </v>
      </c>
      <c r="K240" s="10" t="s">
        <v>113</v>
      </c>
      <c r="L240" s="36">
        <v>31596</v>
      </c>
      <c r="M240" s="10">
        <v>38</v>
      </c>
      <c r="N240" s="10" t="s">
        <v>120</v>
      </c>
      <c r="O240" s="10" t="s">
        <v>277</v>
      </c>
      <c r="P240" s="10" t="s">
        <v>142</v>
      </c>
      <c r="Q240" s="18" t="s">
        <v>128</v>
      </c>
      <c r="R240" s="10" t="s">
        <v>133</v>
      </c>
      <c r="S240" s="10" t="s">
        <v>2631</v>
      </c>
      <c r="T240" s="10" t="s">
        <v>151</v>
      </c>
      <c r="U240" s="10">
        <v>3164933099</v>
      </c>
      <c r="V240" s="19"/>
      <c r="W240" s="109" t="s">
        <v>2632</v>
      </c>
      <c r="X240" s="10" t="s">
        <v>136</v>
      </c>
      <c r="Y240" s="10" t="s">
        <v>215</v>
      </c>
      <c r="Z240" s="10" t="s">
        <v>170</v>
      </c>
      <c r="AA240" s="63"/>
      <c r="AB240" s="63"/>
      <c r="AC240" s="63"/>
      <c r="AD240" s="10" t="s">
        <v>209</v>
      </c>
    </row>
    <row r="241" spans="1:30" ht="15.75" customHeight="1" x14ac:dyDescent="0.25">
      <c r="A241" s="10" t="s">
        <v>77</v>
      </c>
      <c r="B241" s="10" t="s">
        <v>86</v>
      </c>
      <c r="C241" s="10" t="s">
        <v>91</v>
      </c>
      <c r="D241" s="10" t="s">
        <v>92</v>
      </c>
      <c r="E241" s="10">
        <v>72001772</v>
      </c>
      <c r="F241" s="23" t="s">
        <v>2633</v>
      </c>
      <c r="G241" s="10" t="s">
        <v>26</v>
      </c>
      <c r="H241" s="10" t="s">
        <v>2634</v>
      </c>
      <c r="I241" s="13">
        <v>45426</v>
      </c>
      <c r="J241" s="10" t="str">
        <f t="shared" ca="1" si="0"/>
        <v xml:space="preserve">2  Años, 3  Mes, 12 Dias </v>
      </c>
      <c r="K241" s="10" t="s">
        <v>113</v>
      </c>
      <c r="L241" s="13">
        <v>31218</v>
      </c>
      <c r="M241" s="10">
        <f t="shared" ref="M241:M245" ca="1" si="35">IF(L241=0,"", DATEDIF(L241,TODAY(),"y"))</f>
        <v>41</v>
      </c>
      <c r="N241" s="10" t="s">
        <v>120</v>
      </c>
      <c r="O241" s="10" t="s">
        <v>122</v>
      </c>
      <c r="P241" s="10" t="s">
        <v>124</v>
      </c>
      <c r="Q241" s="18" t="s">
        <v>128</v>
      </c>
      <c r="R241" s="10" t="s">
        <v>133</v>
      </c>
      <c r="S241" s="10" t="s">
        <v>921</v>
      </c>
      <c r="T241" s="10" t="s">
        <v>136</v>
      </c>
      <c r="U241" s="10" t="s">
        <v>922</v>
      </c>
      <c r="V241" s="19"/>
      <c r="W241" s="19"/>
      <c r="X241" s="10" t="s">
        <v>136</v>
      </c>
      <c r="Y241" s="19"/>
      <c r="Z241" s="19"/>
      <c r="AA241" s="24"/>
      <c r="AB241" s="24"/>
      <c r="AC241" s="13">
        <v>45830</v>
      </c>
      <c r="AD241" s="10" t="s">
        <v>209</v>
      </c>
    </row>
    <row r="242" spans="1:30" ht="15.75" customHeight="1" x14ac:dyDescent="0.25">
      <c r="A242" s="10" t="s">
        <v>77</v>
      </c>
      <c r="B242" s="10" t="s">
        <v>90</v>
      </c>
      <c r="C242" s="10" t="s">
        <v>175</v>
      </c>
      <c r="D242" s="10" t="s">
        <v>92</v>
      </c>
      <c r="E242" s="10">
        <v>72050002</v>
      </c>
      <c r="F242" s="23" t="s">
        <v>438</v>
      </c>
      <c r="G242" s="10" t="s">
        <v>18</v>
      </c>
      <c r="H242" s="10" t="s">
        <v>992</v>
      </c>
      <c r="I242" s="13">
        <v>45831</v>
      </c>
      <c r="J242" s="10" t="str">
        <f t="shared" ca="1" si="0"/>
        <v xml:space="preserve">1  Años, 2  Mes, 3 Dias </v>
      </c>
      <c r="K242" s="10" t="s">
        <v>113</v>
      </c>
      <c r="L242" s="19"/>
      <c r="M242" s="19" t="str">
        <f t="shared" ca="1" si="35"/>
        <v/>
      </c>
      <c r="N242" s="10" t="s">
        <v>120</v>
      </c>
      <c r="O242" s="10" t="s">
        <v>122</v>
      </c>
      <c r="P242" s="10" t="s">
        <v>142</v>
      </c>
      <c r="Q242" s="18" t="s">
        <v>128</v>
      </c>
      <c r="R242" s="10" t="s">
        <v>133</v>
      </c>
      <c r="S242" s="10" t="s">
        <v>995</v>
      </c>
      <c r="T242" s="10" t="s">
        <v>136</v>
      </c>
      <c r="U242" s="10">
        <v>3004080709</v>
      </c>
      <c r="V242" s="19"/>
      <c r="W242" s="10" t="s">
        <v>845</v>
      </c>
      <c r="X242" s="10" t="s">
        <v>136</v>
      </c>
      <c r="Y242" s="10" t="s">
        <v>206</v>
      </c>
      <c r="Z242" s="10" t="s">
        <v>216</v>
      </c>
      <c r="AA242" s="24"/>
      <c r="AB242" s="24"/>
      <c r="AC242" s="24"/>
      <c r="AD242" s="30" t="s">
        <v>209</v>
      </c>
    </row>
    <row r="243" spans="1:30" x14ac:dyDescent="0.25">
      <c r="A243" s="10" t="s">
        <v>77</v>
      </c>
      <c r="B243" s="10" t="s">
        <v>86</v>
      </c>
      <c r="C243" s="10" t="s">
        <v>91</v>
      </c>
      <c r="D243" s="10" t="s">
        <v>92</v>
      </c>
      <c r="E243" s="10">
        <v>1081758489</v>
      </c>
      <c r="F243" s="23" t="s">
        <v>2635</v>
      </c>
      <c r="G243" s="10" t="s">
        <v>11</v>
      </c>
      <c r="H243" s="10" t="s">
        <v>2636</v>
      </c>
      <c r="I243" s="13">
        <v>45309</v>
      </c>
      <c r="J243" s="10" t="str">
        <f t="shared" ca="1" si="0"/>
        <v xml:space="preserve">2  Años, 7  Mes, 8 Dias </v>
      </c>
      <c r="K243" s="10" t="s">
        <v>113</v>
      </c>
      <c r="L243" s="13">
        <v>31597</v>
      </c>
      <c r="M243" s="10">
        <f t="shared" ca="1" si="35"/>
        <v>40</v>
      </c>
      <c r="N243" s="10" t="s">
        <v>120</v>
      </c>
      <c r="O243" s="10" t="s">
        <v>122</v>
      </c>
      <c r="P243" s="10" t="s">
        <v>142</v>
      </c>
      <c r="Q243" s="18" t="s">
        <v>128</v>
      </c>
      <c r="R243" s="10" t="s">
        <v>133</v>
      </c>
      <c r="S243" s="10" t="s">
        <v>2637</v>
      </c>
      <c r="T243" s="10" t="s">
        <v>151</v>
      </c>
      <c r="U243" s="10">
        <v>3105959411</v>
      </c>
      <c r="V243" s="19"/>
      <c r="W243" s="40" t="s">
        <v>2638</v>
      </c>
      <c r="X243" s="10" t="s">
        <v>136</v>
      </c>
      <c r="Y243" s="10" t="s">
        <v>155</v>
      </c>
      <c r="Z243" s="10" t="s">
        <v>170</v>
      </c>
      <c r="AA243" s="24"/>
      <c r="AB243" s="24"/>
      <c r="AC243" s="13">
        <v>45476</v>
      </c>
      <c r="AD243" s="24"/>
    </row>
    <row r="244" spans="1:30" ht="15.75" customHeight="1" x14ac:dyDescent="0.25">
      <c r="A244" s="10" t="s">
        <v>160</v>
      </c>
      <c r="B244" s="10" t="s">
        <v>86</v>
      </c>
      <c r="C244" s="10" t="s">
        <v>91</v>
      </c>
      <c r="D244" s="10" t="s">
        <v>92</v>
      </c>
      <c r="E244" s="10">
        <v>1002157557</v>
      </c>
      <c r="F244" s="23" t="s">
        <v>2639</v>
      </c>
      <c r="G244" s="10" t="s">
        <v>2178</v>
      </c>
      <c r="H244" s="10" t="s">
        <v>2640</v>
      </c>
      <c r="I244" s="13">
        <v>44958</v>
      </c>
      <c r="J244" s="10" t="str">
        <f t="shared" ca="1" si="0"/>
        <v xml:space="preserve">3  Años, 6  Mes, 25 Dias </v>
      </c>
      <c r="K244" s="10" t="s">
        <v>113</v>
      </c>
      <c r="L244" s="19"/>
      <c r="M244" s="19" t="str">
        <f t="shared" ca="1" si="35"/>
        <v/>
      </c>
      <c r="N244" s="10" t="s">
        <v>320</v>
      </c>
      <c r="O244" s="10" t="s">
        <v>236</v>
      </c>
      <c r="P244" s="10" t="s">
        <v>142</v>
      </c>
      <c r="Q244" s="18" t="s">
        <v>128</v>
      </c>
      <c r="R244" s="10" t="s">
        <v>133</v>
      </c>
      <c r="S244" s="10" t="s">
        <v>2641</v>
      </c>
      <c r="T244" s="10" t="s">
        <v>136</v>
      </c>
      <c r="U244" s="10">
        <v>3002856256</v>
      </c>
      <c r="V244" s="10">
        <v>3002856256</v>
      </c>
      <c r="W244" s="10" t="s">
        <v>2642</v>
      </c>
      <c r="X244" s="10" t="s">
        <v>136</v>
      </c>
      <c r="Y244" s="10" t="s">
        <v>169</v>
      </c>
      <c r="Z244" s="10" t="s">
        <v>216</v>
      </c>
      <c r="AA244" s="33"/>
      <c r="AB244" s="33"/>
      <c r="AC244" s="35">
        <v>45290</v>
      </c>
      <c r="AD244" s="19"/>
    </row>
    <row r="245" spans="1:30" ht="15.75" customHeight="1" x14ac:dyDescent="0.25">
      <c r="A245" s="10" t="s">
        <v>160</v>
      </c>
      <c r="B245" s="10" t="s">
        <v>86</v>
      </c>
      <c r="C245" s="10" t="s">
        <v>91</v>
      </c>
      <c r="D245" s="10" t="s">
        <v>92</v>
      </c>
      <c r="E245" s="37">
        <v>1193542765</v>
      </c>
      <c r="F245" s="38" t="s">
        <v>2643</v>
      </c>
      <c r="G245" s="10" t="s">
        <v>503</v>
      </c>
      <c r="H245" s="10" t="s">
        <v>2644</v>
      </c>
      <c r="I245" s="13">
        <v>45338</v>
      </c>
      <c r="J245" s="10" t="str">
        <f t="shared" ca="1" si="0"/>
        <v xml:space="preserve">2  Años, 6  Mes, 10 Dias </v>
      </c>
      <c r="K245" s="10" t="s">
        <v>113</v>
      </c>
      <c r="L245" s="24"/>
      <c r="M245" s="19" t="str">
        <f t="shared" ca="1" si="35"/>
        <v/>
      </c>
      <c r="N245" s="10" t="s">
        <v>320</v>
      </c>
      <c r="O245" s="10" t="s">
        <v>236</v>
      </c>
      <c r="P245" s="10" t="s">
        <v>142</v>
      </c>
      <c r="Q245" s="18" t="s">
        <v>128</v>
      </c>
      <c r="R245" s="10" t="s">
        <v>133</v>
      </c>
      <c r="S245" s="37" t="s">
        <v>2645</v>
      </c>
      <c r="T245" s="10" t="s">
        <v>136</v>
      </c>
      <c r="U245" s="37" t="s">
        <v>2646</v>
      </c>
      <c r="V245" s="19"/>
      <c r="W245" s="40" t="s">
        <v>2647</v>
      </c>
      <c r="X245" s="10" t="s">
        <v>136</v>
      </c>
      <c r="Y245" s="37" t="s">
        <v>155</v>
      </c>
      <c r="Z245" s="10" t="s">
        <v>170</v>
      </c>
      <c r="AA245" s="33"/>
      <c r="AB245" s="33"/>
      <c r="AC245" s="35">
        <v>45656</v>
      </c>
      <c r="AD245" s="24"/>
    </row>
    <row r="246" spans="1:30" ht="15.75" customHeight="1" x14ac:dyDescent="0.25">
      <c r="A246" s="10" t="s">
        <v>77</v>
      </c>
      <c r="B246" s="10" t="s">
        <v>86</v>
      </c>
      <c r="C246" s="10" t="s">
        <v>91</v>
      </c>
      <c r="D246" s="10" t="s">
        <v>92</v>
      </c>
      <c r="E246" s="12">
        <v>1081764130</v>
      </c>
      <c r="F246" s="15" t="s">
        <v>2648</v>
      </c>
      <c r="G246" s="10" t="s">
        <v>11</v>
      </c>
      <c r="H246" s="12" t="s">
        <v>2649</v>
      </c>
      <c r="I246" s="16">
        <v>45555</v>
      </c>
      <c r="J246" s="10" t="str">
        <f t="shared" ca="1" si="0"/>
        <v xml:space="preserve">1  Años, 11  Mes, 6 Dias </v>
      </c>
      <c r="K246" s="10" t="s">
        <v>113</v>
      </c>
      <c r="L246" s="5"/>
      <c r="M246" s="5"/>
      <c r="N246" s="10" t="s">
        <v>120</v>
      </c>
      <c r="O246" s="10" t="s">
        <v>122</v>
      </c>
      <c r="P246" s="12" t="s">
        <v>124</v>
      </c>
      <c r="Q246" s="18" t="s">
        <v>128</v>
      </c>
      <c r="R246" s="10" t="s">
        <v>133</v>
      </c>
      <c r="S246" s="12" t="s">
        <v>2650</v>
      </c>
      <c r="T246" s="10" t="s">
        <v>136</v>
      </c>
      <c r="U246" s="10">
        <v>3244897358</v>
      </c>
      <c r="V246" s="5"/>
      <c r="W246" s="62" t="s">
        <v>2651</v>
      </c>
      <c r="X246" s="10" t="s">
        <v>136</v>
      </c>
      <c r="Y246" s="12" t="s">
        <v>1401</v>
      </c>
      <c r="Z246" s="12" t="s">
        <v>288</v>
      </c>
      <c r="AA246" s="31"/>
      <c r="AB246" s="31"/>
      <c r="AC246" s="53">
        <v>45621</v>
      </c>
      <c r="AD246" s="31"/>
    </row>
    <row r="247" spans="1:30" ht="15.75" customHeight="1" x14ac:dyDescent="0.25">
      <c r="A247" s="10" t="s">
        <v>77</v>
      </c>
      <c r="B247" s="10" t="s">
        <v>90</v>
      </c>
      <c r="C247" s="10" t="s">
        <v>175</v>
      </c>
      <c r="D247" s="10" t="s">
        <v>92</v>
      </c>
      <c r="E247" s="12">
        <v>72001772</v>
      </c>
      <c r="F247" s="15" t="s">
        <v>2502</v>
      </c>
      <c r="G247" s="10" t="s">
        <v>26</v>
      </c>
      <c r="H247" s="12" t="s">
        <v>2634</v>
      </c>
      <c r="I247" s="16">
        <v>45869</v>
      </c>
      <c r="J247" s="10" t="str">
        <f t="shared" ca="1" si="0"/>
        <v xml:space="preserve">1  Años, 0  Mes, 26 Dias 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20"/>
      <c r="AB247" s="20"/>
      <c r="AC247" s="20"/>
      <c r="AD247" s="5"/>
    </row>
    <row r="248" spans="1:30" ht="15.75" customHeight="1" x14ac:dyDescent="0.25">
      <c r="A248" s="10" t="s">
        <v>77</v>
      </c>
      <c r="B248" s="10" t="s">
        <v>86</v>
      </c>
      <c r="C248" s="10" t="s">
        <v>91</v>
      </c>
      <c r="D248" s="12" t="s">
        <v>92</v>
      </c>
      <c r="E248" s="12">
        <v>1004279549</v>
      </c>
      <c r="F248" s="15" t="s">
        <v>2652</v>
      </c>
      <c r="G248" s="10" t="s">
        <v>26</v>
      </c>
      <c r="H248" s="12" t="s">
        <v>2653</v>
      </c>
      <c r="I248" s="16">
        <v>45693</v>
      </c>
      <c r="J248" s="10" t="str">
        <f t="shared" ca="1" si="0"/>
        <v xml:space="preserve">1  Años, 6  Mes, 21 Dias </v>
      </c>
      <c r="K248" s="12" t="s">
        <v>113</v>
      </c>
      <c r="L248" s="5"/>
      <c r="M248" s="12">
        <v>23</v>
      </c>
      <c r="N248" s="10" t="s">
        <v>120</v>
      </c>
      <c r="O248" s="10" t="s">
        <v>122</v>
      </c>
      <c r="P248" s="12" t="s">
        <v>142</v>
      </c>
      <c r="Q248" s="18" t="s">
        <v>128</v>
      </c>
      <c r="R248" s="10" t="s">
        <v>133</v>
      </c>
      <c r="S248" s="12" t="s">
        <v>2654</v>
      </c>
      <c r="T248" s="12" t="s">
        <v>151</v>
      </c>
      <c r="U248" s="12">
        <v>3147613498</v>
      </c>
      <c r="V248" s="5"/>
      <c r="W248" s="12" t="s">
        <v>2655</v>
      </c>
      <c r="X248" s="12" t="s">
        <v>136</v>
      </c>
      <c r="Y248" s="12" t="s">
        <v>539</v>
      </c>
      <c r="Z248" s="12" t="s">
        <v>216</v>
      </c>
      <c r="AA248" s="20"/>
      <c r="AB248" s="20"/>
      <c r="AC248" s="16">
        <v>45731</v>
      </c>
      <c r="AD248" s="10" t="s">
        <v>191</v>
      </c>
    </row>
    <row r="249" spans="1:30" ht="15.75" customHeight="1" x14ac:dyDescent="0.25">
      <c r="A249" s="10" t="s">
        <v>77</v>
      </c>
      <c r="B249" s="10" t="s">
        <v>86</v>
      </c>
      <c r="C249" s="10" t="s">
        <v>91</v>
      </c>
      <c r="D249" s="10" t="s">
        <v>92</v>
      </c>
      <c r="E249" s="10">
        <v>72247430</v>
      </c>
      <c r="F249" s="23" t="s">
        <v>2656</v>
      </c>
      <c r="G249" s="10" t="s">
        <v>26</v>
      </c>
      <c r="H249" s="10" t="s">
        <v>2657</v>
      </c>
      <c r="I249" s="13">
        <v>45294</v>
      </c>
      <c r="J249" s="10" t="str">
        <f t="shared" ca="1" si="0"/>
        <v xml:space="preserve">2  Años, 7  Mes, 23 Dias </v>
      </c>
      <c r="K249" s="10" t="s">
        <v>113</v>
      </c>
      <c r="L249" s="19"/>
      <c r="M249" s="19" t="str">
        <f t="shared" ref="M249:M257" ca="1" si="36">IF(L249=0,"", DATEDIF(L249,TODAY(),"y"))</f>
        <v/>
      </c>
      <c r="N249" s="10" t="s">
        <v>120</v>
      </c>
      <c r="O249" s="10" t="s">
        <v>122</v>
      </c>
      <c r="P249" s="10" t="s">
        <v>124</v>
      </c>
      <c r="Q249" s="19"/>
      <c r="R249" s="10" t="s">
        <v>133</v>
      </c>
      <c r="S249" s="10" t="s">
        <v>2658</v>
      </c>
      <c r="T249" s="10" t="s">
        <v>151</v>
      </c>
      <c r="U249" s="10">
        <v>3145501899</v>
      </c>
      <c r="V249" s="19"/>
      <c r="W249" s="59" t="s">
        <v>2659</v>
      </c>
      <c r="X249" s="10" t="s">
        <v>136</v>
      </c>
      <c r="Y249" s="10" t="s">
        <v>169</v>
      </c>
      <c r="Z249" s="10" t="s">
        <v>170</v>
      </c>
      <c r="AA249" s="24"/>
      <c r="AB249" s="24"/>
      <c r="AC249" s="13">
        <v>45295</v>
      </c>
      <c r="AD249" s="24"/>
    </row>
    <row r="250" spans="1:30" ht="15.75" customHeight="1" x14ac:dyDescent="0.25">
      <c r="A250" s="10" t="s">
        <v>77</v>
      </c>
      <c r="B250" s="10" t="s">
        <v>86</v>
      </c>
      <c r="C250" s="10" t="s">
        <v>91</v>
      </c>
      <c r="D250" s="10" t="s">
        <v>92</v>
      </c>
      <c r="E250" s="10">
        <v>72175026</v>
      </c>
      <c r="F250" s="23" t="s">
        <v>540</v>
      </c>
      <c r="G250" s="10" t="s">
        <v>11</v>
      </c>
      <c r="H250" s="10" t="s">
        <v>2660</v>
      </c>
      <c r="I250" s="30">
        <v>45252</v>
      </c>
      <c r="J250" s="10" t="str">
        <f t="shared" ca="1" si="0"/>
        <v xml:space="preserve">2  Años, 9  Mes, 4 Dias </v>
      </c>
      <c r="K250" s="10" t="s">
        <v>113</v>
      </c>
      <c r="L250" s="19"/>
      <c r="M250" s="19" t="str">
        <f t="shared" ca="1" si="36"/>
        <v/>
      </c>
      <c r="N250" s="10" t="s">
        <v>120</v>
      </c>
      <c r="O250" s="10" t="s">
        <v>122</v>
      </c>
      <c r="P250" s="10" t="s">
        <v>142</v>
      </c>
      <c r="Q250" s="18" t="s">
        <v>128</v>
      </c>
      <c r="R250" s="10" t="s">
        <v>133</v>
      </c>
      <c r="S250" s="10" t="s">
        <v>2661</v>
      </c>
      <c r="T250" s="10" t="s">
        <v>136</v>
      </c>
      <c r="U250" s="10">
        <v>3126077234</v>
      </c>
      <c r="V250" s="10">
        <v>3126072324</v>
      </c>
      <c r="W250" s="10" t="s">
        <v>2662</v>
      </c>
      <c r="X250" s="10" t="s">
        <v>136</v>
      </c>
      <c r="Y250" s="10" t="s">
        <v>203</v>
      </c>
      <c r="Z250" s="10" t="s">
        <v>216</v>
      </c>
      <c r="AA250" s="24"/>
      <c r="AB250" s="24"/>
      <c r="AC250" s="13">
        <v>45353</v>
      </c>
      <c r="AD250" s="24"/>
    </row>
    <row r="251" spans="1:30" ht="15.75" customHeight="1" x14ac:dyDescent="0.25">
      <c r="A251" s="10" t="s">
        <v>77</v>
      </c>
      <c r="B251" s="10" t="s">
        <v>86</v>
      </c>
      <c r="C251" s="10" t="s">
        <v>91</v>
      </c>
      <c r="D251" s="10" t="s">
        <v>92</v>
      </c>
      <c r="E251" s="12">
        <v>1043653056</v>
      </c>
      <c r="F251" s="15" t="s">
        <v>2663</v>
      </c>
      <c r="G251" s="10" t="s">
        <v>11</v>
      </c>
      <c r="H251" s="10" t="s">
        <v>2664</v>
      </c>
      <c r="I251" s="16">
        <v>45628</v>
      </c>
      <c r="J251" s="10" t="str">
        <f t="shared" ca="1" si="0"/>
        <v xml:space="preserve">1  Años, 8  Mes, 24 Dias </v>
      </c>
      <c r="K251" s="10" t="s">
        <v>113</v>
      </c>
      <c r="L251" s="19"/>
      <c r="M251" s="19" t="str">
        <f t="shared" ca="1" si="36"/>
        <v/>
      </c>
      <c r="N251" s="10" t="s">
        <v>120</v>
      </c>
      <c r="O251" s="10" t="s">
        <v>236</v>
      </c>
      <c r="P251" s="10" t="s">
        <v>142</v>
      </c>
      <c r="Q251" s="18" t="s">
        <v>128</v>
      </c>
      <c r="R251" s="10" t="s">
        <v>133</v>
      </c>
      <c r="S251" s="5"/>
      <c r="T251" s="10" t="s">
        <v>136</v>
      </c>
      <c r="U251" s="5"/>
      <c r="V251" s="5"/>
      <c r="W251" s="5"/>
      <c r="X251" s="5"/>
      <c r="Y251" s="5"/>
      <c r="Z251" s="12" t="s">
        <v>966</v>
      </c>
      <c r="AA251" s="20"/>
      <c r="AB251" s="20"/>
      <c r="AC251" s="16">
        <v>45678</v>
      </c>
      <c r="AD251" s="13" t="s">
        <v>1515</v>
      </c>
    </row>
    <row r="252" spans="1:30" ht="15.75" customHeight="1" x14ac:dyDescent="0.25">
      <c r="A252" s="10" t="s">
        <v>77</v>
      </c>
      <c r="B252" s="10" t="s">
        <v>90</v>
      </c>
      <c r="C252" s="10" t="s">
        <v>175</v>
      </c>
      <c r="D252" s="10" t="s">
        <v>92</v>
      </c>
      <c r="E252" s="10">
        <v>73158268</v>
      </c>
      <c r="F252" s="23" t="s">
        <v>563</v>
      </c>
      <c r="G252" s="10" t="s">
        <v>26</v>
      </c>
      <c r="H252" s="10" t="s">
        <v>1309</v>
      </c>
      <c r="I252" s="13">
        <v>45831</v>
      </c>
      <c r="J252" s="10" t="str">
        <f t="shared" ca="1" si="0"/>
        <v xml:space="preserve">1  Años, 2  Mes, 3 Dias </v>
      </c>
      <c r="K252" s="10" t="s">
        <v>113</v>
      </c>
      <c r="L252" s="19"/>
      <c r="M252" s="19" t="str">
        <f t="shared" ca="1" si="36"/>
        <v/>
      </c>
      <c r="N252" s="10" t="s">
        <v>120</v>
      </c>
      <c r="O252" s="10" t="s">
        <v>122</v>
      </c>
      <c r="P252" s="10" t="s">
        <v>142</v>
      </c>
      <c r="Q252" s="18" t="s">
        <v>128</v>
      </c>
      <c r="R252" s="10" t="s">
        <v>133</v>
      </c>
      <c r="S252" s="10" t="s">
        <v>1314</v>
      </c>
      <c r="T252" s="10" t="s">
        <v>136</v>
      </c>
      <c r="U252" s="10">
        <v>3142163433</v>
      </c>
      <c r="V252" s="19"/>
      <c r="W252" s="10" t="s">
        <v>1315</v>
      </c>
      <c r="X252" s="10" t="s">
        <v>136</v>
      </c>
      <c r="Y252" s="10" t="s">
        <v>206</v>
      </c>
      <c r="Z252" s="10" t="s">
        <v>170</v>
      </c>
      <c r="AA252" s="24"/>
      <c r="AB252" s="24"/>
      <c r="AC252" s="24"/>
      <c r="AD252" s="10" t="s">
        <v>209</v>
      </c>
    </row>
    <row r="253" spans="1:30" ht="15.75" customHeight="1" x14ac:dyDescent="0.25">
      <c r="A253" s="10" t="s">
        <v>77</v>
      </c>
      <c r="B253" s="10" t="s">
        <v>90</v>
      </c>
      <c r="C253" s="10" t="s">
        <v>175</v>
      </c>
      <c r="D253" s="10" t="s">
        <v>92</v>
      </c>
      <c r="E253" s="10">
        <v>8768517</v>
      </c>
      <c r="F253" s="23" t="s">
        <v>423</v>
      </c>
      <c r="G253" s="10" t="s">
        <v>11</v>
      </c>
      <c r="H253" s="10" t="s">
        <v>1021</v>
      </c>
      <c r="I253" s="13">
        <v>45831</v>
      </c>
      <c r="J253" s="10" t="str">
        <f t="shared" ca="1" si="0"/>
        <v xml:space="preserve">1  Años, 2  Mes, 3 Dias </v>
      </c>
      <c r="K253" s="10" t="s">
        <v>113</v>
      </c>
      <c r="L253" s="19"/>
      <c r="M253" s="19" t="str">
        <f t="shared" ca="1" si="36"/>
        <v/>
      </c>
      <c r="N253" s="10" t="s">
        <v>120</v>
      </c>
      <c r="O253" s="10" t="s">
        <v>122</v>
      </c>
      <c r="P253" s="10" t="s">
        <v>142</v>
      </c>
      <c r="Q253" s="18" t="s">
        <v>128</v>
      </c>
      <c r="R253" s="10" t="s">
        <v>133</v>
      </c>
      <c r="S253" s="10" t="s">
        <v>1024</v>
      </c>
      <c r="T253" s="10" t="s">
        <v>136</v>
      </c>
      <c r="U253" s="10">
        <v>3242362231</v>
      </c>
      <c r="V253" s="19"/>
      <c r="W253" s="10" t="s">
        <v>1027</v>
      </c>
      <c r="X253" s="10" t="s">
        <v>136</v>
      </c>
      <c r="Y253" s="10" t="s">
        <v>206</v>
      </c>
      <c r="Z253" s="10" t="s">
        <v>216</v>
      </c>
      <c r="AA253" s="63"/>
      <c r="AB253" s="63"/>
      <c r="AC253" s="63"/>
      <c r="AD253" s="10" t="s">
        <v>209</v>
      </c>
    </row>
    <row r="254" spans="1:30" ht="15.75" customHeight="1" x14ac:dyDescent="0.25">
      <c r="A254" s="10" t="s">
        <v>77</v>
      </c>
      <c r="B254" s="10" t="s">
        <v>90</v>
      </c>
      <c r="C254" s="10" t="s">
        <v>175</v>
      </c>
      <c r="D254" s="10" t="s">
        <v>92</v>
      </c>
      <c r="E254" s="10">
        <v>1045676923</v>
      </c>
      <c r="F254" s="23" t="s">
        <v>441</v>
      </c>
      <c r="G254" s="10" t="s">
        <v>11</v>
      </c>
      <c r="H254" s="10" t="s">
        <v>544</v>
      </c>
      <c r="I254" s="13">
        <v>45831</v>
      </c>
      <c r="J254" s="10" t="str">
        <f t="shared" ca="1" si="0"/>
        <v xml:space="preserve">1  Años, 2  Mes, 3 Dias </v>
      </c>
      <c r="K254" s="10" t="s">
        <v>113</v>
      </c>
      <c r="L254" s="19"/>
      <c r="M254" s="19" t="str">
        <f t="shared" ca="1" si="36"/>
        <v/>
      </c>
      <c r="N254" s="10" t="s">
        <v>120</v>
      </c>
      <c r="O254" s="10" t="s">
        <v>122</v>
      </c>
      <c r="P254" s="10" t="s">
        <v>142</v>
      </c>
      <c r="Q254" s="18" t="s">
        <v>128</v>
      </c>
      <c r="R254" s="10" t="s">
        <v>133</v>
      </c>
      <c r="S254" s="10" t="s">
        <v>561</v>
      </c>
      <c r="T254" s="10" t="s">
        <v>136</v>
      </c>
      <c r="U254" s="10">
        <v>3011877866</v>
      </c>
      <c r="V254" s="19"/>
      <c r="W254" s="10" t="s">
        <v>564</v>
      </c>
      <c r="X254" s="10" t="s">
        <v>136</v>
      </c>
      <c r="Y254" s="10" t="s">
        <v>206</v>
      </c>
      <c r="Z254" s="10" t="s">
        <v>170</v>
      </c>
      <c r="AA254" s="24"/>
      <c r="AB254" s="24"/>
      <c r="AC254" s="24"/>
      <c r="AD254" s="10" t="s">
        <v>209</v>
      </c>
    </row>
    <row r="255" spans="1:30" ht="15.75" customHeight="1" x14ac:dyDescent="0.25">
      <c r="A255" s="10" t="s">
        <v>160</v>
      </c>
      <c r="B255" s="10" t="s">
        <v>86</v>
      </c>
      <c r="C255" s="10" t="s">
        <v>91</v>
      </c>
      <c r="D255" s="10" t="s">
        <v>92</v>
      </c>
      <c r="E255" s="10">
        <v>1129538726</v>
      </c>
      <c r="F255" s="23" t="s">
        <v>2665</v>
      </c>
      <c r="G255" s="10" t="s">
        <v>2666</v>
      </c>
      <c r="H255" s="10" t="s">
        <v>2667</v>
      </c>
      <c r="I255" s="30">
        <v>44862</v>
      </c>
      <c r="J255" s="10" t="str">
        <f t="shared" ca="1" si="0"/>
        <v xml:space="preserve">3  Años, 9  Mes, 29 Dias </v>
      </c>
      <c r="K255" s="10" t="s">
        <v>113</v>
      </c>
      <c r="L255" s="19"/>
      <c r="M255" s="19" t="str">
        <f t="shared" ca="1" si="36"/>
        <v/>
      </c>
      <c r="N255" s="10" t="s">
        <v>320</v>
      </c>
      <c r="O255" s="10" t="s">
        <v>277</v>
      </c>
      <c r="P255" s="10" t="s">
        <v>142</v>
      </c>
      <c r="Q255" s="18" t="s">
        <v>128</v>
      </c>
      <c r="R255" s="10" t="s">
        <v>133</v>
      </c>
      <c r="S255" s="10" t="s">
        <v>2668</v>
      </c>
      <c r="T255" s="10" t="s">
        <v>136</v>
      </c>
      <c r="U255" s="10">
        <v>3013344210</v>
      </c>
      <c r="V255" s="19"/>
      <c r="W255" s="10" t="s">
        <v>2669</v>
      </c>
      <c r="X255" s="10" t="s">
        <v>136</v>
      </c>
      <c r="Y255" s="10" t="s">
        <v>253</v>
      </c>
      <c r="Z255" s="10" t="s">
        <v>170</v>
      </c>
      <c r="AA255" s="24"/>
      <c r="AB255" s="24"/>
      <c r="AC255" s="13">
        <v>45305</v>
      </c>
      <c r="AD255" s="24"/>
    </row>
    <row r="256" spans="1:30" ht="15.75" customHeight="1" x14ac:dyDescent="0.25">
      <c r="A256" s="10" t="s">
        <v>77</v>
      </c>
      <c r="B256" s="10" t="s">
        <v>86</v>
      </c>
      <c r="C256" s="10" t="s">
        <v>91</v>
      </c>
      <c r="D256" s="10" t="s">
        <v>92</v>
      </c>
      <c r="E256" s="10">
        <v>72054528</v>
      </c>
      <c r="F256" s="23" t="s">
        <v>437</v>
      </c>
      <c r="G256" s="10" t="s">
        <v>26</v>
      </c>
      <c r="H256" s="10" t="s">
        <v>2670</v>
      </c>
      <c r="I256" s="30">
        <v>45467</v>
      </c>
      <c r="J256" s="10" t="str">
        <f t="shared" ca="1" si="0"/>
        <v xml:space="preserve">2  Años, 2  Mes, 2 Dias </v>
      </c>
      <c r="K256" s="10" t="s">
        <v>113</v>
      </c>
      <c r="L256" s="24"/>
      <c r="M256" s="19" t="str">
        <f t="shared" ca="1" si="36"/>
        <v/>
      </c>
      <c r="N256" s="10" t="s">
        <v>120</v>
      </c>
      <c r="O256" s="10" t="s">
        <v>122</v>
      </c>
      <c r="P256" s="10" t="s">
        <v>124</v>
      </c>
      <c r="Q256" s="18" t="s">
        <v>128</v>
      </c>
      <c r="R256" s="10" t="s">
        <v>133</v>
      </c>
      <c r="S256" s="10" t="s">
        <v>2671</v>
      </c>
      <c r="T256" s="10" t="s">
        <v>136</v>
      </c>
      <c r="U256" s="10">
        <v>3245368379</v>
      </c>
      <c r="V256" s="10">
        <v>3245368379</v>
      </c>
      <c r="W256" s="10" t="s">
        <v>2672</v>
      </c>
      <c r="X256" s="10" t="s">
        <v>136</v>
      </c>
      <c r="Y256" s="10" t="s">
        <v>253</v>
      </c>
      <c r="Z256" s="10" t="s">
        <v>255</v>
      </c>
      <c r="AA256" s="24"/>
      <c r="AB256" s="24"/>
      <c r="AC256" s="13">
        <v>45663</v>
      </c>
      <c r="AD256" s="13" t="s">
        <v>148</v>
      </c>
    </row>
    <row r="257" spans="1:30" ht="15.75" customHeight="1" x14ac:dyDescent="0.25">
      <c r="A257" s="10" t="s">
        <v>77</v>
      </c>
      <c r="B257" s="10" t="s">
        <v>86</v>
      </c>
      <c r="C257" s="10" t="s">
        <v>91</v>
      </c>
      <c r="D257" s="10" t="s">
        <v>92</v>
      </c>
      <c r="E257" s="10">
        <v>1045250908</v>
      </c>
      <c r="F257" s="23" t="s">
        <v>435</v>
      </c>
      <c r="G257" s="10" t="s">
        <v>26</v>
      </c>
      <c r="H257" s="10" t="s">
        <v>2673</v>
      </c>
      <c r="I257" s="30">
        <v>45288</v>
      </c>
      <c r="J257" s="10" t="str">
        <f t="shared" ref="J257:J423" ca="1" si="37">DATEDIF(I257,TODAY(),"Y")&amp;"  Años, "&amp;DATEDIF(I257,TODAY(),"Ym")&amp;"  Mes, "&amp;DATEDIF(I257,TODAY(),"MD")&amp;" Dias "</f>
        <v xml:space="preserve">2  Años, 7  Mes, 29 Dias </v>
      </c>
      <c r="K257" s="10" t="s">
        <v>113</v>
      </c>
      <c r="L257" s="19"/>
      <c r="M257" s="19" t="str">
        <f t="shared" ca="1" si="36"/>
        <v/>
      </c>
      <c r="N257" s="10" t="s">
        <v>320</v>
      </c>
      <c r="O257" s="10" t="s">
        <v>236</v>
      </c>
      <c r="P257" s="10" t="s">
        <v>142</v>
      </c>
      <c r="Q257" s="18" t="s">
        <v>128</v>
      </c>
      <c r="R257" s="10" t="s">
        <v>133</v>
      </c>
      <c r="S257" s="10" t="s">
        <v>2674</v>
      </c>
      <c r="T257" s="10" t="s">
        <v>1225</v>
      </c>
      <c r="U257" s="10">
        <v>3208812595</v>
      </c>
      <c r="V257" s="10">
        <v>3208812595</v>
      </c>
      <c r="W257" s="10" t="s">
        <v>2675</v>
      </c>
      <c r="X257" s="10" t="s">
        <v>136</v>
      </c>
      <c r="Y257" s="10" t="s">
        <v>473</v>
      </c>
      <c r="Z257" s="10" t="s">
        <v>170</v>
      </c>
      <c r="AA257" s="33"/>
      <c r="AB257" s="33"/>
      <c r="AC257" s="35">
        <v>45290</v>
      </c>
      <c r="AD257" s="19"/>
    </row>
    <row r="258" spans="1:30" ht="15.75" customHeight="1" x14ac:dyDescent="0.25">
      <c r="A258" s="10" t="s">
        <v>77</v>
      </c>
      <c r="B258" s="10" t="s">
        <v>86</v>
      </c>
      <c r="C258" s="10" t="s">
        <v>91</v>
      </c>
      <c r="D258" s="12" t="s">
        <v>92</v>
      </c>
      <c r="E258" s="12">
        <v>1118830958</v>
      </c>
      <c r="F258" s="15" t="s">
        <v>2676</v>
      </c>
      <c r="G258" s="10" t="s">
        <v>32</v>
      </c>
      <c r="H258" s="12" t="s">
        <v>2677</v>
      </c>
      <c r="I258" s="16">
        <v>45680</v>
      </c>
      <c r="J258" s="10" t="str">
        <f t="shared" ca="1" si="37"/>
        <v xml:space="preserve">1  Años, 7  Mes, 3 Dias </v>
      </c>
      <c r="K258" s="12" t="s">
        <v>113</v>
      </c>
      <c r="L258" s="20"/>
      <c r="M258" s="12">
        <v>35</v>
      </c>
      <c r="N258" s="10" t="s">
        <v>120</v>
      </c>
      <c r="O258" s="10" t="s">
        <v>122</v>
      </c>
      <c r="P258" s="12" t="s">
        <v>142</v>
      </c>
      <c r="Q258" s="18" t="s">
        <v>128</v>
      </c>
      <c r="R258" s="12" t="s">
        <v>133</v>
      </c>
      <c r="S258" s="12" t="s">
        <v>2678</v>
      </c>
      <c r="T258" s="12" t="s">
        <v>151</v>
      </c>
      <c r="U258" s="12">
        <v>3003894419</v>
      </c>
      <c r="V258" s="5"/>
      <c r="W258" s="12" t="s">
        <v>2679</v>
      </c>
      <c r="X258" s="12" t="s">
        <v>136</v>
      </c>
      <c r="Y258" s="12" t="s">
        <v>813</v>
      </c>
      <c r="Z258" s="12" t="s">
        <v>288</v>
      </c>
      <c r="AA258" s="20"/>
      <c r="AB258" s="20"/>
      <c r="AC258" s="16">
        <v>45829</v>
      </c>
      <c r="AD258" s="13" t="s">
        <v>209</v>
      </c>
    </row>
    <row r="259" spans="1:30" ht="15.75" customHeight="1" x14ac:dyDescent="0.25">
      <c r="A259" s="10" t="s">
        <v>77</v>
      </c>
      <c r="B259" s="10" t="s">
        <v>86</v>
      </c>
      <c r="C259" s="10" t="s">
        <v>91</v>
      </c>
      <c r="D259" s="10" t="s">
        <v>92</v>
      </c>
      <c r="E259" s="10">
        <v>8730152</v>
      </c>
      <c r="F259" s="23" t="s">
        <v>434</v>
      </c>
      <c r="G259" s="10" t="s">
        <v>32</v>
      </c>
      <c r="H259" s="10" t="s">
        <v>2680</v>
      </c>
      <c r="I259" s="13">
        <v>45153</v>
      </c>
      <c r="J259" s="10" t="str">
        <f t="shared" ca="1" si="37"/>
        <v xml:space="preserve">3  Años, 0  Mes, 11 Dias </v>
      </c>
      <c r="K259" s="10" t="s">
        <v>113</v>
      </c>
      <c r="L259" s="24"/>
      <c r="M259" s="19" t="str">
        <f t="shared" ref="M259:M262" ca="1" si="38">IF(L259=0,"", DATEDIF(L259,TODAY(),"y"))</f>
        <v/>
      </c>
      <c r="N259" s="10" t="s">
        <v>120</v>
      </c>
      <c r="O259" s="10" t="s">
        <v>730</v>
      </c>
      <c r="P259" s="10" t="s">
        <v>142</v>
      </c>
      <c r="Q259" s="18" t="s">
        <v>128</v>
      </c>
      <c r="R259" s="10" t="s">
        <v>133</v>
      </c>
      <c r="S259" s="10" t="s">
        <v>2681</v>
      </c>
      <c r="T259" s="10" t="s">
        <v>136</v>
      </c>
      <c r="U259" s="10">
        <v>3017350926</v>
      </c>
      <c r="V259" s="19"/>
      <c r="W259" s="10" t="s">
        <v>2682</v>
      </c>
      <c r="X259" s="10" t="s">
        <v>136</v>
      </c>
      <c r="Y259" s="10" t="s">
        <v>253</v>
      </c>
      <c r="Z259" s="10" t="s">
        <v>373</v>
      </c>
      <c r="AA259" s="33"/>
      <c r="AB259" s="33"/>
      <c r="AC259" s="35">
        <v>45290</v>
      </c>
      <c r="AD259" s="19"/>
    </row>
    <row r="260" spans="1:30" ht="15.75" customHeight="1" x14ac:dyDescent="0.25">
      <c r="A260" s="10" t="s">
        <v>77</v>
      </c>
      <c r="B260" s="10" t="s">
        <v>86</v>
      </c>
      <c r="C260" s="10" t="s">
        <v>91</v>
      </c>
      <c r="D260" s="10" t="s">
        <v>92</v>
      </c>
      <c r="E260" s="10">
        <v>1143269088</v>
      </c>
      <c r="F260" s="23" t="s">
        <v>2683</v>
      </c>
      <c r="G260" s="10" t="s">
        <v>11</v>
      </c>
      <c r="H260" s="10" t="s">
        <v>2684</v>
      </c>
      <c r="I260" s="13">
        <v>45316</v>
      </c>
      <c r="J260" s="10" t="str">
        <f t="shared" ca="1" si="37"/>
        <v xml:space="preserve">2  Años, 7  Mes, 1 Dias </v>
      </c>
      <c r="K260" s="10" t="s">
        <v>113</v>
      </c>
      <c r="L260" s="13">
        <v>36169</v>
      </c>
      <c r="M260" s="10">
        <f t="shared" ca="1" si="38"/>
        <v>27</v>
      </c>
      <c r="N260" s="10" t="s">
        <v>120</v>
      </c>
      <c r="O260" s="10" t="s">
        <v>122</v>
      </c>
      <c r="P260" s="10" t="s">
        <v>142</v>
      </c>
      <c r="Q260" s="18" t="s">
        <v>128</v>
      </c>
      <c r="R260" s="10" t="s">
        <v>133</v>
      </c>
      <c r="S260" s="10" t="s">
        <v>2685</v>
      </c>
      <c r="T260" s="10" t="s">
        <v>136</v>
      </c>
      <c r="U260" s="10">
        <v>3003076082</v>
      </c>
      <c r="V260" s="19"/>
      <c r="W260" s="40" t="s">
        <v>2686</v>
      </c>
      <c r="X260" s="10" t="s">
        <v>136</v>
      </c>
      <c r="Y260" s="10" t="s">
        <v>169</v>
      </c>
      <c r="Z260" s="10" t="s">
        <v>1208</v>
      </c>
      <c r="AA260" s="24"/>
      <c r="AB260" s="24"/>
      <c r="AC260" s="13">
        <v>45364</v>
      </c>
      <c r="AD260" s="24"/>
    </row>
    <row r="261" spans="1:30" ht="15.75" customHeight="1" x14ac:dyDescent="0.25">
      <c r="A261" s="10" t="s">
        <v>77</v>
      </c>
      <c r="B261" s="10" t="s">
        <v>90</v>
      </c>
      <c r="C261" s="10" t="s">
        <v>175</v>
      </c>
      <c r="D261" s="10" t="s">
        <v>92</v>
      </c>
      <c r="E261" s="10">
        <v>72256959</v>
      </c>
      <c r="F261" s="23" t="s">
        <v>100</v>
      </c>
      <c r="G261" s="10" t="s">
        <v>11</v>
      </c>
      <c r="H261" s="10" t="s">
        <v>1033</v>
      </c>
      <c r="I261" s="13">
        <v>45831</v>
      </c>
      <c r="J261" s="10" t="str">
        <f t="shared" ca="1" si="37"/>
        <v xml:space="preserve">1  Años, 2  Mes, 3 Dias </v>
      </c>
      <c r="K261" s="10" t="s">
        <v>113</v>
      </c>
      <c r="L261" s="24"/>
      <c r="M261" s="19" t="str">
        <f t="shared" ca="1" si="38"/>
        <v/>
      </c>
      <c r="N261" s="10" t="s">
        <v>120</v>
      </c>
      <c r="O261" s="10" t="s">
        <v>122</v>
      </c>
      <c r="P261" s="10" t="s">
        <v>142</v>
      </c>
      <c r="Q261" s="18" t="s">
        <v>128</v>
      </c>
      <c r="R261" s="10" t="s">
        <v>133</v>
      </c>
      <c r="S261" s="10" t="s">
        <v>1037</v>
      </c>
      <c r="T261" s="10" t="s">
        <v>136</v>
      </c>
      <c r="U261" s="10">
        <v>3246823787</v>
      </c>
      <c r="V261" s="19"/>
      <c r="W261" s="10" t="s">
        <v>1038</v>
      </c>
      <c r="X261" s="10" t="s">
        <v>136</v>
      </c>
      <c r="Y261" s="10" t="s">
        <v>206</v>
      </c>
      <c r="Z261" s="10" t="s">
        <v>216</v>
      </c>
      <c r="AA261" s="19"/>
      <c r="AB261" s="19"/>
      <c r="AC261" s="19"/>
      <c r="AD261" s="10" t="s">
        <v>209</v>
      </c>
    </row>
    <row r="262" spans="1:30" ht="15.75" customHeight="1" x14ac:dyDescent="0.25">
      <c r="A262" s="10" t="s">
        <v>77</v>
      </c>
      <c r="B262" s="10" t="s">
        <v>86</v>
      </c>
      <c r="C262" s="10" t="s">
        <v>91</v>
      </c>
      <c r="D262" s="10" t="s">
        <v>92</v>
      </c>
      <c r="E262" s="10">
        <v>1003002071</v>
      </c>
      <c r="F262" s="23" t="s">
        <v>2687</v>
      </c>
      <c r="G262" s="10" t="s">
        <v>11</v>
      </c>
      <c r="H262" s="10" t="s">
        <v>2688</v>
      </c>
      <c r="I262" s="13">
        <v>45323</v>
      </c>
      <c r="J262" s="10" t="str">
        <f t="shared" ca="1" si="37"/>
        <v xml:space="preserve">2  Años, 6  Mes, 25 Dias </v>
      </c>
      <c r="K262" s="10" t="s">
        <v>113</v>
      </c>
      <c r="L262" s="13">
        <v>36632</v>
      </c>
      <c r="M262" s="10">
        <f t="shared" ca="1" si="38"/>
        <v>26</v>
      </c>
      <c r="N262" s="10" t="s">
        <v>120</v>
      </c>
      <c r="O262" s="10" t="s">
        <v>122</v>
      </c>
      <c r="P262" s="10" t="s">
        <v>142</v>
      </c>
      <c r="Q262" s="18" t="s">
        <v>128</v>
      </c>
      <c r="R262" s="10" t="s">
        <v>133</v>
      </c>
      <c r="S262" s="10" t="s">
        <v>2689</v>
      </c>
      <c r="T262" s="10" t="s">
        <v>801</v>
      </c>
      <c r="U262" s="10">
        <v>3001136700</v>
      </c>
      <c r="V262" s="19"/>
      <c r="W262" s="40" t="s">
        <v>2690</v>
      </c>
      <c r="X262" s="10" t="s">
        <v>136</v>
      </c>
      <c r="Y262" s="10" t="s">
        <v>169</v>
      </c>
      <c r="Z262" s="10" t="s">
        <v>170</v>
      </c>
      <c r="AA262" s="24"/>
      <c r="AB262" s="24"/>
      <c r="AC262" s="13">
        <v>45352</v>
      </c>
      <c r="AD262" s="24"/>
    </row>
    <row r="263" spans="1:30" ht="15.75" customHeight="1" x14ac:dyDescent="0.25">
      <c r="A263" s="10" t="s">
        <v>77</v>
      </c>
      <c r="B263" s="10" t="s">
        <v>86</v>
      </c>
      <c r="C263" s="10" t="s">
        <v>91</v>
      </c>
      <c r="D263" s="10" t="s">
        <v>92</v>
      </c>
      <c r="E263" s="12">
        <v>5166027</v>
      </c>
      <c r="F263" s="15" t="s">
        <v>2691</v>
      </c>
      <c r="G263" s="10" t="s">
        <v>26</v>
      </c>
      <c r="H263" s="12" t="s">
        <v>2692</v>
      </c>
      <c r="I263" s="53">
        <v>45639</v>
      </c>
      <c r="J263" s="10" t="str">
        <f t="shared" ca="1" si="37"/>
        <v xml:space="preserve">1  Años, 8  Mes, 13 Dias </v>
      </c>
      <c r="K263" s="12" t="s">
        <v>113</v>
      </c>
      <c r="L263" s="16">
        <v>30698</v>
      </c>
      <c r="M263" s="5"/>
      <c r="N263" s="10" t="s">
        <v>120</v>
      </c>
      <c r="O263" s="10" t="s">
        <v>730</v>
      </c>
      <c r="P263" s="12" t="s">
        <v>210</v>
      </c>
      <c r="Q263" s="18" t="s">
        <v>128</v>
      </c>
      <c r="R263" s="12" t="s">
        <v>133</v>
      </c>
      <c r="S263" s="12" t="s">
        <v>2693</v>
      </c>
      <c r="T263" s="12" t="s">
        <v>507</v>
      </c>
      <c r="U263" s="12">
        <v>3046312876</v>
      </c>
      <c r="V263" s="5"/>
      <c r="W263" s="12" t="s">
        <v>2694</v>
      </c>
      <c r="X263" s="12" t="s">
        <v>136</v>
      </c>
      <c r="Y263" s="12" t="s">
        <v>203</v>
      </c>
      <c r="Z263" s="12" t="s">
        <v>288</v>
      </c>
      <c r="AA263" s="20"/>
      <c r="AB263" s="20"/>
      <c r="AC263" s="16">
        <v>45663</v>
      </c>
      <c r="AD263" s="10" t="s">
        <v>148</v>
      </c>
    </row>
    <row r="264" spans="1:30" ht="15.75" customHeight="1" x14ac:dyDescent="0.25">
      <c r="A264" s="10" t="s">
        <v>77</v>
      </c>
      <c r="B264" s="10" t="s">
        <v>86</v>
      </c>
      <c r="C264" s="10" t="s">
        <v>91</v>
      </c>
      <c r="D264" s="10" t="s">
        <v>92</v>
      </c>
      <c r="E264" s="12">
        <v>1007132808</v>
      </c>
      <c r="F264" s="15" t="s">
        <v>2695</v>
      </c>
      <c r="G264" s="10" t="s">
        <v>26</v>
      </c>
      <c r="H264" s="12" t="s">
        <v>2696</v>
      </c>
      <c r="I264" s="53">
        <v>45582</v>
      </c>
      <c r="J264" s="10" t="str">
        <f t="shared" ca="1" si="37"/>
        <v xml:space="preserve">1  Años, 10  Mes, 9 Dias </v>
      </c>
      <c r="K264" s="10" t="s">
        <v>113</v>
      </c>
      <c r="L264" s="5"/>
      <c r="M264" s="5"/>
      <c r="N264" s="10" t="s">
        <v>120</v>
      </c>
      <c r="O264" s="10" t="s">
        <v>122</v>
      </c>
      <c r="P264" s="12" t="s">
        <v>142</v>
      </c>
      <c r="Q264" s="18" t="s">
        <v>128</v>
      </c>
      <c r="R264" s="10" t="s">
        <v>133</v>
      </c>
      <c r="S264" s="12" t="s">
        <v>2697</v>
      </c>
      <c r="T264" s="12" t="s">
        <v>136</v>
      </c>
      <c r="U264" s="12">
        <v>3114257112</v>
      </c>
      <c r="V264" s="12">
        <v>3114257112</v>
      </c>
      <c r="W264" s="62" t="s">
        <v>2698</v>
      </c>
      <c r="X264" s="10" t="s">
        <v>136</v>
      </c>
      <c r="Y264" s="12" t="s">
        <v>2699</v>
      </c>
      <c r="Z264" s="12" t="s">
        <v>966</v>
      </c>
      <c r="AA264" s="20"/>
      <c r="AB264" s="20"/>
      <c r="AC264" s="16">
        <v>45819</v>
      </c>
      <c r="AD264" s="13" t="s">
        <v>148</v>
      </c>
    </row>
    <row r="265" spans="1:30" ht="15.75" customHeight="1" x14ac:dyDescent="0.25">
      <c r="A265" s="10" t="s">
        <v>77</v>
      </c>
      <c r="B265" s="10" t="s">
        <v>90</v>
      </c>
      <c r="C265" s="10" t="s">
        <v>175</v>
      </c>
      <c r="D265" s="12" t="s">
        <v>92</v>
      </c>
      <c r="E265" s="12">
        <v>1083035740</v>
      </c>
      <c r="F265" s="23" t="s">
        <v>527</v>
      </c>
      <c r="G265" s="10" t="s">
        <v>18</v>
      </c>
      <c r="H265" s="10" t="s">
        <v>528</v>
      </c>
      <c r="I265" s="13">
        <v>45831</v>
      </c>
      <c r="J265" s="10" t="str">
        <f t="shared" ca="1" si="37"/>
        <v xml:space="preserve">1  Años, 2  Mes, 3 Dias </v>
      </c>
      <c r="K265" s="12" t="s">
        <v>113</v>
      </c>
      <c r="L265" s="5"/>
      <c r="M265" s="5"/>
      <c r="N265" s="10" t="s">
        <v>120</v>
      </c>
      <c r="O265" s="10" t="s">
        <v>122</v>
      </c>
      <c r="P265" s="12" t="s">
        <v>142</v>
      </c>
      <c r="Q265" s="18" t="s">
        <v>128</v>
      </c>
      <c r="R265" s="12" t="s">
        <v>133</v>
      </c>
      <c r="S265" s="12" t="s">
        <v>536</v>
      </c>
      <c r="T265" s="12" t="s">
        <v>151</v>
      </c>
      <c r="U265" s="12">
        <v>3017275378</v>
      </c>
      <c r="V265" s="5"/>
      <c r="W265" s="5" t="s">
        <v>538</v>
      </c>
      <c r="X265" s="12" t="s">
        <v>136</v>
      </c>
      <c r="Y265" s="12" t="s">
        <v>539</v>
      </c>
      <c r="Z265" s="12" t="s">
        <v>170</v>
      </c>
      <c r="AA265" s="20"/>
      <c r="AB265" s="20"/>
      <c r="AC265" s="20"/>
      <c r="AD265" s="10" t="s">
        <v>209</v>
      </c>
    </row>
    <row r="266" spans="1:30" ht="15.75" customHeight="1" x14ac:dyDescent="0.25">
      <c r="A266" s="10" t="s">
        <v>77</v>
      </c>
      <c r="B266" s="10" t="s">
        <v>86</v>
      </c>
      <c r="C266" s="10" t="s">
        <v>91</v>
      </c>
      <c r="D266" s="10" t="s">
        <v>92</v>
      </c>
      <c r="E266" s="10">
        <v>1001998230</v>
      </c>
      <c r="F266" s="23" t="s">
        <v>431</v>
      </c>
      <c r="G266" s="10" t="s">
        <v>18</v>
      </c>
      <c r="H266" s="10" t="s">
        <v>2700</v>
      </c>
      <c r="I266" s="13">
        <v>45432</v>
      </c>
      <c r="J266" s="10" t="str">
        <f t="shared" ca="1" si="37"/>
        <v xml:space="preserve">2  Años, 3  Mes, 6 Dias </v>
      </c>
      <c r="K266" s="10" t="s">
        <v>113</v>
      </c>
      <c r="L266" s="36">
        <v>37302</v>
      </c>
      <c r="M266" s="10">
        <v>21</v>
      </c>
      <c r="N266" s="10" t="s">
        <v>120</v>
      </c>
      <c r="O266" s="10" t="s">
        <v>122</v>
      </c>
      <c r="P266" s="10" t="s">
        <v>142</v>
      </c>
      <c r="Q266" s="18" t="s">
        <v>128</v>
      </c>
      <c r="R266" s="10" t="s">
        <v>133</v>
      </c>
      <c r="S266" s="10" t="s">
        <v>2701</v>
      </c>
      <c r="T266" s="10" t="s">
        <v>136</v>
      </c>
      <c r="U266" s="10" t="s">
        <v>2702</v>
      </c>
      <c r="V266" s="19"/>
      <c r="W266" s="109" t="s">
        <v>2703</v>
      </c>
      <c r="X266" s="10" t="s">
        <v>136</v>
      </c>
      <c r="Y266" s="37" t="s">
        <v>539</v>
      </c>
      <c r="Z266" s="10" t="s">
        <v>170</v>
      </c>
      <c r="AA266" s="63"/>
      <c r="AB266" s="63"/>
      <c r="AC266" s="30">
        <v>45656</v>
      </c>
      <c r="AD266" s="63"/>
    </row>
    <row r="267" spans="1:30" ht="15.75" customHeight="1" x14ac:dyDescent="0.25">
      <c r="A267" s="10" t="s">
        <v>77</v>
      </c>
      <c r="B267" s="10" t="s">
        <v>90</v>
      </c>
      <c r="C267" s="10" t="s">
        <v>175</v>
      </c>
      <c r="D267" s="10" t="s">
        <v>92</v>
      </c>
      <c r="E267" s="12">
        <v>1001878193</v>
      </c>
      <c r="F267" s="23" t="s">
        <v>598</v>
      </c>
      <c r="G267" s="10" t="s">
        <v>18</v>
      </c>
      <c r="H267" s="19"/>
      <c r="I267" s="16">
        <v>45873</v>
      </c>
      <c r="J267" s="10" t="str">
        <f t="shared" ca="1" si="37"/>
        <v xml:space="preserve">1  Años, 0  Mes, 22 Dias </v>
      </c>
      <c r="K267" s="12" t="s">
        <v>113</v>
      </c>
      <c r="L267" s="16">
        <v>36861</v>
      </c>
      <c r="M267" s="10">
        <f t="shared" ref="M267:M272" ca="1" si="39">IF(L267=0,"", DATEDIF(L267,TODAY(),"y"))</f>
        <v>25</v>
      </c>
      <c r="N267" s="10" t="s">
        <v>120</v>
      </c>
      <c r="O267" s="10" t="s">
        <v>236</v>
      </c>
      <c r="P267" s="5"/>
      <c r="Q267" s="18" t="s">
        <v>128</v>
      </c>
      <c r="R267" s="10" t="s">
        <v>133</v>
      </c>
      <c r="S267" s="12" t="s">
        <v>607</v>
      </c>
      <c r="T267" s="12" t="s">
        <v>151</v>
      </c>
      <c r="U267" s="12">
        <v>3504846308</v>
      </c>
      <c r="V267" s="5"/>
      <c r="W267" s="5"/>
      <c r="X267" s="10" t="s">
        <v>151</v>
      </c>
      <c r="Y267" s="5"/>
      <c r="Z267" s="5"/>
      <c r="AA267" s="5"/>
      <c r="AB267" s="5"/>
      <c r="AC267" s="20"/>
      <c r="AD267" s="10" t="s">
        <v>209</v>
      </c>
    </row>
    <row r="268" spans="1:30" ht="15.75" customHeight="1" x14ac:dyDescent="0.25">
      <c r="A268" s="10" t="s">
        <v>77</v>
      </c>
      <c r="B268" s="10" t="s">
        <v>86</v>
      </c>
      <c r="C268" s="10" t="s">
        <v>91</v>
      </c>
      <c r="D268" s="10" t="s">
        <v>92</v>
      </c>
      <c r="E268" s="10">
        <v>1042999000</v>
      </c>
      <c r="F268" s="23" t="s">
        <v>428</v>
      </c>
      <c r="G268" s="10" t="s">
        <v>18</v>
      </c>
      <c r="H268" s="10" t="s">
        <v>2704</v>
      </c>
      <c r="I268" s="30">
        <v>45251</v>
      </c>
      <c r="J268" s="10" t="str">
        <f t="shared" ca="1" si="37"/>
        <v xml:space="preserve">2  Años, 9  Mes, 5 Dias </v>
      </c>
      <c r="K268" s="10" t="s">
        <v>113</v>
      </c>
      <c r="L268" s="24"/>
      <c r="M268" s="19" t="str">
        <f t="shared" ca="1" si="39"/>
        <v/>
      </c>
      <c r="N268" s="10" t="s">
        <v>120</v>
      </c>
      <c r="O268" s="10" t="s">
        <v>122</v>
      </c>
      <c r="P268" s="10" t="s">
        <v>124</v>
      </c>
      <c r="Q268" s="18" t="s">
        <v>128</v>
      </c>
      <c r="R268" s="10" t="s">
        <v>133</v>
      </c>
      <c r="S268" s="10" t="s">
        <v>2705</v>
      </c>
      <c r="T268" s="10" t="s">
        <v>195</v>
      </c>
      <c r="U268" s="10">
        <v>3218514263</v>
      </c>
      <c r="V268" s="10">
        <v>3148356057</v>
      </c>
      <c r="W268" s="10" t="s">
        <v>2706</v>
      </c>
      <c r="X268" s="10" t="s">
        <v>136</v>
      </c>
      <c r="Y268" s="10" t="s">
        <v>206</v>
      </c>
      <c r="Z268" s="10" t="s">
        <v>255</v>
      </c>
      <c r="AA268" s="24"/>
      <c r="AB268" s="24"/>
      <c r="AC268" s="13">
        <v>45489</v>
      </c>
      <c r="AD268" s="24"/>
    </row>
    <row r="269" spans="1:30" ht="15.75" customHeight="1" x14ac:dyDescent="0.25">
      <c r="A269" s="10" t="s">
        <v>77</v>
      </c>
      <c r="B269" s="10" t="s">
        <v>86</v>
      </c>
      <c r="C269" s="10" t="s">
        <v>91</v>
      </c>
      <c r="D269" s="10" t="s">
        <v>92</v>
      </c>
      <c r="E269" s="10">
        <v>3731585</v>
      </c>
      <c r="F269" s="23" t="s">
        <v>426</v>
      </c>
      <c r="G269" s="10" t="s">
        <v>11</v>
      </c>
      <c r="H269" s="10" t="s">
        <v>2707</v>
      </c>
      <c r="I269" s="13">
        <v>44843</v>
      </c>
      <c r="J269" s="10" t="str">
        <f t="shared" ca="1" si="37"/>
        <v xml:space="preserve">3  Años, 10  Mes, 17 Dias </v>
      </c>
      <c r="K269" s="10" t="s">
        <v>113</v>
      </c>
      <c r="L269" s="19"/>
      <c r="M269" s="19" t="str">
        <f t="shared" ca="1" si="39"/>
        <v/>
      </c>
      <c r="N269" s="10" t="s">
        <v>120</v>
      </c>
      <c r="O269" s="10" t="s">
        <v>122</v>
      </c>
      <c r="P269" s="10" t="s">
        <v>124</v>
      </c>
      <c r="Q269" s="18" t="s">
        <v>128</v>
      </c>
      <c r="R269" s="10" t="s">
        <v>133</v>
      </c>
      <c r="S269" s="10" t="s">
        <v>2708</v>
      </c>
      <c r="T269" s="10" t="s">
        <v>136</v>
      </c>
      <c r="U269" s="10">
        <v>3246470494</v>
      </c>
      <c r="V269" s="19"/>
      <c r="W269" s="10" t="s">
        <v>2709</v>
      </c>
      <c r="X269" s="10" t="s">
        <v>136</v>
      </c>
      <c r="Y269" s="10" t="s">
        <v>203</v>
      </c>
      <c r="Z269" s="10" t="s">
        <v>216</v>
      </c>
      <c r="AA269" s="24"/>
      <c r="AB269" s="24"/>
      <c r="AC269" s="13">
        <v>45830</v>
      </c>
      <c r="AD269" s="10" t="s">
        <v>209</v>
      </c>
    </row>
    <row r="270" spans="1:30" ht="15.75" customHeight="1" x14ac:dyDescent="0.25">
      <c r="A270" s="10" t="s">
        <v>77</v>
      </c>
      <c r="B270" s="10" t="s">
        <v>86</v>
      </c>
      <c r="C270" s="10" t="s">
        <v>91</v>
      </c>
      <c r="D270" s="10" t="s">
        <v>92</v>
      </c>
      <c r="E270" s="10">
        <v>8505802</v>
      </c>
      <c r="F270" s="23" t="s">
        <v>520</v>
      </c>
      <c r="G270" s="10" t="s">
        <v>11</v>
      </c>
      <c r="H270" s="10" t="s">
        <v>2710</v>
      </c>
      <c r="I270" s="13">
        <v>44843</v>
      </c>
      <c r="J270" s="10" t="str">
        <f t="shared" ca="1" si="37"/>
        <v xml:space="preserve">3  Años, 10  Mes, 17 Dias </v>
      </c>
      <c r="K270" s="10" t="s">
        <v>113</v>
      </c>
      <c r="L270" s="19"/>
      <c r="M270" s="19" t="str">
        <f t="shared" ca="1" si="39"/>
        <v/>
      </c>
      <c r="N270" s="10" t="s">
        <v>120</v>
      </c>
      <c r="O270" s="10" t="s">
        <v>122</v>
      </c>
      <c r="P270" s="10" t="s">
        <v>142</v>
      </c>
      <c r="Q270" s="18" t="s">
        <v>648</v>
      </c>
      <c r="R270" s="10" t="s">
        <v>133</v>
      </c>
      <c r="S270" s="10" t="s">
        <v>2711</v>
      </c>
      <c r="T270" s="10" t="s">
        <v>136</v>
      </c>
      <c r="U270" s="10">
        <v>3003995919</v>
      </c>
      <c r="V270" s="19"/>
      <c r="W270" s="10" t="s">
        <v>2712</v>
      </c>
      <c r="X270" s="10" t="s">
        <v>136</v>
      </c>
      <c r="Y270" s="10" t="s">
        <v>206</v>
      </c>
      <c r="Z270" s="10" t="s">
        <v>170</v>
      </c>
      <c r="AA270" s="24"/>
      <c r="AB270" s="24"/>
      <c r="AC270" s="13">
        <v>45830</v>
      </c>
      <c r="AD270" s="10" t="s">
        <v>209</v>
      </c>
    </row>
    <row r="271" spans="1:30" ht="15.75" customHeight="1" x14ac:dyDescent="0.25">
      <c r="A271" s="10" t="s">
        <v>77</v>
      </c>
      <c r="B271" s="10" t="s">
        <v>90</v>
      </c>
      <c r="C271" s="10" t="s">
        <v>175</v>
      </c>
      <c r="D271" s="10" t="s">
        <v>92</v>
      </c>
      <c r="E271" s="10">
        <v>1193207885</v>
      </c>
      <c r="F271" s="23" t="s">
        <v>1043</v>
      </c>
      <c r="G271" s="10" t="s">
        <v>11</v>
      </c>
      <c r="H271" s="10" t="s">
        <v>1044</v>
      </c>
      <c r="I271" s="13">
        <v>45855</v>
      </c>
      <c r="J271" s="10" t="str">
        <f t="shared" ca="1" si="37"/>
        <v xml:space="preserve">1  Años, 1  Mes, 9 Dias </v>
      </c>
      <c r="K271" s="10" t="s">
        <v>113</v>
      </c>
      <c r="L271" s="13">
        <v>36072</v>
      </c>
      <c r="M271" s="10">
        <f t="shared" ca="1" si="39"/>
        <v>27</v>
      </c>
      <c r="N271" s="10" t="s">
        <v>120</v>
      </c>
      <c r="O271" s="10" t="s">
        <v>236</v>
      </c>
      <c r="P271" s="10" t="s">
        <v>142</v>
      </c>
      <c r="Q271" s="18" t="s">
        <v>128</v>
      </c>
      <c r="R271" s="10" t="s">
        <v>133</v>
      </c>
      <c r="S271" s="10" t="s">
        <v>1047</v>
      </c>
      <c r="T271" s="10" t="s">
        <v>136</v>
      </c>
      <c r="U271" s="10">
        <v>3003165902</v>
      </c>
      <c r="V271" s="19"/>
      <c r="W271" s="10" t="s">
        <v>1050</v>
      </c>
      <c r="X271" s="10" t="s">
        <v>136</v>
      </c>
      <c r="Y271" s="19"/>
      <c r="Z271" s="19"/>
      <c r="AA271" s="10">
        <v>91277946101</v>
      </c>
      <c r="AB271" s="10" t="s">
        <v>393</v>
      </c>
      <c r="AC271" s="24"/>
      <c r="AD271" s="10" t="s">
        <v>209</v>
      </c>
    </row>
    <row r="272" spans="1:30" ht="15.75" customHeight="1" x14ac:dyDescent="0.25">
      <c r="A272" s="10" t="s">
        <v>77</v>
      </c>
      <c r="B272" s="10" t="s">
        <v>86</v>
      </c>
      <c r="C272" s="10" t="s">
        <v>91</v>
      </c>
      <c r="D272" s="10" t="s">
        <v>92</v>
      </c>
      <c r="E272" s="10">
        <v>19871714</v>
      </c>
      <c r="F272" s="23" t="s">
        <v>2713</v>
      </c>
      <c r="G272" s="10" t="s">
        <v>26</v>
      </c>
      <c r="H272" s="10" t="s">
        <v>2714</v>
      </c>
      <c r="I272" s="13">
        <v>45307</v>
      </c>
      <c r="J272" s="10" t="str">
        <f t="shared" ca="1" si="37"/>
        <v xml:space="preserve">2  Años, 7  Mes, 10 Dias </v>
      </c>
      <c r="K272" s="10" t="s">
        <v>113</v>
      </c>
      <c r="L272" s="13">
        <v>25872</v>
      </c>
      <c r="M272" s="10">
        <f t="shared" ca="1" si="39"/>
        <v>55</v>
      </c>
      <c r="N272" s="10" t="s">
        <v>120</v>
      </c>
      <c r="O272" s="10" t="s">
        <v>122</v>
      </c>
      <c r="P272" s="10" t="s">
        <v>142</v>
      </c>
      <c r="Q272" s="18" t="s">
        <v>128</v>
      </c>
      <c r="R272" s="10" t="s">
        <v>133</v>
      </c>
      <c r="S272" s="10" t="s">
        <v>2715</v>
      </c>
      <c r="T272" s="10" t="s">
        <v>151</v>
      </c>
      <c r="U272" s="10">
        <v>3136403152</v>
      </c>
      <c r="V272" s="19"/>
      <c r="W272" s="40" t="s">
        <v>2716</v>
      </c>
      <c r="X272" s="10" t="s">
        <v>136</v>
      </c>
      <c r="Y272" s="10" t="s">
        <v>155</v>
      </c>
      <c r="Z272" s="10" t="s">
        <v>170</v>
      </c>
      <c r="AA272" s="24"/>
      <c r="AB272" s="24"/>
      <c r="AC272" s="13">
        <v>45394</v>
      </c>
      <c r="AD272" s="24"/>
    </row>
    <row r="273" spans="1:30" ht="15.75" customHeight="1" x14ac:dyDescent="0.25">
      <c r="A273" s="10" t="s">
        <v>77</v>
      </c>
      <c r="B273" s="10" t="s">
        <v>86</v>
      </c>
      <c r="C273" s="10" t="s">
        <v>91</v>
      </c>
      <c r="D273" s="10" t="s">
        <v>92</v>
      </c>
      <c r="E273" s="10">
        <v>3743054</v>
      </c>
      <c r="F273" s="23" t="s">
        <v>2717</v>
      </c>
      <c r="G273" s="10" t="s">
        <v>26</v>
      </c>
      <c r="H273" s="10" t="s">
        <v>2718</v>
      </c>
      <c r="I273" s="13">
        <v>45497</v>
      </c>
      <c r="J273" s="10" t="str">
        <f t="shared" ca="1" si="37"/>
        <v xml:space="preserve">2  Años, 1  Mes, 2 Dias </v>
      </c>
      <c r="K273" s="10" t="s">
        <v>113</v>
      </c>
      <c r="L273" s="19"/>
      <c r="M273" s="19"/>
      <c r="N273" s="10" t="s">
        <v>120</v>
      </c>
      <c r="O273" s="10" t="s">
        <v>122</v>
      </c>
      <c r="P273" s="10" t="s">
        <v>142</v>
      </c>
      <c r="Q273" s="18" t="s">
        <v>128</v>
      </c>
      <c r="R273" s="10" t="s">
        <v>133</v>
      </c>
      <c r="S273" s="10" t="s">
        <v>2719</v>
      </c>
      <c r="T273" s="10" t="s">
        <v>136</v>
      </c>
      <c r="U273" s="10">
        <v>3218151382</v>
      </c>
      <c r="V273" s="19"/>
      <c r="W273" s="40" t="s">
        <v>2720</v>
      </c>
      <c r="X273" s="10" t="s">
        <v>136</v>
      </c>
      <c r="Y273" s="10" t="s">
        <v>203</v>
      </c>
      <c r="Z273" s="10" t="s">
        <v>288</v>
      </c>
      <c r="AA273" s="24"/>
      <c r="AB273" s="24"/>
      <c r="AC273" s="13">
        <v>45757</v>
      </c>
      <c r="AD273" s="10" t="s">
        <v>1114</v>
      </c>
    </row>
    <row r="274" spans="1:30" ht="15.75" customHeight="1" x14ac:dyDescent="0.25">
      <c r="A274" s="10" t="s">
        <v>77</v>
      </c>
      <c r="B274" s="10" t="s">
        <v>86</v>
      </c>
      <c r="C274" s="10" t="s">
        <v>91</v>
      </c>
      <c r="D274" s="10" t="s">
        <v>92</v>
      </c>
      <c r="E274" s="10">
        <v>1046703436</v>
      </c>
      <c r="F274" s="23" t="s">
        <v>419</v>
      </c>
      <c r="G274" s="10" t="s">
        <v>18</v>
      </c>
      <c r="H274" s="10" t="s">
        <v>2721</v>
      </c>
      <c r="I274" s="13">
        <v>45423</v>
      </c>
      <c r="J274" s="10" t="str">
        <f t="shared" ca="1" si="37"/>
        <v xml:space="preserve">2  Años, 3  Mes, 15 Dias </v>
      </c>
      <c r="K274" s="10" t="s">
        <v>113</v>
      </c>
      <c r="L274" s="19"/>
      <c r="M274" s="19" t="str">
        <f t="shared" ref="M274:M278" ca="1" si="40">IF(L274=0,"", DATEDIF(L274,TODAY(),"y"))</f>
        <v/>
      </c>
      <c r="N274" s="10" t="s">
        <v>120</v>
      </c>
      <c r="O274" s="10" t="s">
        <v>122</v>
      </c>
      <c r="P274" s="10" t="s">
        <v>142</v>
      </c>
      <c r="Q274" s="18" t="s">
        <v>128</v>
      </c>
      <c r="R274" s="10" t="s">
        <v>133</v>
      </c>
      <c r="S274" s="10" t="s">
        <v>2722</v>
      </c>
      <c r="T274" s="10" t="s">
        <v>136</v>
      </c>
      <c r="U274" s="10">
        <v>3136234000</v>
      </c>
      <c r="V274" s="19"/>
      <c r="W274" s="10" t="s">
        <v>2723</v>
      </c>
      <c r="X274" s="10" t="s">
        <v>136</v>
      </c>
      <c r="Y274" s="10" t="s">
        <v>791</v>
      </c>
      <c r="Z274" s="10" t="s">
        <v>170</v>
      </c>
      <c r="AA274" s="24"/>
      <c r="AB274" s="24"/>
      <c r="AC274" s="13">
        <v>45678</v>
      </c>
      <c r="AD274" s="10" t="s">
        <v>148</v>
      </c>
    </row>
    <row r="275" spans="1:30" ht="15.75" customHeight="1" x14ac:dyDescent="0.25">
      <c r="A275" s="10" t="s">
        <v>77</v>
      </c>
      <c r="B275" s="10" t="s">
        <v>90</v>
      </c>
      <c r="C275" s="10" t="s">
        <v>175</v>
      </c>
      <c r="D275" s="10" t="s">
        <v>92</v>
      </c>
      <c r="E275" s="10">
        <v>1079658000</v>
      </c>
      <c r="F275" s="23" t="s">
        <v>446</v>
      </c>
      <c r="G275" s="10" t="s">
        <v>741</v>
      </c>
      <c r="H275" s="10" t="s">
        <v>1054</v>
      </c>
      <c r="I275" s="13">
        <v>45839</v>
      </c>
      <c r="J275" s="10" t="str">
        <f t="shared" ca="1" si="37"/>
        <v xml:space="preserve">1  Años, 1  Mes, 25 Dias </v>
      </c>
      <c r="K275" s="10" t="s">
        <v>113</v>
      </c>
      <c r="L275" s="19"/>
      <c r="M275" s="19" t="str">
        <f t="shared" ca="1" si="40"/>
        <v/>
      </c>
      <c r="N275" s="10" t="s">
        <v>120</v>
      </c>
      <c r="O275" s="10" t="s">
        <v>122</v>
      </c>
      <c r="P275" s="10" t="s">
        <v>142</v>
      </c>
      <c r="Q275" s="18" t="s">
        <v>128</v>
      </c>
      <c r="R275" s="10" t="s">
        <v>133</v>
      </c>
      <c r="S275" s="10" t="s">
        <v>1060</v>
      </c>
      <c r="T275" s="10" t="s">
        <v>136</v>
      </c>
      <c r="U275" s="10">
        <v>3134443017</v>
      </c>
      <c r="V275" s="19"/>
      <c r="W275" s="10" t="s">
        <v>1061</v>
      </c>
      <c r="X275" s="10" t="s">
        <v>136</v>
      </c>
      <c r="Y275" s="10" t="s">
        <v>253</v>
      </c>
      <c r="Z275" s="10" t="s">
        <v>170</v>
      </c>
      <c r="AA275" s="30">
        <v>8600003680</v>
      </c>
      <c r="AB275" s="30" t="s">
        <v>393</v>
      </c>
      <c r="AC275" s="13">
        <v>45830</v>
      </c>
      <c r="AD275" s="10" t="s">
        <v>209</v>
      </c>
    </row>
    <row r="276" spans="1:30" ht="15.75" customHeight="1" x14ac:dyDescent="0.25">
      <c r="A276" s="10" t="s">
        <v>160</v>
      </c>
      <c r="B276" s="10" t="s">
        <v>86</v>
      </c>
      <c r="C276" s="10" t="s">
        <v>91</v>
      </c>
      <c r="D276" s="10" t="s">
        <v>92</v>
      </c>
      <c r="E276" s="12">
        <v>1048277796</v>
      </c>
      <c r="F276" s="15" t="s">
        <v>2724</v>
      </c>
      <c r="G276" s="12" t="s">
        <v>688</v>
      </c>
      <c r="H276" s="12" t="s">
        <v>2725</v>
      </c>
      <c r="I276" s="16">
        <v>45779</v>
      </c>
      <c r="J276" s="10" t="str">
        <f t="shared" ca="1" si="37"/>
        <v xml:space="preserve">1  Años, 3  Mes, 24 Dias </v>
      </c>
      <c r="K276" s="12" t="s">
        <v>113</v>
      </c>
      <c r="L276" s="16">
        <v>37602</v>
      </c>
      <c r="M276" s="10">
        <f t="shared" ca="1" si="40"/>
        <v>23</v>
      </c>
      <c r="N276" s="10" t="s">
        <v>120</v>
      </c>
      <c r="O276" s="10" t="s">
        <v>236</v>
      </c>
      <c r="P276" s="12" t="s">
        <v>210</v>
      </c>
      <c r="Q276" s="18" t="s">
        <v>128</v>
      </c>
      <c r="R276" s="10" t="s">
        <v>133</v>
      </c>
      <c r="S276" s="12" t="s">
        <v>2726</v>
      </c>
      <c r="T276" s="12" t="s">
        <v>1932</v>
      </c>
      <c r="U276" s="12">
        <v>3004432805</v>
      </c>
      <c r="V276" s="5"/>
      <c r="W276" s="12" t="s">
        <v>2727</v>
      </c>
      <c r="X276" s="12" t="s">
        <v>136</v>
      </c>
      <c r="Y276" s="12" t="s">
        <v>203</v>
      </c>
      <c r="Z276" s="12" t="s">
        <v>1875</v>
      </c>
      <c r="AA276" s="31"/>
      <c r="AB276" s="31"/>
      <c r="AC276" s="31"/>
      <c r="AD276" s="10" t="s">
        <v>209</v>
      </c>
    </row>
    <row r="277" spans="1:30" ht="15.75" customHeight="1" x14ac:dyDescent="0.25">
      <c r="A277" s="10" t="s">
        <v>77</v>
      </c>
      <c r="B277" s="10" t="s">
        <v>86</v>
      </c>
      <c r="C277" s="10" t="s">
        <v>91</v>
      </c>
      <c r="D277" s="10" t="s">
        <v>92</v>
      </c>
      <c r="E277" s="10">
        <v>1143154711</v>
      </c>
      <c r="F277" s="23" t="s">
        <v>560</v>
      </c>
      <c r="G277" s="10" t="s">
        <v>18</v>
      </c>
      <c r="H277" s="10" t="s">
        <v>2728</v>
      </c>
      <c r="I277" s="13">
        <v>45148</v>
      </c>
      <c r="J277" s="10" t="str">
        <f t="shared" ca="1" si="37"/>
        <v xml:space="preserve">3  Años, 0  Mes, 16 Dias </v>
      </c>
      <c r="K277" s="10" t="s">
        <v>113</v>
      </c>
      <c r="L277" s="24"/>
      <c r="M277" s="19" t="str">
        <f t="shared" ca="1" si="40"/>
        <v/>
      </c>
      <c r="N277" s="10" t="s">
        <v>120</v>
      </c>
      <c r="O277" s="10" t="s">
        <v>236</v>
      </c>
      <c r="P277" s="10" t="s">
        <v>142</v>
      </c>
      <c r="Q277" s="18" t="s">
        <v>128</v>
      </c>
      <c r="R277" s="10" t="s">
        <v>133</v>
      </c>
      <c r="S277" s="10" t="s">
        <v>2729</v>
      </c>
      <c r="T277" s="10" t="s">
        <v>151</v>
      </c>
      <c r="U277" s="10">
        <v>3107262298</v>
      </c>
      <c r="V277" s="10">
        <v>3107262292</v>
      </c>
      <c r="W277" s="10" t="s">
        <v>2730</v>
      </c>
      <c r="X277" s="10" t="s">
        <v>136</v>
      </c>
      <c r="Y277" s="10" t="s">
        <v>206</v>
      </c>
      <c r="Z277" s="10" t="s">
        <v>170</v>
      </c>
      <c r="AA277" s="33"/>
      <c r="AB277" s="33"/>
      <c r="AC277" s="35">
        <v>45290</v>
      </c>
      <c r="AD277" s="19"/>
    </row>
    <row r="278" spans="1:30" ht="15.75" customHeight="1" x14ac:dyDescent="0.25">
      <c r="A278" s="10" t="s">
        <v>77</v>
      </c>
      <c r="B278" s="10" t="s">
        <v>90</v>
      </c>
      <c r="C278" s="10" t="s">
        <v>91</v>
      </c>
      <c r="D278" s="10" t="s">
        <v>92</v>
      </c>
      <c r="E278" s="12">
        <v>1140822700</v>
      </c>
      <c r="F278" s="15" t="s">
        <v>1966</v>
      </c>
      <c r="G278" s="10" t="s">
        <v>26</v>
      </c>
      <c r="H278" s="19"/>
      <c r="I278" s="16">
        <v>45885</v>
      </c>
      <c r="J278" s="10" t="str">
        <f t="shared" ca="1" si="37"/>
        <v xml:space="preserve">1  Años, 0  Mes, 10 Dias </v>
      </c>
      <c r="K278" s="12" t="s">
        <v>113</v>
      </c>
      <c r="L278" s="53">
        <v>32504</v>
      </c>
      <c r="M278" s="10">
        <f t="shared" ca="1" si="40"/>
        <v>37</v>
      </c>
      <c r="N278" s="10" t="s">
        <v>120</v>
      </c>
      <c r="O278" s="10" t="s">
        <v>277</v>
      </c>
      <c r="P278" s="5"/>
      <c r="Q278" s="18" t="s">
        <v>128</v>
      </c>
      <c r="R278" s="10" t="s">
        <v>133</v>
      </c>
      <c r="S278" s="12" t="s">
        <v>1972</v>
      </c>
      <c r="T278" s="12" t="s">
        <v>151</v>
      </c>
      <c r="U278" s="12">
        <v>3042854490</v>
      </c>
      <c r="V278" s="5"/>
      <c r="W278" s="5"/>
      <c r="X278" s="10" t="s">
        <v>136</v>
      </c>
      <c r="Y278" s="5"/>
      <c r="Z278" s="5"/>
      <c r="AA278" s="20"/>
      <c r="AB278" s="20"/>
      <c r="AC278" s="20"/>
      <c r="AD278" s="10" t="s">
        <v>209</v>
      </c>
    </row>
    <row r="279" spans="1:30" ht="15.75" customHeight="1" x14ac:dyDescent="0.25">
      <c r="A279" s="10" t="s">
        <v>77</v>
      </c>
      <c r="B279" s="10" t="s">
        <v>86</v>
      </c>
      <c r="C279" s="10" t="s">
        <v>91</v>
      </c>
      <c r="D279" s="10" t="s">
        <v>92</v>
      </c>
      <c r="E279" s="10">
        <v>1045754726</v>
      </c>
      <c r="F279" s="23" t="s">
        <v>2731</v>
      </c>
      <c r="G279" s="10" t="s">
        <v>26</v>
      </c>
      <c r="H279" s="10" t="s">
        <v>2732</v>
      </c>
      <c r="I279" s="13">
        <v>45469</v>
      </c>
      <c r="J279" s="10" t="str">
        <f t="shared" ca="1" si="37"/>
        <v xml:space="preserve">2  Años, 2  Mes, 0 Dias </v>
      </c>
      <c r="K279" s="10" t="s">
        <v>113</v>
      </c>
      <c r="L279" s="19"/>
      <c r="M279" s="19"/>
      <c r="N279" s="10" t="s">
        <v>120</v>
      </c>
      <c r="O279" s="10" t="s">
        <v>122</v>
      </c>
      <c r="P279" s="10" t="s">
        <v>124</v>
      </c>
      <c r="Q279" s="18" t="s">
        <v>128</v>
      </c>
      <c r="R279" s="10" t="s">
        <v>133</v>
      </c>
      <c r="S279" s="10" t="s">
        <v>2733</v>
      </c>
      <c r="T279" s="10" t="s">
        <v>136</v>
      </c>
      <c r="U279" s="10">
        <v>3245475004</v>
      </c>
      <c r="V279" s="19"/>
      <c r="W279" s="40" t="s">
        <v>2734</v>
      </c>
      <c r="X279" s="10" t="s">
        <v>136</v>
      </c>
      <c r="Y279" s="10" t="s">
        <v>539</v>
      </c>
      <c r="Z279" s="10" t="s">
        <v>170</v>
      </c>
      <c r="AA279" s="33"/>
      <c r="AB279" s="33"/>
      <c r="AC279" s="35">
        <v>45656</v>
      </c>
      <c r="AD279" s="19"/>
    </row>
    <row r="280" spans="1:30" ht="15.75" customHeight="1" x14ac:dyDescent="0.25">
      <c r="A280" s="10" t="s">
        <v>160</v>
      </c>
      <c r="B280" s="10" t="s">
        <v>86</v>
      </c>
      <c r="C280" s="10" t="s">
        <v>91</v>
      </c>
      <c r="D280" s="10" t="s">
        <v>92</v>
      </c>
      <c r="E280" s="12">
        <v>1221975204</v>
      </c>
      <c r="F280" s="15" t="s">
        <v>2735</v>
      </c>
      <c r="G280" s="12" t="s">
        <v>503</v>
      </c>
      <c r="H280" s="12" t="s">
        <v>2736</v>
      </c>
      <c r="I280" s="16">
        <v>45552</v>
      </c>
      <c r="J280" s="10" t="str">
        <f t="shared" ca="1" si="37"/>
        <v xml:space="preserve">1  Años, 11  Mes, 9 Dias </v>
      </c>
      <c r="K280" s="10" t="s">
        <v>113</v>
      </c>
      <c r="L280" s="5"/>
      <c r="M280" s="5"/>
      <c r="N280" s="10" t="s">
        <v>120</v>
      </c>
      <c r="O280" s="10" t="s">
        <v>236</v>
      </c>
      <c r="P280" s="12" t="s">
        <v>124</v>
      </c>
      <c r="Q280" s="18" t="s">
        <v>648</v>
      </c>
      <c r="R280" s="10" t="s">
        <v>133</v>
      </c>
      <c r="S280" s="12" t="s">
        <v>2737</v>
      </c>
      <c r="T280" s="10" t="s">
        <v>136</v>
      </c>
      <c r="U280" s="12">
        <v>3004328746</v>
      </c>
      <c r="V280" s="5"/>
      <c r="W280" s="59" t="s">
        <v>2738</v>
      </c>
      <c r="X280" s="10" t="s">
        <v>136</v>
      </c>
      <c r="Y280" s="10" t="s">
        <v>155</v>
      </c>
      <c r="Z280" s="10" t="s">
        <v>288</v>
      </c>
      <c r="AA280" s="33"/>
      <c r="AB280" s="33"/>
      <c r="AC280" s="35">
        <v>45656</v>
      </c>
      <c r="AD280" s="5"/>
    </row>
    <row r="281" spans="1:30" ht="15.75" customHeight="1" x14ac:dyDescent="0.25">
      <c r="A281" s="10" t="s">
        <v>77</v>
      </c>
      <c r="B281" s="10" t="s">
        <v>90</v>
      </c>
      <c r="C281" s="10" t="s">
        <v>175</v>
      </c>
      <c r="D281" s="10" t="s">
        <v>92</v>
      </c>
      <c r="E281" s="12">
        <v>1046703436</v>
      </c>
      <c r="F281" s="23" t="s">
        <v>419</v>
      </c>
      <c r="G281" s="10" t="s">
        <v>18</v>
      </c>
      <c r="H281" s="10" t="s">
        <v>2087</v>
      </c>
      <c r="I281" s="13">
        <v>45831</v>
      </c>
      <c r="J281" s="10" t="str">
        <f t="shared" ca="1" si="37"/>
        <v xml:space="preserve">1  Años, 2  Mes, 3 Dias </v>
      </c>
      <c r="K281" s="12" t="s">
        <v>113</v>
      </c>
      <c r="L281" s="16">
        <v>36441</v>
      </c>
      <c r="M281" s="10">
        <f t="shared" ref="M281:M282" ca="1" si="41">IF(L281=0,"", DATEDIF(L281,TODAY(),"y"))</f>
        <v>26</v>
      </c>
      <c r="N281" s="10" t="s">
        <v>120</v>
      </c>
      <c r="O281" s="10" t="s">
        <v>236</v>
      </c>
      <c r="P281" s="12" t="s">
        <v>142</v>
      </c>
      <c r="Q281" s="18" t="s">
        <v>128</v>
      </c>
      <c r="R281" s="10" t="s">
        <v>133</v>
      </c>
      <c r="S281" s="12" t="s">
        <v>2091</v>
      </c>
      <c r="T281" s="12" t="s">
        <v>2092</v>
      </c>
      <c r="U281" s="12">
        <v>3012820199</v>
      </c>
      <c r="V281" s="5"/>
      <c r="W281" s="12" t="s">
        <v>2094</v>
      </c>
      <c r="X281" s="12" t="s">
        <v>136</v>
      </c>
      <c r="Y281" s="12" t="s">
        <v>169</v>
      </c>
      <c r="Z281" s="12" t="s">
        <v>170</v>
      </c>
      <c r="AA281" s="47"/>
      <c r="AB281" s="5"/>
      <c r="AC281" s="20"/>
      <c r="AD281" s="10" t="s">
        <v>209</v>
      </c>
    </row>
    <row r="282" spans="1:30" ht="15.75" customHeight="1" x14ac:dyDescent="0.25">
      <c r="A282" s="10" t="s">
        <v>77</v>
      </c>
      <c r="B282" s="10" t="s">
        <v>90</v>
      </c>
      <c r="C282" s="10" t="s">
        <v>175</v>
      </c>
      <c r="D282" s="10" t="s">
        <v>92</v>
      </c>
      <c r="E282" s="10">
        <v>1140875023</v>
      </c>
      <c r="F282" s="23" t="s">
        <v>557</v>
      </c>
      <c r="G282" s="10" t="s">
        <v>18</v>
      </c>
      <c r="H282" s="10" t="s">
        <v>1068</v>
      </c>
      <c r="I282" s="13">
        <v>45831</v>
      </c>
      <c r="J282" s="10" t="str">
        <f t="shared" ca="1" si="37"/>
        <v xml:space="preserve">1  Años, 2  Mes, 3 Dias </v>
      </c>
      <c r="K282" s="10" t="s">
        <v>113</v>
      </c>
      <c r="L282" s="19"/>
      <c r="M282" s="19" t="str">
        <f t="shared" ca="1" si="41"/>
        <v/>
      </c>
      <c r="N282" s="10" t="s">
        <v>120</v>
      </c>
      <c r="O282" s="10" t="s">
        <v>122</v>
      </c>
      <c r="P282" s="10" t="s">
        <v>210</v>
      </c>
      <c r="Q282" s="18" t="s">
        <v>128</v>
      </c>
      <c r="R282" s="10" t="s">
        <v>133</v>
      </c>
      <c r="S282" s="10" t="s">
        <v>1072</v>
      </c>
      <c r="T282" s="10" t="s">
        <v>136</v>
      </c>
      <c r="U282" s="10">
        <v>3023090659</v>
      </c>
      <c r="V282" s="19"/>
      <c r="W282" s="10" t="s">
        <v>1075</v>
      </c>
      <c r="X282" s="10" t="s">
        <v>136</v>
      </c>
      <c r="Y282" s="10" t="s">
        <v>206</v>
      </c>
      <c r="Z282" s="10" t="s">
        <v>170</v>
      </c>
      <c r="AA282" s="24"/>
      <c r="AB282" s="24"/>
      <c r="AC282" s="13">
        <v>45362</v>
      </c>
      <c r="AD282" s="13" t="s">
        <v>209</v>
      </c>
    </row>
    <row r="283" spans="1:30" ht="15.75" customHeight="1" x14ac:dyDescent="0.25">
      <c r="A283" s="10" t="s">
        <v>77</v>
      </c>
      <c r="B283" s="10" t="s">
        <v>86</v>
      </c>
      <c r="C283" s="10" t="s">
        <v>91</v>
      </c>
      <c r="D283" s="10" t="s">
        <v>92</v>
      </c>
      <c r="E283" s="12">
        <v>1143440656</v>
      </c>
      <c r="F283" s="15" t="s">
        <v>2739</v>
      </c>
      <c r="G283" s="12" t="s">
        <v>11</v>
      </c>
      <c r="H283" s="12" t="s">
        <v>2740</v>
      </c>
      <c r="I283" s="16">
        <v>45628</v>
      </c>
      <c r="J283" s="10" t="str">
        <f t="shared" ca="1" si="37"/>
        <v xml:space="preserve">1  Años, 8  Mes, 24 Dias </v>
      </c>
      <c r="K283" s="12" t="s">
        <v>113</v>
      </c>
      <c r="L283" s="5"/>
      <c r="M283" s="5"/>
      <c r="N283" s="10" t="s">
        <v>120</v>
      </c>
      <c r="O283" s="10" t="s">
        <v>730</v>
      </c>
      <c r="P283" s="5"/>
      <c r="Q283" s="18" t="s">
        <v>128</v>
      </c>
      <c r="R283" s="12" t="s">
        <v>133</v>
      </c>
      <c r="S283" s="5"/>
      <c r="T283" s="5"/>
      <c r="U283" s="5"/>
      <c r="V283" s="5"/>
      <c r="W283" s="5"/>
      <c r="X283" s="12" t="s">
        <v>136</v>
      </c>
      <c r="Y283" s="12" t="s">
        <v>605</v>
      </c>
      <c r="Z283" s="12" t="s">
        <v>255</v>
      </c>
      <c r="AA283" s="33"/>
      <c r="AB283" s="33"/>
      <c r="AC283" s="35">
        <v>45656</v>
      </c>
      <c r="AD283" s="20"/>
    </row>
    <row r="284" spans="1:30" ht="15.75" customHeight="1" x14ac:dyDescent="0.25">
      <c r="A284" s="10" t="s">
        <v>77</v>
      </c>
      <c r="B284" s="10" t="s">
        <v>86</v>
      </c>
      <c r="C284" s="10" t="s">
        <v>91</v>
      </c>
      <c r="D284" s="10" t="s">
        <v>92</v>
      </c>
      <c r="E284" s="10">
        <v>1043932097</v>
      </c>
      <c r="F284" s="23" t="s">
        <v>407</v>
      </c>
      <c r="G284" s="10" t="s">
        <v>11</v>
      </c>
      <c r="H284" s="10" t="s">
        <v>2741</v>
      </c>
      <c r="I284" s="13">
        <v>45071</v>
      </c>
      <c r="J284" s="10" t="str">
        <f t="shared" ca="1" si="37"/>
        <v xml:space="preserve">3  Años, 3  Mes, 1 Dias </v>
      </c>
      <c r="K284" s="10" t="s">
        <v>113</v>
      </c>
      <c r="L284" s="24"/>
      <c r="M284" s="19" t="str">
        <f t="shared" ref="M284:M287" ca="1" si="42">IF(L284=0,"", DATEDIF(L284,TODAY(),"y"))</f>
        <v/>
      </c>
      <c r="N284" s="10" t="s">
        <v>120</v>
      </c>
      <c r="O284" s="10" t="s">
        <v>122</v>
      </c>
      <c r="P284" s="10" t="s">
        <v>210</v>
      </c>
      <c r="Q284" s="18" t="s">
        <v>128</v>
      </c>
      <c r="R284" s="10" t="s">
        <v>133</v>
      </c>
      <c r="S284" s="10" t="s">
        <v>2742</v>
      </c>
      <c r="T284" s="10" t="s">
        <v>899</v>
      </c>
      <c r="U284" s="10">
        <v>3207290571</v>
      </c>
      <c r="V284" s="10">
        <v>3207290571</v>
      </c>
      <c r="W284" s="10" t="s">
        <v>2743</v>
      </c>
      <c r="X284" s="10" t="s">
        <v>136</v>
      </c>
      <c r="Y284" s="10" t="s">
        <v>473</v>
      </c>
      <c r="Z284" s="10" t="s">
        <v>170</v>
      </c>
      <c r="AA284" s="33"/>
      <c r="AB284" s="33"/>
      <c r="AC284" s="35">
        <v>45290</v>
      </c>
      <c r="AD284" s="19"/>
    </row>
    <row r="285" spans="1:30" ht="15.75" customHeight="1" x14ac:dyDescent="0.25">
      <c r="A285" s="10" t="s">
        <v>77</v>
      </c>
      <c r="B285" s="10" t="s">
        <v>86</v>
      </c>
      <c r="C285" s="10" t="s">
        <v>91</v>
      </c>
      <c r="D285" s="10" t="s">
        <v>92</v>
      </c>
      <c r="E285" s="10">
        <v>72261005</v>
      </c>
      <c r="F285" s="23" t="s">
        <v>493</v>
      </c>
      <c r="G285" s="10" t="s">
        <v>26</v>
      </c>
      <c r="H285" s="10" t="s">
        <v>496</v>
      </c>
      <c r="I285" s="13">
        <v>45864</v>
      </c>
      <c r="J285" s="10" t="str">
        <f t="shared" ca="1" si="37"/>
        <v xml:space="preserve">1  Años, 1  Mes, 0 Dias </v>
      </c>
      <c r="K285" s="10" t="s">
        <v>113</v>
      </c>
      <c r="L285" s="13">
        <v>29616</v>
      </c>
      <c r="M285" s="10">
        <f t="shared" ca="1" si="42"/>
        <v>45</v>
      </c>
      <c r="N285" s="10" t="s">
        <v>120</v>
      </c>
      <c r="O285" s="10" t="s">
        <v>122</v>
      </c>
      <c r="P285" s="10" t="s">
        <v>124</v>
      </c>
      <c r="Q285" s="18" t="s">
        <v>128</v>
      </c>
      <c r="R285" s="10" t="s">
        <v>133</v>
      </c>
      <c r="S285" s="10" t="s">
        <v>506</v>
      </c>
      <c r="T285" s="10" t="s">
        <v>507</v>
      </c>
      <c r="U285" s="10">
        <v>3243321662</v>
      </c>
      <c r="V285" s="19"/>
      <c r="W285" s="19"/>
      <c r="X285" s="10" t="s">
        <v>136</v>
      </c>
      <c r="Y285" s="19"/>
      <c r="Z285" s="19"/>
      <c r="AA285" s="45"/>
      <c r="AB285" s="19"/>
      <c r="AC285" s="13">
        <v>45883</v>
      </c>
      <c r="AD285" s="10" t="s">
        <v>209</v>
      </c>
    </row>
    <row r="286" spans="1:30" ht="15.75" customHeight="1" x14ac:dyDescent="0.25">
      <c r="A286" s="10" t="s">
        <v>77</v>
      </c>
      <c r="B286" s="10" t="s">
        <v>86</v>
      </c>
      <c r="C286" s="10" t="s">
        <v>91</v>
      </c>
      <c r="D286" s="10" t="s">
        <v>92</v>
      </c>
      <c r="E286" s="10">
        <v>91003581</v>
      </c>
      <c r="F286" s="23" t="s">
        <v>2744</v>
      </c>
      <c r="G286" s="10" t="s">
        <v>32</v>
      </c>
      <c r="H286" s="10" t="s">
        <v>2745</v>
      </c>
      <c r="I286" s="13">
        <v>45297</v>
      </c>
      <c r="J286" s="10" t="str">
        <f t="shared" ca="1" si="37"/>
        <v xml:space="preserve">2  Años, 7  Mes, 20 Dias </v>
      </c>
      <c r="K286" s="10" t="s">
        <v>113</v>
      </c>
      <c r="L286" s="19"/>
      <c r="M286" s="19" t="str">
        <f t="shared" ca="1" si="42"/>
        <v/>
      </c>
      <c r="N286" s="10" t="s">
        <v>120</v>
      </c>
      <c r="O286" s="10" t="s">
        <v>122</v>
      </c>
      <c r="P286" s="10" t="s">
        <v>142</v>
      </c>
      <c r="Q286" s="18" t="s">
        <v>128</v>
      </c>
      <c r="R286" s="10" t="s">
        <v>133</v>
      </c>
      <c r="S286" s="10" t="s">
        <v>2746</v>
      </c>
      <c r="T286" s="10" t="s">
        <v>2747</v>
      </c>
      <c r="U286" s="10">
        <v>3202871835</v>
      </c>
      <c r="V286" s="19"/>
      <c r="W286" s="59" t="s">
        <v>2748</v>
      </c>
      <c r="X286" s="10" t="s">
        <v>136</v>
      </c>
      <c r="Y286" s="10" t="s">
        <v>673</v>
      </c>
      <c r="Z286" s="10" t="s">
        <v>288</v>
      </c>
      <c r="AA286" s="24"/>
      <c r="AB286" s="24"/>
      <c r="AC286" s="13">
        <v>45401</v>
      </c>
      <c r="AD286" s="24"/>
    </row>
    <row r="287" spans="1:30" ht="15.75" customHeight="1" x14ac:dyDescent="0.25">
      <c r="A287" s="10" t="s">
        <v>77</v>
      </c>
      <c r="B287" s="10" t="s">
        <v>86</v>
      </c>
      <c r="C287" s="10" t="s">
        <v>91</v>
      </c>
      <c r="D287" s="10" t="s">
        <v>92</v>
      </c>
      <c r="E287" s="10">
        <v>1047340831</v>
      </c>
      <c r="F287" s="23" t="s">
        <v>405</v>
      </c>
      <c r="G287" s="10" t="s">
        <v>18</v>
      </c>
      <c r="H287" s="10" t="s">
        <v>2749</v>
      </c>
      <c r="I287" s="13">
        <v>45063</v>
      </c>
      <c r="J287" s="10" t="str">
        <f t="shared" ca="1" si="37"/>
        <v xml:space="preserve">3  Años, 3  Mes, 9 Dias </v>
      </c>
      <c r="K287" s="10" t="s">
        <v>113</v>
      </c>
      <c r="L287" s="19"/>
      <c r="M287" s="19" t="str">
        <f t="shared" ca="1" si="42"/>
        <v/>
      </c>
      <c r="N287" s="10" t="s">
        <v>120</v>
      </c>
      <c r="O287" s="10" t="s">
        <v>122</v>
      </c>
      <c r="P287" s="10" t="s">
        <v>124</v>
      </c>
      <c r="Q287" s="18" t="s">
        <v>128</v>
      </c>
      <c r="R287" s="10" t="s">
        <v>133</v>
      </c>
      <c r="S287" s="10" t="s">
        <v>2750</v>
      </c>
      <c r="T287" s="10" t="s">
        <v>233</v>
      </c>
      <c r="U287" s="10">
        <v>3023837479</v>
      </c>
      <c r="V287" s="10">
        <v>3023837479</v>
      </c>
      <c r="W287" s="10" t="s">
        <v>2751</v>
      </c>
      <c r="X287" s="10" t="s">
        <v>136</v>
      </c>
      <c r="Y287" s="10" t="s">
        <v>253</v>
      </c>
      <c r="Z287" s="10" t="s">
        <v>170</v>
      </c>
      <c r="AA287" s="24"/>
      <c r="AB287" s="24"/>
      <c r="AC287" s="13">
        <v>45362</v>
      </c>
      <c r="AD287" s="24"/>
    </row>
    <row r="288" spans="1:30" ht="15.75" customHeight="1" x14ac:dyDescent="0.25">
      <c r="A288" s="10" t="s">
        <v>77</v>
      </c>
      <c r="B288" s="10" t="s">
        <v>90</v>
      </c>
      <c r="C288" s="10" t="s">
        <v>175</v>
      </c>
      <c r="D288" s="10" t="s">
        <v>92</v>
      </c>
      <c r="E288" s="12">
        <v>1002409399</v>
      </c>
      <c r="F288" s="15" t="s">
        <v>652</v>
      </c>
      <c r="G288" s="10" t="s">
        <v>655</v>
      </c>
      <c r="H288" s="12" t="s">
        <v>657</v>
      </c>
      <c r="I288" s="16">
        <v>45867</v>
      </c>
      <c r="J288" s="10" t="str">
        <f t="shared" ca="1" si="37"/>
        <v xml:space="preserve">1  Años, 0  Mes, 28 Dias </v>
      </c>
      <c r="K288" s="5"/>
      <c r="L288" s="5"/>
      <c r="M288" s="5"/>
      <c r="N288" s="10" t="s">
        <v>120</v>
      </c>
      <c r="O288" s="10" t="s">
        <v>122</v>
      </c>
      <c r="P288" s="5"/>
      <c r="Q288" s="5"/>
      <c r="R288" s="5"/>
      <c r="S288" s="5"/>
      <c r="T288" s="5"/>
      <c r="U288" s="12">
        <v>3023995622</v>
      </c>
      <c r="V288" s="5"/>
      <c r="W288" s="5"/>
      <c r="X288" s="10" t="s">
        <v>136</v>
      </c>
      <c r="Y288" s="5"/>
      <c r="Z288" s="5"/>
      <c r="AA288" s="20"/>
      <c r="AB288" s="20"/>
      <c r="AC288" s="20"/>
      <c r="AD288" s="20"/>
    </row>
    <row r="289" spans="1:30" ht="15.75" customHeight="1" x14ac:dyDescent="0.25">
      <c r="A289" s="10" t="s">
        <v>160</v>
      </c>
      <c r="B289" s="10" t="s">
        <v>90</v>
      </c>
      <c r="C289" s="10" t="s">
        <v>175</v>
      </c>
      <c r="D289" s="10" t="s">
        <v>92</v>
      </c>
      <c r="E289" s="10">
        <v>1143154925</v>
      </c>
      <c r="F289" s="23" t="s">
        <v>1820</v>
      </c>
      <c r="G289" s="10" t="s">
        <v>693</v>
      </c>
      <c r="H289" s="19"/>
      <c r="I289" s="30">
        <v>45887</v>
      </c>
      <c r="J289" s="10" t="str">
        <f t="shared" ca="1" si="37"/>
        <v xml:space="preserve">1  Años, 0  Mes, 8 Dias </v>
      </c>
      <c r="K289" s="10" t="s">
        <v>113</v>
      </c>
      <c r="L289" s="19"/>
      <c r="M289" s="19" t="str">
        <f t="shared" ref="M289:M300" ca="1" si="43">IF(L289=0,"", DATEDIF(L289,TODAY(),"y"))</f>
        <v/>
      </c>
      <c r="N289" s="10" t="s">
        <v>120</v>
      </c>
      <c r="O289" s="10" t="s">
        <v>236</v>
      </c>
      <c r="P289" s="10" t="s">
        <v>124</v>
      </c>
      <c r="Q289" s="18" t="s">
        <v>128</v>
      </c>
      <c r="R289" s="10" t="s">
        <v>133</v>
      </c>
      <c r="S289" s="10" t="s">
        <v>1827</v>
      </c>
      <c r="T289" s="10" t="s">
        <v>136</v>
      </c>
      <c r="U289" s="10">
        <v>3006649637</v>
      </c>
      <c r="V289" s="10">
        <v>3006649637</v>
      </c>
      <c r="W289" s="10" t="s">
        <v>1828</v>
      </c>
      <c r="X289" s="10" t="s">
        <v>136</v>
      </c>
      <c r="Y289" s="10" t="s">
        <v>203</v>
      </c>
      <c r="Z289" s="10" t="s">
        <v>216</v>
      </c>
      <c r="AA289" s="24"/>
      <c r="AB289" s="24"/>
      <c r="AC289" s="24"/>
      <c r="AD289" s="10" t="s">
        <v>209</v>
      </c>
    </row>
    <row r="290" spans="1:30" ht="15.75" customHeight="1" x14ac:dyDescent="0.25">
      <c r="A290" s="10" t="s">
        <v>77</v>
      </c>
      <c r="B290" s="10" t="s">
        <v>86</v>
      </c>
      <c r="C290" s="10" t="s">
        <v>91</v>
      </c>
      <c r="D290" s="10" t="s">
        <v>92</v>
      </c>
      <c r="E290" s="10">
        <v>1140898980</v>
      </c>
      <c r="F290" s="23" t="s">
        <v>106</v>
      </c>
      <c r="G290" s="10" t="s">
        <v>26</v>
      </c>
      <c r="H290" s="10" t="s">
        <v>2752</v>
      </c>
      <c r="I290" s="13">
        <v>45423</v>
      </c>
      <c r="J290" s="10" t="str">
        <f t="shared" ca="1" si="37"/>
        <v xml:space="preserve">2  Años, 3  Mes, 15 Dias </v>
      </c>
      <c r="K290" s="10" t="s">
        <v>113</v>
      </c>
      <c r="L290" s="24"/>
      <c r="M290" s="19" t="str">
        <f t="shared" ca="1" si="43"/>
        <v/>
      </c>
      <c r="N290" s="10" t="s">
        <v>120</v>
      </c>
      <c r="O290" s="10" t="s">
        <v>236</v>
      </c>
      <c r="P290" s="10" t="s">
        <v>142</v>
      </c>
      <c r="Q290" s="18" t="s">
        <v>128</v>
      </c>
      <c r="R290" s="10" t="s">
        <v>133</v>
      </c>
      <c r="S290" s="10" t="s">
        <v>2753</v>
      </c>
      <c r="T290" s="10" t="s">
        <v>151</v>
      </c>
      <c r="U290" s="10">
        <v>3014450071</v>
      </c>
      <c r="V290" s="10">
        <v>3017056572</v>
      </c>
      <c r="W290" s="10" t="s">
        <v>2754</v>
      </c>
      <c r="X290" s="10" t="s">
        <v>136</v>
      </c>
      <c r="Y290" s="10" t="s">
        <v>253</v>
      </c>
      <c r="Z290" s="10" t="s">
        <v>216</v>
      </c>
      <c r="AA290" s="24"/>
      <c r="AB290" s="24"/>
      <c r="AC290" s="13">
        <v>45517</v>
      </c>
      <c r="AD290" s="24"/>
    </row>
    <row r="291" spans="1:30" ht="15.75" customHeight="1" x14ac:dyDescent="0.25">
      <c r="A291" s="10" t="s">
        <v>77</v>
      </c>
      <c r="B291" s="10" t="s">
        <v>86</v>
      </c>
      <c r="C291" s="10" t="s">
        <v>91</v>
      </c>
      <c r="D291" s="10" t="s">
        <v>92</v>
      </c>
      <c r="E291" s="10">
        <v>77103646</v>
      </c>
      <c r="F291" s="23" t="s">
        <v>401</v>
      </c>
      <c r="G291" s="10" t="s">
        <v>18</v>
      </c>
      <c r="H291" s="10" t="s">
        <v>2755</v>
      </c>
      <c r="I291" s="13">
        <v>45297</v>
      </c>
      <c r="J291" s="10" t="str">
        <f t="shared" ca="1" si="37"/>
        <v xml:space="preserve">2  Años, 7  Mes, 20 Dias </v>
      </c>
      <c r="K291" s="10" t="s">
        <v>113</v>
      </c>
      <c r="L291" s="108"/>
      <c r="M291" s="19" t="str">
        <f t="shared" ca="1" si="43"/>
        <v/>
      </c>
      <c r="N291" s="10" t="s">
        <v>120</v>
      </c>
      <c r="O291" s="10" t="s">
        <v>122</v>
      </c>
      <c r="P291" s="10" t="s">
        <v>142</v>
      </c>
      <c r="Q291" s="18" t="s">
        <v>128</v>
      </c>
      <c r="R291" s="10" t="s">
        <v>133</v>
      </c>
      <c r="S291" s="10" t="s">
        <v>2756</v>
      </c>
      <c r="T291" s="10" t="s">
        <v>2757</v>
      </c>
      <c r="U291" s="10">
        <v>3004308594</v>
      </c>
      <c r="V291" s="19"/>
      <c r="W291" s="59" t="s">
        <v>2758</v>
      </c>
      <c r="X291" s="10" t="s">
        <v>136</v>
      </c>
      <c r="Y291" s="10" t="s">
        <v>203</v>
      </c>
      <c r="Z291" s="10" t="s">
        <v>170</v>
      </c>
      <c r="AA291" s="24"/>
      <c r="AB291" s="24"/>
      <c r="AC291" s="13">
        <v>45331</v>
      </c>
      <c r="AD291" s="24"/>
    </row>
    <row r="292" spans="1:30" ht="15.75" customHeight="1" x14ac:dyDescent="0.25">
      <c r="A292" s="10" t="s">
        <v>77</v>
      </c>
      <c r="B292" s="10" t="s">
        <v>86</v>
      </c>
      <c r="C292" s="10" t="s">
        <v>91</v>
      </c>
      <c r="D292" s="10" t="s">
        <v>92</v>
      </c>
      <c r="E292" s="10">
        <v>72241595</v>
      </c>
      <c r="F292" s="23" t="s">
        <v>399</v>
      </c>
      <c r="G292" s="10" t="s">
        <v>18</v>
      </c>
      <c r="H292" s="10" t="s">
        <v>2759</v>
      </c>
      <c r="I292" s="13">
        <v>45058</v>
      </c>
      <c r="J292" s="10" t="str">
        <f t="shared" ca="1" si="37"/>
        <v xml:space="preserve">3  Años, 3  Mes, 14 Dias </v>
      </c>
      <c r="K292" s="10" t="s">
        <v>113</v>
      </c>
      <c r="L292" s="19"/>
      <c r="M292" s="19" t="str">
        <f t="shared" ca="1" si="43"/>
        <v/>
      </c>
      <c r="N292" s="10" t="s">
        <v>120</v>
      </c>
      <c r="O292" s="10" t="s">
        <v>122</v>
      </c>
      <c r="P292" s="10" t="s">
        <v>124</v>
      </c>
      <c r="Q292" s="18" t="s">
        <v>128</v>
      </c>
      <c r="R292" s="10" t="s">
        <v>133</v>
      </c>
      <c r="S292" s="10" t="s">
        <v>2760</v>
      </c>
      <c r="T292" s="10" t="s">
        <v>136</v>
      </c>
      <c r="U292" s="10">
        <v>3245000976</v>
      </c>
      <c r="V292" s="19"/>
      <c r="W292" s="10" t="s">
        <v>2761</v>
      </c>
      <c r="X292" s="10" t="s">
        <v>136</v>
      </c>
      <c r="Y292" s="10" t="s">
        <v>206</v>
      </c>
      <c r="Z292" s="10" t="s">
        <v>216</v>
      </c>
      <c r="AA292" s="24"/>
      <c r="AB292" s="24"/>
      <c r="AC292" s="13">
        <v>45336</v>
      </c>
      <c r="AD292" s="24"/>
    </row>
    <row r="293" spans="1:30" ht="15.75" customHeight="1" x14ac:dyDescent="0.25">
      <c r="A293" s="10" t="s">
        <v>77</v>
      </c>
      <c r="B293" s="10" t="s">
        <v>90</v>
      </c>
      <c r="C293" s="10" t="s">
        <v>175</v>
      </c>
      <c r="D293" s="10" t="s">
        <v>92</v>
      </c>
      <c r="E293" s="10">
        <v>6128973</v>
      </c>
      <c r="F293" s="23" t="s">
        <v>2521</v>
      </c>
      <c r="G293" s="10" t="s">
        <v>11</v>
      </c>
      <c r="H293" s="10" t="s">
        <v>2522</v>
      </c>
      <c r="I293" s="13">
        <v>45847</v>
      </c>
      <c r="J293" s="10" t="str">
        <f t="shared" ca="1" si="37"/>
        <v xml:space="preserve">1  Años, 1  Mes, 17 Dias </v>
      </c>
      <c r="K293" s="10" t="s">
        <v>113</v>
      </c>
      <c r="L293" s="13">
        <v>37640</v>
      </c>
      <c r="M293" s="10">
        <f t="shared" ca="1" si="43"/>
        <v>23</v>
      </c>
      <c r="N293" s="10" t="s">
        <v>120</v>
      </c>
      <c r="O293" s="10" t="s">
        <v>236</v>
      </c>
      <c r="P293" s="10" t="s">
        <v>142</v>
      </c>
      <c r="Q293" s="18" t="s">
        <v>128</v>
      </c>
      <c r="R293" s="10" t="s">
        <v>133</v>
      </c>
      <c r="S293" s="10" t="s">
        <v>2525</v>
      </c>
      <c r="T293" s="10" t="s">
        <v>136</v>
      </c>
      <c r="U293" s="10">
        <v>3011751655</v>
      </c>
      <c r="V293" s="19"/>
      <c r="W293" s="10" t="s">
        <v>2528</v>
      </c>
      <c r="X293" s="10" t="s">
        <v>136</v>
      </c>
      <c r="Y293" s="19"/>
      <c r="Z293" s="19"/>
      <c r="AA293" s="10">
        <v>293577003</v>
      </c>
      <c r="AB293" s="10" t="s">
        <v>2163</v>
      </c>
      <c r="AC293" s="24"/>
      <c r="AD293" s="10" t="s">
        <v>209</v>
      </c>
    </row>
    <row r="294" spans="1:30" ht="15.75" customHeight="1" x14ac:dyDescent="0.25">
      <c r="A294" s="10" t="s">
        <v>77</v>
      </c>
      <c r="B294" s="10" t="s">
        <v>90</v>
      </c>
      <c r="C294" s="10" t="s">
        <v>175</v>
      </c>
      <c r="D294" s="10" t="s">
        <v>92</v>
      </c>
      <c r="E294" s="12">
        <v>1005370332</v>
      </c>
      <c r="F294" s="15" t="s">
        <v>900</v>
      </c>
      <c r="G294" s="10" t="s">
        <v>26</v>
      </c>
      <c r="H294" s="10" t="s">
        <v>903</v>
      </c>
      <c r="I294" s="16">
        <v>45876</v>
      </c>
      <c r="J294" s="10" t="str">
        <f t="shared" ca="1" si="37"/>
        <v xml:space="preserve">1  Años, 0  Mes, 19 Dias </v>
      </c>
      <c r="K294" s="12" t="s">
        <v>113</v>
      </c>
      <c r="L294" s="16">
        <v>37884</v>
      </c>
      <c r="M294" s="10">
        <f t="shared" ca="1" si="43"/>
        <v>22</v>
      </c>
      <c r="N294" s="10" t="s">
        <v>120</v>
      </c>
      <c r="O294" s="10" t="s">
        <v>122</v>
      </c>
      <c r="P294" s="5"/>
      <c r="Q294" s="18" t="s">
        <v>128</v>
      </c>
      <c r="R294" s="10" t="s">
        <v>133</v>
      </c>
      <c r="S294" s="12" t="s">
        <v>904</v>
      </c>
      <c r="T294" s="12" t="s">
        <v>136</v>
      </c>
      <c r="U294" s="12">
        <v>3227126950</v>
      </c>
      <c r="V294" s="5"/>
      <c r="W294" s="5"/>
      <c r="X294" s="10" t="s">
        <v>136</v>
      </c>
      <c r="Y294" s="5"/>
      <c r="Z294" s="5"/>
      <c r="AA294" s="20"/>
      <c r="AB294" s="20"/>
      <c r="AC294" s="20"/>
      <c r="AD294" s="13" t="s">
        <v>209</v>
      </c>
    </row>
    <row r="295" spans="1:30" ht="15.75" customHeight="1" x14ac:dyDescent="0.25">
      <c r="A295" s="10" t="s">
        <v>77</v>
      </c>
      <c r="B295" s="10" t="s">
        <v>86</v>
      </c>
      <c r="C295" s="10" t="s">
        <v>91</v>
      </c>
      <c r="D295" s="10" t="s">
        <v>92</v>
      </c>
      <c r="E295" s="10">
        <v>72169121</v>
      </c>
      <c r="F295" s="43" t="s">
        <v>2762</v>
      </c>
      <c r="G295" s="10" t="s">
        <v>26</v>
      </c>
      <c r="H295" s="10" t="s">
        <v>2763</v>
      </c>
      <c r="I295" s="13">
        <v>45303</v>
      </c>
      <c r="J295" s="10" t="str">
        <f t="shared" ca="1" si="37"/>
        <v xml:space="preserve">2  Años, 7  Mes, 14 Dias </v>
      </c>
      <c r="K295" s="10" t="s">
        <v>113</v>
      </c>
      <c r="L295" s="52">
        <v>25883</v>
      </c>
      <c r="M295" s="10">
        <f t="shared" ca="1" si="43"/>
        <v>55</v>
      </c>
      <c r="N295" s="10" t="s">
        <v>120</v>
      </c>
      <c r="O295" s="10" t="s">
        <v>567</v>
      </c>
      <c r="P295" s="10" t="s">
        <v>142</v>
      </c>
      <c r="Q295" s="18" t="s">
        <v>128</v>
      </c>
      <c r="R295" s="10" t="s">
        <v>133</v>
      </c>
      <c r="S295" s="10" t="s">
        <v>2764</v>
      </c>
      <c r="T295" s="10" t="s">
        <v>151</v>
      </c>
      <c r="U295" s="10">
        <v>3232521770</v>
      </c>
      <c r="V295" s="19"/>
      <c r="W295" s="10" t="s">
        <v>2765</v>
      </c>
      <c r="X295" s="10" t="s">
        <v>136</v>
      </c>
      <c r="Y295" s="10" t="s">
        <v>155</v>
      </c>
      <c r="Z295" s="10" t="s">
        <v>288</v>
      </c>
      <c r="AA295" s="24"/>
      <c r="AB295" s="24"/>
      <c r="AC295" s="13">
        <v>45830</v>
      </c>
      <c r="AD295" s="10" t="s">
        <v>209</v>
      </c>
    </row>
    <row r="296" spans="1:30" ht="15.75" customHeight="1" x14ac:dyDescent="0.25">
      <c r="A296" s="10" t="s">
        <v>77</v>
      </c>
      <c r="B296" s="10" t="s">
        <v>90</v>
      </c>
      <c r="C296" s="10" t="s">
        <v>175</v>
      </c>
      <c r="D296" s="10" t="s">
        <v>92</v>
      </c>
      <c r="E296" s="10">
        <v>8718387</v>
      </c>
      <c r="F296" s="23" t="s">
        <v>581</v>
      </c>
      <c r="G296" s="10" t="s">
        <v>26</v>
      </c>
      <c r="H296" s="10" t="s">
        <v>1357</v>
      </c>
      <c r="I296" s="13">
        <v>45831</v>
      </c>
      <c r="J296" s="10" t="str">
        <f t="shared" ca="1" si="37"/>
        <v xml:space="preserve">1  Años, 2  Mes, 3 Dias </v>
      </c>
      <c r="K296" s="10" t="s">
        <v>113</v>
      </c>
      <c r="L296" s="24"/>
      <c r="M296" s="19" t="str">
        <f t="shared" ca="1" si="43"/>
        <v/>
      </c>
      <c r="N296" s="10" t="s">
        <v>120</v>
      </c>
      <c r="O296" s="10" t="s">
        <v>122</v>
      </c>
      <c r="P296" s="10" t="s">
        <v>142</v>
      </c>
      <c r="Q296" s="18" t="s">
        <v>128</v>
      </c>
      <c r="R296" s="10" t="s">
        <v>133</v>
      </c>
      <c r="S296" s="10" t="s">
        <v>1360</v>
      </c>
      <c r="T296" s="10" t="s">
        <v>136</v>
      </c>
      <c r="U296" s="10">
        <v>3216961072</v>
      </c>
      <c r="V296" s="19"/>
      <c r="W296" s="10" t="s">
        <v>1361</v>
      </c>
      <c r="X296" s="10" t="s">
        <v>136</v>
      </c>
      <c r="Y296" s="10" t="s">
        <v>206</v>
      </c>
      <c r="Z296" s="10" t="s">
        <v>170</v>
      </c>
      <c r="AA296" s="24"/>
      <c r="AB296" s="24"/>
      <c r="AC296" s="24"/>
      <c r="AD296" s="10" t="s">
        <v>209</v>
      </c>
    </row>
    <row r="297" spans="1:30" ht="15.75" customHeight="1" x14ac:dyDescent="0.25">
      <c r="A297" s="10" t="s">
        <v>77</v>
      </c>
      <c r="B297" s="10" t="s">
        <v>90</v>
      </c>
      <c r="C297" s="10" t="s">
        <v>175</v>
      </c>
      <c r="D297" s="10" t="s">
        <v>92</v>
      </c>
      <c r="E297" s="10">
        <v>8505606</v>
      </c>
      <c r="F297" s="23" t="s">
        <v>1093</v>
      </c>
      <c r="G297" s="10" t="s">
        <v>26</v>
      </c>
      <c r="H297" s="10" t="s">
        <v>1094</v>
      </c>
      <c r="I297" s="13">
        <v>45831</v>
      </c>
      <c r="J297" s="10" t="str">
        <f t="shared" ca="1" si="37"/>
        <v xml:space="preserve">1  Años, 2  Mes, 3 Dias </v>
      </c>
      <c r="K297" s="10" t="s">
        <v>113</v>
      </c>
      <c r="L297" s="13">
        <v>29048</v>
      </c>
      <c r="M297" s="10">
        <f t="shared" ca="1" si="43"/>
        <v>47</v>
      </c>
      <c r="N297" s="10" t="s">
        <v>120</v>
      </c>
      <c r="O297" s="10" t="s">
        <v>122</v>
      </c>
      <c r="P297" s="10" t="s">
        <v>124</v>
      </c>
      <c r="Q297" s="18" t="s">
        <v>128</v>
      </c>
      <c r="R297" s="10" t="s">
        <v>133</v>
      </c>
      <c r="S297" s="10" t="s">
        <v>1098</v>
      </c>
      <c r="T297" s="10" t="s">
        <v>151</v>
      </c>
      <c r="U297" s="10" t="s">
        <v>1101</v>
      </c>
      <c r="V297" s="19"/>
      <c r="W297" s="40" t="s">
        <v>1105</v>
      </c>
      <c r="X297" s="10" t="s">
        <v>136</v>
      </c>
      <c r="Y297" s="10" t="s">
        <v>169</v>
      </c>
      <c r="Z297" s="10" t="s">
        <v>288</v>
      </c>
      <c r="AA297" s="24"/>
      <c r="AB297" s="24"/>
      <c r="AC297" s="24"/>
      <c r="AD297" s="13" t="s">
        <v>209</v>
      </c>
    </row>
    <row r="298" spans="1:30" ht="15.75" customHeight="1" x14ac:dyDescent="0.25">
      <c r="A298" s="10" t="s">
        <v>77</v>
      </c>
      <c r="B298" s="10" t="s">
        <v>86</v>
      </c>
      <c r="C298" s="10" t="s">
        <v>91</v>
      </c>
      <c r="D298" s="10" t="s">
        <v>92</v>
      </c>
      <c r="E298" s="10">
        <v>1192765380</v>
      </c>
      <c r="F298" s="23" t="s">
        <v>2766</v>
      </c>
      <c r="G298" s="10" t="s">
        <v>11</v>
      </c>
      <c r="H298" s="10" t="s">
        <v>2767</v>
      </c>
      <c r="I298" s="13">
        <v>45304</v>
      </c>
      <c r="J298" s="10" t="str">
        <f t="shared" ca="1" si="37"/>
        <v xml:space="preserve">2  Años, 7  Mes, 13 Dias </v>
      </c>
      <c r="K298" s="10" t="s">
        <v>113</v>
      </c>
      <c r="L298" s="13">
        <v>33819</v>
      </c>
      <c r="M298" s="10">
        <f t="shared" ca="1" si="43"/>
        <v>34</v>
      </c>
      <c r="N298" s="10" t="s">
        <v>120</v>
      </c>
      <c r="O298" s="10" t="s">
        <v>236</v>
      </c>
      <c r="P298" s="10" t="s">
        <v>142</v>
      </c>
      <c r="Q298" s="18" t="s">
        <v>128</v>
      </c>
      <c r="R298" s="10" t="s">
        <v>133</v>
      </c>
      <c r="S298" s="10" t="s">
        <v>2768</v>
      </c>
      <c r="T298" s="10" t="s">
        <v>151</v>
      </c>
      <c r="U298" s="10">
        <v>3003923948</v>
      </c>
      <c r="V298" s="19"/>
      <c r="W298" s="59" t="s">
        <v>2769</v>
      </c>
      <c r="X298" s="10" t="s">
        <v>136</v>
      </c>
      <c r="Y298" s="10" t="s">
        <v>539</v>
      </c>
      <c r="Z298" s="10" t="s">
        <v>288</v>
      </c>
      <c r="AA298" s="24"/>
      <c r="AB298" s="24"/>
      <c r="AC298" s="13">
        <v>45354</v>
      </c>
      <c r="AD298" s="24"/>
    </row>
    <row r="299" spans="1:30" ht="15.75" customHeight="1" x14ac:dyDescent="0.25">
      <c r="A299" s="10" t="s">
        <v>77</v>
      </c>
      <c r="B299" s="10" t="s">
        <v>90</v>
      </c>
      <c r="C299" s="10" t="s">
        <v>175</v>
      </c>
      <c r="D299" s="10" t="s">
        <v>92</v>
      </c>
      <c r="E299" s="10">
        <v>72155244</v>
      </c>
      <c r="F299" s="23" t="s">
        <v>396</v>
      </c>
      <c r="G299" s="10" t="s">
        <v>26</v>
      </c>
      <c r="H299" s="10" t="s">
        <v>1384</v>
      </c>
      <c r="I299" s="13">
        <v>45831</v>
      </c>
      <c r="J299" s="10" t="str">
        <f t="shared" ca="1" si="37"/>
        <v xml:space="preserve">1  Años, 2  Mes, 3 Dias </v>
      </c>
      <c r="K299" s="10" t="s">
        <v>113</v>
      </c>
      <c r="L299" s="24"/>
      <c r="M299" s="19" t="str">
        <f t="shared" ca="1" si="43"/>
        <v/>
      </c>
      <c r="N299" s="10" t="s">
        <v>120</v>
      </c>
      <c r="O299" s="10" t="s">
        <v>236</v>
      </c>
      <c r="P299" s="10" t="s">
        <v>142</v>
      </c>
      <c r="Q299" s="18" t="s">
        <v>128</v>
      </c>
      <c r="R299" s="10" t="s">
        <v>133</v>
      </c>
      <c r="S299" s="10" t="s">
        <v>1385</v>
      </c>
      <c r="T299" s="10" t="s">
        <v>136</v>
      </c>
      <c r="U299" s="10">
        <v>3003969781</v>
      </c>
      <c r="V299" s="10">
        <v>3003969781</v>
      </c>
      <c r="W299" s="10" t="s">
        <v>1387</v>
      </c>
      <c r="X299" s="10" t="s">
        <v>136</v>
      </c>
      <c r="Y299" s="10" t="s">
        <v>253</v>
      </c>
      <c r="Z299" s="10" t="s">
        <v>216</v>
      </c>
      <c r="AA299" s="19"/>
      <c r="AB299" s="19"/>
      <c r="AC299" s="19"/>
      <c r="AD299" s="10" t="s">
        <v>209</v>
      </c>
    </row>
    <row r="300" spans="1:30" ht="15.75" customHeight="1" x14ac:dyDescent="0.25">
      <c r="A300" s="10" t="s">
        <v>77</v>
      </c>
      <c r="B300" s="10" t="s">
        <v>86</v>
      </c>
      <c r="C300" s="10" t="s">
        <v>91</v>
      </c>
      <c r="D300" s="10" t="s">
        <v>92</v>
      </c>
      <c r="E300" s="10">
        <v>1007187519</v>
      </c>
      <c r="F300" s="23" t="s">
        <v>2770</v>
      </c>
      <c r="G300" s="10" t="s">
        <v>11</v>
      </c>
      <c r="H300" s="10" t="s">
        <v>2771</v>
      </c>
      <c r="I300" s="13">
        <v>45309</v>
      </c>
      <c r="J300" s="10" t="str">
        <f t="shared" ca="1" si="37"/>
        <v xml:space="preserve">2  Años, 7  Mes, 8 Dias </v>
      </c>
      <c r="K300" s="10" t="s">
        <v>113</v>
      </c>
      <c r="L300" s="13">
        <v>35940</v>
      </c>
      <c r="M300" s="10">
        <f t="shared" ca="1" si="43"/>
        <v>28</v>
      </c>
      <c r="N300" s="10" t="s">
        <v>120</v>
      </c>
      <c r="O300" s="10" t="s">
        <v>236</v>
      </c>
      <c r="P300" s="10" t="s">
        <v>142</v>
      </c>
      <c r="Q300" s="18" t="s">
        <v>128</v>
      </c>
      <c r="R300" s="10" t="s">
        <v>133</v>
      </c>
      <c r="S300" s="10" t="s">
        <v>2772</v>
      </c>
      <c r="T300" s="10" t="s">
        <v>136</v>
      </c>
      <c r="U300" s="10">
        <v>3202909824</v>
      </c>
      <c r="V300" s="19"/>
      <c r="W300" s="40" t="s">
        <v>2773</v>
      </c>
      <c r="X300" s="10" t="s">
        <v>136</v>
      </c>
      <c r="Y300" s="10" t="s">
        <v>169</v>
      </c>
      <c r="Z300" s="10" t="s">
        <v>170</v>
      </c>
      <c r="AA300" s="24"/>
      <c r="AB300" s="24"/>
      <c r="AC300" s="13">
        <v>45731</v>
      </c>
      <c r="AD300" s="10" t="s">
        <v>1515</v>
      </c>
    </row>
    <row r="301" spans="1:30" ht="15.75" customHeight="1" x14ac:dyDescent="0.25">
      <c r="A301" s="10" t="s">
        <v>77</v>
      </c>
      <c r="B301" s="10" t="s">
        <v>86</v>
      </c>
      <c r="C301" s="10" t="s">
        <v>91</v>
      </c>
      <c r="D301" s="10" t="s">
        <v>92</v>
      </c>
      <c r="E301" s="10">
        <v>1143149377</v>
      </c>
      <c r="F301" s="23" t="s">
        <v>2774</v>
      </c>
      <c r="G301" s="10" t="s">
        <v>26</v>
      </c>
      <c r="H301" s="10" t="s">
        <v>2775</v>
      </c>
      <c r="I301" s="13">
        <v>45469</v>
      </c>
      <c r="J301" s="10" t="str">
        <f t="shared" ca="1" si="37"/>
        <v xml:space="preserve">2  Años, 2  Mes, 0 Dias </v>
      </c>
      <c r="K301" s="10" t="s">
        <v>113</v>
      </c>
      <c r="L301" s="19"/>
      <c r="M301" s="19"/>
      <c r="N301" s="10" t="s">
        <v>120</v>
      </c>
      <c r="O301" s="10" t="s">
        <v>122</v>
      </c>
      <c r="P301" s="10" t="s">
        <v>142</v>
      </c>
      <c r="Q301" s="18" t="s">
        <v>128</v>
      </c>
      <c r="R301" s="10" t="s">
        <v>133</v>
      </c>
      <c r="S301" s="10" t="s">
        <v>2776</v>
      </c>
      <c r="T301" s="10" t="s">
        <v>136</v>
      </c>
      <c r="U301" s="10">
        <v>3008743993</v>
      </c>
      <c r="V301" s="19"/>
      <c r="W301" s="40" t="s">
        <v>2777</v>
      </c>
      <c r="X301" s="10" t="s">
        <v>136</v>
      </c>
      <c r="Y301" s="10" t="s">
        <v>539</v>
      </c>
      <c r="Z301" s="10" t="s">
        <v>255</v>
      </c>
      <c r="AA301" s="24"/>
      <c r="AB301" s="24"/>
      <c r="AC301" s="13">
        <v>45489</v>
      </c>
      <c r="AD301" s="24"/>
    </row>
    <row r="302" spans="1:30" ht="15.75" customHeight="1" x14ac:dyDescent="0.25">
      <c r="A302" s="10" t="s">
        <v>77</v>
      </c>
      <c r="B302" s="10" t="s">
        <v>86</v>
      </c>
      <c r="C302" s="10" t="s">
        <v>91</v>
      </c>
      <c r="D302" s="10" t="s">
        <v>92</v>
      </c>
      <c r="E302" s="10">
        <v>1221970455</v>
      </c>
      <c r="F302" s="23" t="s">
        <v>2778</v>
      </c>
      <c r="G302" s="10" t="s">
        <v>11</v>
      </c>
      <c r="H302" s="10" t="s">
        <v>2779</v>
      </c>
      <c r="I302" s="13">
        <v>45323</v>
      </c>
      <c r="J302" s="10" t="str">
        <f t="shared" ca="1" si="37"/>
        <v xml:space="preserve">2  Años, 6  Mes, 25 Dias </v>
      </c>
      <c r="K302" s="10" t="s">
        <v>113</v>
      </c>
      <c r="L302" s="13">
        <v>35330</v>
      </c>
      <c r="M302" s="10">
        <f t="shared" ref="M302:M307" ca="1" si="44">IF(L302=0,"", DATEDIF(L302,TODAY(),"y"))</f>
        <v>29</v>
      </c>
      <c r="N302" s="10" t="s">
        <v>120</v>
      </c>
      <c r="O302" s="10" t="s">
        <v>122</v>
      </c>
      <c r="P302" s="10" t="s">
        <v>142</v>
      </c>
      <c r="Q302" s="18" t="s">
        <v>128</v>
      </c>
      <c r="R302" s="10" t="s">
        <v>133</v>
      </c>
      <c r="S302" s="10" t="s">
        <v>2780</v>
      </c>
      <c r="T302" s="10" t="s">
        <v>151</v>
      </c>
      <c r="U302" s="10">
        <v>3046089897</v>
      </c>
      <c r="V302" s="19"/>
      <c r="W302" s="10" t="s">
        <v>2781</v>
      </c>
      <c r="X302" s="10" t="s">
        <v>136</v>
      </c>
      <c r="Y302" s="10" t="s">
        <v>203</v>
      </c>
      <c r="Z302" s="10" t="s">
        <v>170</v>
      </c>
      <c r="AA302" s="33"/>
      <c r="AB302" s="33"/>
      <c r="AC302" s="35">
        <v>45656</v>
      </c>
      <c r="AD302" s="19"/>
    </row>
    <row r="303" spans="1:30" ht="15.75" customHeight="1" x14ac:dyDescent="0.25">
      <c r="A303" s="10" t="s">
        <v>77</v>
      </c>
      <c r="B303" s="10" t="s">
        <v>90</v>
      </c>
      <c r="C303" s="10" t="s">
        <v>175</v>
      </c>
      <c r="D303" s="10" t="s">
        <v>92</v>
      </c>
      <c r="E303" s="10">
        <v>1047374350</v>
      </c>
      <c r="F303" s="23" t="s">
        <v>257</v>
      </c>
      <c r="G303" s="10" t="s">
        <v>11</v>
      </c>
      <c r="H303" s="10" t="s">
        <v>1115</v>
      </c>
      <c r="I303" s="13">
        <v>45831</v>
      </c>
      <c r="J303" s="10" t="str">
        <f t="shared" ca="1" si="37"/>
        <v xml:space="preserve">1  Años, 2  Mes, 3 Dias </v>
      </c>
      <c r="K303" s="10" t="s">
        <v>113</v>
      </c>
      <c r="L303" s="19"/>
      <c r="M303" s="19" t="str">
        <f t="shared" ca="1" si="44"/>
        <v/>
      </c>
      <c r="N303" s="10" t="s">
        <v>120</v>
      </c>
      <c r="O303" s="10" t="s">
        <v>122</v>
      </c>
      <c r="P303" s="10" t="s">
        <v>142</v>
      </c>
      <c r="Q303" s="18" t="s">
        <v>128</v>
      </c>
      <c r="R303" s="10" t="s">
        <v>133</v>
      </c>
      <c r="S303" s="10" t="s">
        <v>1119</v>
      </c>
      <c r="T303" s="10" t="s">
        <v>136</v>
      </c>
      <c r="U303" s="10">
        <v>3246796877</v>
      </c>
      <c r="V303" s="19"/>
      <c r="W303" s="10" t="s">
        <v>1125</v>
      </c>
      <c r="X303" s="10" t="s">
        <v>136</v>
      </c>
      <c r="Y303" s="10" t="s">
        <v>206</v>
      </c>
      <c r="Z303" s="10" t="s">
        <v>170</v>
      </c>
      <c r="AA303" s="24"/>
      <c r="AB303" s="24"/>
      <c r="AC303" s="24"/>
      <c r="AD303" s="13" t="s">
        <v>209</v>
      </c>
    </row>
    <row r="304" spans="1:30" x14ac:dyDescent="0.25">
      <c r="A304" s="10" t="s">
        <v>77</v>
      </c>
      <c r="B304" s="10" t="s">
        <v>90</v>
      </c>
      <c r="C304" s="10" t="s">
        <v>175</v>
      </c>
      <c r="D304" s="10" t="s">
        <v>92</v>
      </c>
      <c r="E304" s="10">
        <v>1010083985</v>
      </c>
      <c r="F304" s="23" t="s">
        <v>391</v>
      </c>
      <c r="G304" s="10" t="s">
        <v>18</v>
      </c>
      <c r="H304" s="10" t="s">
        <v>1712</v>
      </c>
      <c r="I304" s="13">
        <v>45831</v>
      </c>
      <c r="J304" s="10" t="str">
        <f t="shared" ca="1" si="37"/>
        <v xml:space="preserve">1  Años, 2  Mes, 3 Dias </v>
      </c>
      <c r="K304" s="10" t="s">
        <v>113</v>
      </c>
      <c r="L304" s="19"/>
      <c r="M304" s="19" t="str">
        <f t="shared" ca="1" si="44"/>
        <v/>
      </c>
      <c r="N304" s="10" t="s">
        <v>120</v>
      </c>
      <c r="O304" s="10" t="s">
        <v>122</v>
      </c>
      <c r="P304" s="10" t="s">
        <v>142</v>
      </c>
      <c r="Q304" s="18" t="s">
        <v>128</v>
      </c>
      <c r="R304" s="10" t="s">
        <v>133</v>
      </c>
      <c r="S304" s="10" t="s">
        <v>1715</v>
      </c>
      <c r="T304" s="10" t="s">
        <v>136</v>
      </c>
      <c r="U304" s="10">
        <v>3228397637</v>
      </c>
      <c r="V304" s="19"/>
      <c r="W304" s="10" t="s">
        <v>1716</v>
      </c>
      <c r="X304" s="10" t="s">
        <v>136</v>
      </c>
      <c r="Y304" s="10" t="s">
        <v>253</v>
      </c>
      <c r="Z304" s="10" t="s">
        <v>255</v>
      </c>
      <c r="AA304" s="24"/>
      <c r="AB304" s="24"/>
      <c r="AC304" s="24"/>
      <c r="AD304" s="10" t="s">
        <v>209</v>
      </c>
    </row>
    <row r="305" spans="1:30" x14ac:dyDescent="0.25">
      <c r="A305" s="10" t="s">
        <v>77</v>
      </c>
      <c r="B305" s="10" t="s">
        <v>86</v>
      </c>
      <c r="C305" s="10" t="s">
        <v>91</v>
      </c>
      <c r="D305" s="10" t="s">
        <v>92</v>
      </c>
      <c r="E305" s="10">
        <v>8645886</v>
      </c>
      <c r="F305" s="23" t="s">
        <v>389</v>
      </c>
      <c r="G305" s="10" t="s">
        <v>11</v>
      </c>
      <c r="H305" s="10" t="s">
        <v>2782</v>
      </c>
      <c r="I305" s="13">
        <v>45094</v>
      </c>
      <c r="J305" s="10" t="str">
        <f t="shared" ca="1" si="37"/>
        <v xml:space="preserve">3  Años, 2  Mes, 9 Dias </v>
      </c>
      <c r="K305" s="10" t="s">
        <v>113</v>
      </c>
      <c r="L305" s="19"/>
      <c r="M305" s="19" t="str">
        <f t="shared" ca="1" si="44"/>
        <v/>
      </c>
      <c r="N305" s="10" t="s">
        <v>120</v>
      </c>
      <c r="O305" s="10" t="s">
        <v>236</v>
      </c>
      <c r="P305" s="10" t="s">
        <v>124</v>
      </c>
      <c r="Q305" s="18" t="s">
        <v>128</v>
      </c>
      <c r="R305" s="10" t="s">
        <v>133</v>
      </c>
      <c r="S305" s="10" t="s">
        <v>2783</v>
      </c>
      <c r="T305" s="10" t="s">
        <v>136</v>
      </c>
      <c r="U305" s="10">
        <v>3016697516</v>
      </c>
      <c r="V305" s="10">
        <v>3016697516</v>
      </c>
      <c r="W305" s="10" t="s">
        <v>2784</v>
      </c>
      <c r="X305" s="10" t="s">
        <v>136</v>
      </c>
      <c r="Y305" s="10" t="s">
        <v>206</v>
      </c>
      <c r="Z305" s="10" t="s">
        <v>170</v>
      </c>
      <c r="AA305" s="24"/>
      <c r="AB305" s="24"/>
      <c r="AC305" s="13">
        <v>45678</v>
      </c>
      <c r="AD305" s="10" t="s">
        <v>1515</v>
      </c>
    </row>
    <row r="306" spans="1:30" ht="15.75" customHeight="1" x14ac:dyDescent="0.25">
      <c r="A306" s="10" t="s">
        <v>77</v>
      </c>
      <c r="B306" s="10" t="s">
        <v>86</v>
      </c>
      <c r="C306" s="10" t="s">
        <v>91</v>
      </c>
      <c r="D306" s="10" t="s">
        <v>92</v>
      </c>
      <c r="E306" s="10">
        <v>8648943</v>
      </c>
      <c r="F306" s="23" t="s">
        <v>387</v>
      </c>
      <c r="G306" s="10" t="s">
        <v>18</v>
      </c>
      <c r="H306" s="10" t="s">
        <v>2785</v>
      </c>
      <c r="I306" s="13">
        <v>44843</v>
      </c>
      <c r="J306" s="10" t="str">
        <f t="shared" ca="1" si="37"/>
        <v xml:space="preserve">3  Años, 10  Mes, 17 Dias </v>
      </c>
      <c r="K306" s="10" t="s">
        <v>113</v>
      </c>
      <c r="L306" s="19"/>
      <c r="M306" s="19" t="str">
        <f t="shared" ca="1" si="44"/>
        <v/>
      </c>
      <c r="N306" s="10" t="s">
        <v>120</v>
      </c>
      <c r="O306" s="10" t="s">
        <v>122</v>
      </c>
      <c r="P306" s="10" t="s">
        <v>142</v>
      </c>
      <c r="Q306" s="18" t="s">
        <v>128</v>
      </c>
      <c r="R306" s="10" t="s">
        <v>133</v>
      </c>
      <c r="S306" s="10" t="s">
        <v>2786</v>
      </c>
      <c r="T306" s="10" t="s">
        <v>136</v>
      </c>
      <c r="U306" s="10">
        <v>3242515974</v>
      </c>
      <c r="V306" s="19"/>
      <c r="W306" s="10" t="s">
        <v>2787</v>
      </c>
      <c r="X306" s="10" t="s">
        <v>136</v>
      </c>
      <c r="Y306" s="10" t="s">
        <v>203</v>
      </c>
      <c r="Z306" s="10" t="s">
        <v>255</v>
      </c>
      <c r="AA306" s="24"/>
      <c r="AB306" s="24"/>
      <c r="AC306" s="13">
        <v>45678</v>
      </c>
      <c r="AD306" s="13" t="s">
        <v>1515</v>
      </c>
    </row>
    <row r="307" spans="1:30" ht="15.75" customHeight="1" x14ac:dyDescent="0.25">
      <c r="A307" s="10" t="s">
        <v>77</v>
      </c>
      <c r="B307" s="10" t="s">
        <v>86</v>
      </c>
      <c r="C307" s="10" t="s">
        <v>91</v>
      </c>
      <c r="D307" s="10" t="s">
        <v>92</v>
      </c>
      <c r="E307" s="10">
        <v>85430201</v>
      </c>
      <c r="F307" s="23" t="s">
        <v>386</v>
      </c>
      <c r="G307" s="10" t="s">
        <v>11</v>
      </c>
      <c r="H307" s="10" t="s">
        <v>2788</v>
      </c>
      <c r="I307" s="13">
        <v>44843</v>
      </c>
      <c r="J307" s="10" t="str">
        <f t="shared" ca="1" si="37"/>
        <v xml:space="preserve">3  Años, 10  Mes, 17 Dias </v>
      </c>
      <c r="K307" s="10" t="s">
        <v>113</v>
      </c>
      <c r="L307" s="19"/>
      <c r="M307" s="19" t="str">
        <f t="shared" ca="1" si="44"/>
        <v/>
      </c>
      <c r="N307" s="10" t="s">
        <v>120</v>
      </c>
      <c r="O307" s="10" t="s">
        <v>122</v>
      </c>
      <c r="P307" s="10" t="s">
        <v>124</v>
      </c>
      <c r="Q307" s="18" t="s">
        <v>128</v>
      </c>
      <c r="R307" s="10" t="s">
        <v>133</v>
      </c>
      <c r="S307" s="10" t="s">
        <v>2789</v>
      </c>
      <c r="T307" s="10" t="s">
        <v>136</v>
      </c>
      <c r="U307" s="10">
        <v>3012053713</v>
      </c>
      <c r="V307" s="19"/>
      <c r="W307" s="10" t="s">
        <v>2790</v>
      </c>
      <c r="X307" s="10" t="s">
        <v>136</v>
      </c>
      <c r="Y307" s="10" t="s">
        <v>1299</v>
      </c>
      <c r="Z307" s="10" t="s">
        <v>255</v>
      </c>
      <c r="AA307" s="24"/>
      <c r="AB307" s="24"/>
      <c r="AC307" s="13">
        <v>45362</v>
      </c>
      <c r="AD307" s="24"/>
    </row>
    <row r="308" spans="1:30" ht="15.75" customHeight="1" x14ac:dyDescent="0.25">
      <c r="A308" s="10" t="s">
        <v>77</v>
      </c>
      <c r="B308" s="10" t="s">
        <v>86</v>
      </c>
      <c r="C308" s="10" t="s">
        <v>91</v>
      </c>
      <c r="D308" s="12" t="s">
        <v>92</v>
      </c>
      <c r="E308" s="12">
        <v>1048319750</v>
      </c>
      <c r="F308" s="15" t="s">
        <v>971</v>
      </c>
      <c r="G308" s="10" t="s">
        <v>26</v>
      </c>
      <c r="H308" s="12" t="s">
        <v>2791</v>
      </c>
      <c r="I308" s="16">
        <v>45693</v>
      </c>
      <c r="J308" s="10" t="str">
        <f t="shared" ca="1" si="37"/>
        <v xml:space="preserve">1  Años, 6  Mes, 21 Dias </v>
      </c>
      <c r="K308" s="12" t="s">
        <v>113</v>
      </c>
      <c r="L308" s="5"/>
      <c r="M308" s="12">
        <v>28</v>
      </c>
      <c r="N308" s="10" t="s">
        <v>120</v>
      </c>
      <c r="O308" s="10" t="s">
        <v>236</v>
      </c>
      <c r="P308" s="12" t="s">
        <v>124</v>
      </c>
      <c r="Q308" s="18" t="s">
        <v>128</v>
      </c>
      <c r="R308" s="10" t="s">
        <v>133</v>
      </c>
      <c r="S308" s="12" t="s">
        <v>2792</v>
      </c>
      <c r="T308" s="12" t="s">
        <v>136</v>
      </c>
      <c r="U308" s="12" t="s">
        <v>2793</v>
      </c>
      <c r="V308" s="5"/>
      <c r="W308" s="12" t="s">
        <v>2794</v>
      </c>
      <c r="X308" s="12" t="s">
        <v>136</v>
      </c>
      <c r="Y308" s="12" t="s">
        <v>215</v>
      </c>
      <c r="Z308" s="12" t="s">
        <v>216</v>
      </c>
      <c r="AA308" s="20"/>
      <c r="AB308" s="20"/>
      <c r="AC308" s="16">
        <v>45717</v>
      </c>
      <c r="AD308" s="10" t="s">
        <v>148</v>
      </c>
    </row>
    <row r="309" spans="1:30" ht="15.75" customHeight="1" x14ac:dyDescent="0.25">
      <c r="A309" s="10" t="s">
        <v>160</v>
      </c>
      <c r="B309" s="10" t="s">
        <v>90</v>
      </c>
      <c r="C309" s="10" t="s">
        <v>175</v>
      </c>
      <c r="D309" s="10" t="s">
        <v>92</v>
      </c>
      <c r="E309" s="12">
        <v>1082887017</v>
      </c>
      <c r="F309" s="23" t="s">
        <v>1130</v>
      </c>
      <c r="G309" s="10" t="s">
        <v>1135</v>
      </c>
      <c r="H309" s="12" t="s">
        <v>2795</v>
      </c>
      <c r="I309" s="13">
        <v>45839</v>
      </c>
      <c r="J309" s="10" t="str">
        <f t="shared" ca="1" si="37"/>
        <v xml:space="preserve">1  Años, 1  Mes, 25 Dias </v>
      </c>
      <c r="K309" s="12" t="s">
        <v>113</v>
      </c>
      <c r="L309" s="16">
        <v>32245</v>
      </c>
      <c r="M309" s="10">
        <f t="shared" ref="M309:M316" ca="1" si="45">IF(L309=0,"", DATEDIF(L309,TODAY(),"y"))</f>
        <v>38</v>
      </c>
      <c r="N309" s="10" t="s">
        <v>120</v>
      </c>
      <c r="O309" s="10" t="s">
        <v>122</v>
      </c>
      <c r="P309" s="18" t="s">
        <v>124</v>
      </c>
      <c r="Q309" s="18" t="s">
        <v>128</v>
      </c>
      <c r="R309" s="10" t="s">
        <v>133</v>
      </c>
      <c r="S309" s="12" t="s">
        <v>1143</v>
      </c>
      <c r="T309" s="12" t="s">
        <v>136</v>
      </c>
      <c r="U309" s="5"/>
      <c r="V309" s="5"/>
      <c r="W309" s="5"/>
      <c r="X309" s="5"/>
      <c r="Y309" s="5"/>
      <c r="Z309" s="5"/>
      <c r="AA309" s="20"/>
      <c r="AB309" s="20"/>
      <c r="AC309" s="20"/>
      <c r="AD309" s="13" t="s">
        <v>209</v>
      </c>
    </row>
    <row r="310" spans="1:30" ht="15.75" customHeight="1" x14ac:dyDescent="0.25">
      <c r="A310" s="10" t="s">
        <v>77</v>
      </c>
      <c r="B310" s="10" t="s">
        <v>86</v>
      </c>
      <c r="C310" s="10" t="s">
        <v>91</v>
      </c>
      <c r="D310" s="10" t="s">
        <v>92</v>
      </c>
      <c r="E310" s="10">
        <v>1001855145</v>
      </c>
      <c r="F310" s="23" t="s">
        <v>385</v>
      </c>
      <c r="G310" s="10" t="s">
        <v>323</v>
      </c>
      <c r="H310" s="10" t="s">
        <v>2796</v>
      </c>
      <c r="I310" s="30">
        <v>45251</v>
      </c>
      <c r="J310" s="10" t="str">
        <f t="shared" ca="1" si="37"/>
        <v xml:space="preserve">2  Años, 9  Mes, 5 Dias </v>
      </c>
      <c r="K310" s="10" t="s">
        <v>113</v>
      </c>
      <c r="L310" s="19"/>
      <c r="M310" s="19" t="str">
        <f t="shared" ca="1" si="45"/>
        <v/>
      </c>
      <c r="N310" s="10" t="s">
        <v>120</v>
      </c>
      <c r="O310" s="10" t="s">
        <v>122</v>
      </c>
      <c r="P310" s="18" t="s">
        <v>142</v>
      </c>
      <c r="Q310" s="18" t="s">
        <v>648</v>
      </c>
      <c r="R310" s="10" t="s">
        <v>133</v>
      </c>
      <c r="S310" s="10" t="s">
        <v>2797</v>
      </c>
      <c r="T310" s="10" t="s">
        <v>136</v>
      </c>
      <c r="U310" s="10">
        <v>3042535014</v>
      </c>
      <c r="V310" s="10">
        <v>3042535014</v>
      </c>
      <c r="W310" s="10" t="s">
        <v>2798</v>
      </c>
      <c r="X310" s="10" t="s">
        <v>136</v>
      </c>
      <c r="Y310" s="10" t="s">
        <v>169</v>
      </c>
      <c r="Z310" s="10" t="s">
        <v>170</v>
      </c>
      <c r="AA310" s="24"/>
      <c r="AB310" s="24"/>
      <c r="AC310" s="13">
        <v>45387</v>
      </c>
      <c r="AD310" s="24"/>
    </row>
    <row r="311" spans="1:30" ht="15.75" customHeight="1" x14ac:dyDescent="0.25">
      <c r="A311" s="10" t="s">
        <v>77</v>
      </c>
      <c r="B311" s="10" t="s">
        <v>86</v>
      </c>
      <c r="C311" s="10" t="s">
        <v>91</v>
      </c>
      <c r="D311" s="10" t="s">
        <v>92</v>
      </c>
      <c r="E311" s="10">
        <v>73238625</v>
      </c>
      <c r="F311" s="23" t="s">
        <v>384</v>
      </c>
      <c r="G311" s="10" t="s">
        <v>11</v>
      </c>
      <c r="H311" s="10" t="s">
        <v>2799</v>
      </c>
      <c r="I311" s="13">
        <v>44843</v>
      </c>
      <c r="J311" s="10" t="str">
        <f t="shared" ca="1" si="37"/>
        <v xml:space="preserve">3  Años, 10  Mes, 17 Dias </v>
      </c>
      <c r="K311" s="10" t="s">
        <v>113</v>
      </c>
      <c r="L311" s="24"/>
      <c r="M311" s="19" t="str">
        <f t="shared" ca="1" si="45"/>
        <v/>
      </c>
      <c r="N311" s="10" t="s">
        <v>120</v>
      </c>
      <c r="O311" s="10" t="s">
        <v>122</v>
      </c>
      <c r="P311" s="18" t="s">
        <v>142</v>
      </c>
      <c r="Q311" s="18" t="s">
        <v>128</v>
      </c>
      <c r="R311" s="10" t="s">
        <v>133</v>
      </c>
      <c r="S311" s="10" t="s">
        <v>2800</v>
      </c>
      <c r="T311" s="10" t="s">
        <v>136</v>
      </c>
      <c r="U311" s="10">
        <v>3004187169</v>
      </c>
      <c r="V311" s="19"/>
      <c r="W311" s="10" t="s">
        <v>845</v>
      </c>
      <c r="X311" s="10" t="s">
        <v>136</v>
      </c>
      <c r="Y311" s="10" t="s">
        <v>206</v>
      </c>
      <c r="Z311" s="10" t="s">
        <v>170</v>
      </c>
      <c r="AA311" s="24"/>
      <c r="AB311" s="24"/>
      <c r="AC311" s="13">
        <v>45830</v>
      </c>
      <c r="AD311" s="13" t="s">
        <v>209</v>
      </c>
    </row>
    <row r="312" spans="1:30" ht="15.75" customHeight="1" x14ac:dyDescent="0.25">
      <c r="A312" s="10" t="s">
        <v>160</v>
      </c>
      <c r="B312" s="10" t="s">
        <v>90</v>
      </c>
      <c r="C312" s="10" t="s">
        <v>175</v>
      </c>
      <c r="D312" s="10" t="s">
        <v>92</v>
      </c>
      <c r="E312" s="10">
        <v>1045705443</v>
      </c>
      <c r="F312" s="23" t="s">
        <v>1882</v>
      </c>
      <c r="G312" s="10" t="s">
        <v>1883</v>
      </c>
      <c r="H312" s="10" t="s">
        <v>1884</v>
      </c>
      <c r="I312" s="13">
        <v>45831</v>
      </c>
      <c r="J312" s="10" t="str">
        <f t="shared" ca="1" si="37"/>
        <v xml:space="preserve">1  Años, 2  Mes, 3 Dias </v>
      </c>
      <c r="K312" s="10" t="s">
        <v>113</v>
      </c>
      <c r="L312" s="19"/>
      <c r="M312" s="19" t="str">
        <f t="shared" ca="1" si="45"/>
        <v/>
      </c>
      <c r="N312" s="10" t="s">
        <v>320</v>
      </c>
      <c r="O312" s="10" t="s">
        <v>277</v>
      </c>
      <c r="P312" s="18" t="s">
        <v>142</v>
      </c>
      <c r="Q312" s="18" t="s">
        <v>128</v>
      </c>
      <c r="R312" s="10" t="s">
        <v>133</v>
      </c>
      <c r="S312" s="10" t="s">
        <v>1887</v>
      </c>
      <c r="T312" s="10" t="s">
        <v>136</v>
      </c>
      <c r="U312" s="10">
        <v>3004358547</v>
      </c>
      <c r="V312" s="19"/>
      <c r="W312" s="10" t="s">
        <v>1888</v>
      </c>
      <c r="X312" s="10" t="s">
        <v>136</v>
      </c>
      <c r="Y312" s="10" t="s">
        <v>206</v>
      </c>
      <c r="Z312" s="10" t="s">
        <v>170</v>
      </c>
      <c r="AA312" s="24"/>
      <c r="AB312" s="24"/>
      <c r="AC312" s="24"/>
      <c r="AD312" s="13" t="s">
        <v>209</v>
      </c>
    </row>
    <row r="313" spans="1:30" ht="15.75" customHeight="1" x14ac:dyDescent="0.25">
      <c r="A313" s="10" t="s">
        <v>77</v>
      </c>
      <c r="B313" s="10" t="s">
        <v>86</v>
      </c>
      <c r="C313" s="10" t="s">
        <v>91</v>
      </c>
      <c r="D313" s="10" t="s">
        <v>1151</v>
      </c>
      <c r="E313" s="10">
        <v>1689285</v>
      </c>
      <c r="F313" s="23" t="s">
        <v>380</v>
      </c>
      <c r="G313" s="10" t="s">
        <v>18</v>
      </c>
      <c r="H313" s="10" t="s">
        <v>2801</v>
      </c>
      <c r="I313" s="13">
        <v>45363</v>
      </c>
      <c r="J313" s="10" t="str">
        <f t="shared" ca="1" si="37"/>
        <v xml:space="preserve">2  Años, 5  Mes, 14 Dias </v>
      </c>
      <c r="K313" s="10" t="s">
        <v>2802</v>
      </c>
      <c r="L313" s="24"/>
      <c r="M313" s="19" t="str">
        <f t="shared" ca="1" si="45"/>
        <v/>
      </c>
      <c r="N313" s="10" t="s">
        <v>120</v>
      </c>
      <c r="O313" s="10" t="s">
        <v>236</v>
      </c>
      <c r="P313" s="18" t="s">
        <v>142</v>
      </c>
      <c r="Q313" s="18" t="s">
        <v>128</v>
      </c>
      <c r="R313" s="10" t="s">
        <v>2803</v>
      </c>
      <c r="S313" s="10" t="s">
        <v>2804</v>
      </c>
      <c r="T313" s="10" t="s">
        <v>136</v>
      </c>
      <c r="U313" s="10">
        <v>3244973266</v>
      </c>
      <c r="V313" s="10">
        <v>3244973266</v>
      </c>
      <c r="W313" s="10" t="s">
        <v>2805</v>
      </c>
      <c r="X313" s="10" t="s">
        <v>136</v>
      </c>
      <c r="Y313" s="10" t="s">
        <v>206</v>
      </c>
      <c r="Z313" s="10" t="s">
        <v>170</v>
      </c>
      <c r="AA313" s="24"/>
      <c r="AB313" s="24"/>
      <c r="AC313" s="13">
        <v>45404</v>
      </c>
      <c r="AD313" s="24"/>
    </row>
    <row r="314" spans="1:30" ht="15.75" customHeight="1" x14ac:dyDescent="0.25">
      <c r="A314" s="10" t="s">
        <v>77</v>
      </c>
      <c r="B314" s="10" t="s">
        <v>86</v>
      </c>
      <c r="C314" s="10" t="s">
        <v>91</v>
      </c>
      <c r="D314" s="10" t="s">
        <v>92</v>
      </c>
      <c r="E314" s="10">
        <v>72342717</v>
      </c>
      <c r="F314" s="23" t="s">
        <v>379</v>
      </c>
      <c r="G314" s="10" t="s">
        <v>11</v>
      </c>
      <c r="H314" s="10" t="s">
        <v>2806</v>
      </c>
      <c r="I314" s="13">
        <v>45148</v>
      </c>
      <c r="J314" s="10" t="str">
        <f t="shared" ca="1" si="37"/>
        <v xml:space="preserve">3  Años, 0  Mes, 16 Dias </v>
      </c>
      <c r="K314" s="10" t="s">
        <v>113</v>
      </c>
      <c r="L314" s="19"/>
      <c r="M314" s="19" t="str">
        <f t="shared" ca="1" si="45"/>
        <v/>
      </c>
      <c r="N314" s="10" t="s">
        <v>120</v>
      </c>
      <c r="O314" s="10" t="s">
        <v>122</v>
      </c>
      <c r="P314" s="18" t="s">
        <v>142</v>
      </c>
      <c r="Q314" s="18" t="s">
        <v>128</v>
      </c>
      <c r="R314" s="10" t="s">
        <v>133</v>
      </c>
      <c r="S314" s="10" t="s">
        <v>2807</v>
      </c>
      <c r="T314" s="10" t="s">
        <v>136</v>
      </c>
      <c r="U314" s="10">
        <v>3024507876</v>
      </c>
      <c r="V314" s="10">
        <v>3024507876</v>
      </c>
      <c r="W314" s="10" t="s">
        <v>2808</v>
      </c>
      <c r="X314" s="10" t="s">
        <v>136</v>
      </c>
      <c r="Y314" s="10" t="s">
        <v>206</v>
      </c>
      <c r="Z314" s="10" t="s">
        <v>170</v>
      </c>
      <c r="AA314" s="24"/>
      <c r="AB314" s="24"/>
      <c r="AC314" s="13">
        <v>45394</v>
      </c>
      <c r="AD314" s="24"/>
    </row>
    <row r="315" spans="1:30" ht="15.75" customHeight="1" x14ac:dyDescent="0.25">
      <c r="A315" s="10" t="s">
        <v>77</v>
      </c>
      <c r="B315" s="10" t="s">
        <v>86</v>
      </c>
      <c r="C315" s="10" t="s">
        <v>91</v>
      </c>
      <c r="D315" s="10" t="s">
        <v>92</v>
      </c>
      <c r="E315" s="37">
        <v>1042446524</v>
      </c>
      <c r="F315" s="38" t="s">
        <v>2809</v>
      </c>
      <c r="G315" s="10" t="s">
        <v>11</v>
      </c>
      <c r="H315" s="10" t="s">
        <v>2810</v>
      </c>
      <c r="I315" s="13">
        <v>45330</v>
      </c>
      <c r="J315" s="10" t="str">
        <f t="shared" ca="1" si="37"/>
        <v xml:space="preserve">2  Años, 6  Mes, 18 Dias </v>
      </c>
      <c r="K315" s="10" t="s">
        <v>113</v>
      </c>
      <c r="L315" s="36">
        <v>34250</v>
      </c>
      <c r="M315" s="10">
        <f t="shared" ca="1" si="45"/>
        <v>32</v>
      </c>
      <c r="N315" s="10" t="s">
        <v>120</v>
      </c>
      <c r="O315" s="10" t="s">
        <v>236</v>
      </c>
      <c r="P315" s="18" t="s">
        <v>142</v>
      </c>
      <c r="Q315" s="18" t="s">
        <v>648</v>
      </c>
      <c r="R315" s="10" t="s">
        <v>133</v>
      </c>
      <c r="S315" s="37" t="s">
        <v>2811</v>
      </c>
      <c r="T315" s="10" t="s">
        <v>151</v>
      </c>
      <c r="U315" s="37">
        <v>3004226131</v>
      </c>
      <c r="V315" s="19"/>
      <c r="W315" s="40" t="s">
        <v>2812</v>
      </c>
      <c r="X315" s="10" t="s">
        <v>136</v>
      </c>
      <c r="Y315" s="37" t="s">
        <v>155</v>
      </c>
      <c r="Z315" s="10" t="s">
        <v>288</v>
      </c>
      <c r="AA315" s="24"/>
      <c r="AB315" s="24"/>
      <c r="AC315" s="13">
        <v>45362</v>
      </c>
      <c r="AD315" s="24"/>
    </row>
    <row r="316" spans="1:30" ht="15.75" customHeight="1" x14ac:dyDescent="0.25">
      <c r="A316" s="10" t="s">
        <v>77</v>
      </c>
      <c r="B316" s="10" t="s">
        <v>86</v>
      </c>
      <c r="C316" s="10" t="s">
        <v>91</v>
      </c>
      <c r="D316" s="10" t="s">
        <v>92</v>
      </c>
      <c r="E316" s="10">
        <v>1065611627</v>
      </c>
      <c r="F316" s="23" t="s">
        <v>2813</v>
      </c>
      <c r="G316" s="10" t="s">
        <v>1614</v>
      </c>
      <c r="H316" s="10" t="s">
        <v>755</v>
      </c>
      <c r="I316" s="13">
        <v>45008</v>
      </c>
      <c r="J316" s="10" t="str">
        <f t="shared" ca="1" si="37"/>
        <v xml:space="preserve">3  Años, 5  Mes, 3 Dias </v>
      </c>
      <c r="K316" s="10" t="s">
        <v>113</v>
      </c>
      <c r="L316" s="19"/>
      <c r="M316" s="19" t="str">
        <f t="shared" ca="1" si="45"/>
        <v/>
      </c>
      <c r="N316" s="10" t="s">
        <v>120</v>
      </c>
      <c r="O316" s="10" t="s">
        <v>122</v>
      </c>
      <c r="P316" s="18" t="s">
        <v>142</v>
      </c>
      <c r="Q316" s="18" t="s">
        <v>128</v>
      </c>
      <c r="R316" s="10" t="s">
        <v>133</v>
      </c>
      <c r="S316" s="10" t="s">
        <v>2814</v>
      </c>
      <c r="T316" s="10" t="s">
        <v>136</v>
      </c>
      <c r="U316" s="10">
        <v>3043052588</v>
      </c>
      <c r="V316" s="10">
        <v>3043052588</v>
      </c>
      <c r="W316" s="10" t="s">
        <v>2815</v>
      </c>
      <c r="X316" s="10" t="s">
        <v>136</v>
      </c>
      <c r="Y316" s="10" t="s">
        <v>1299</v>
      </c>
      <c r="Z316" s="10" t="s">
        <v>255</v>
      </c>
      <c r="AA316" s="24"/>
      <c r="AB316" s="24"/>
      <c r="AC316" s="13">
        <v>45309</v>
      </c>
      <c r="AD316" s="24"/>
    </row>
    <row r="317" spans="1:30" ht="15.75" customHeight="1" x14ac:dyDescent="0.25">
      <c r="A317" s="10" t="s">
        <v>77</v>
      </c>
      <c r="B317" s="10" t="s">
        <v>90</v>
      </c>
      <c r="C317" s="10" t="s">
        <v>175</v>
      </c>
      <c r="D317" s="10" t="s">
        <v>92</v>
      </c>
      <c r="E317" s="12">
        <v>1048319750</v>
      </c>
      <c r="F317" s="15" t="s">
        <v>971</v>
      </c>
      <c r="G317" s="10" t="s">
        <v>32</v>
      </c>
      <c r="H317" s="12" t="s">
        <v>973</v>
      </c>
      <c r="I317" s="16">
        <v>45869</v>
      </c>
      <c r="J317" s="10" t="str">
        <f t="shared" ca="1" si="37"/>
        <v xml:space="preserve">1  Años, 0  Mes, 26 Dias </v>
      </c>
      <c r="K317" s="12" t="s">
        <v>113</v>
      </c>
      <c r="L317" s="20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20"/>
      <c r="AB317" s="20"/>
      <c r="AC317" s="20"/>
      <c r="AD317" s="20"/>
    </row>
    <row r="318" spans="1:30" ht="15.75" customHeight="1" x14ac:dyDescent="0.25">
      <c r="A318" s="10" t="s">
        <v>160</v>
      </c>
      <c r="B318" s="10" t="s">
        <v>86</v>
      </c>
      <c r="C318" s="10" t="s">
        <v>91</v>
      </c>
      <c r="D318" s="10" t="s">
        <v>92</v>
      </c>
      <c r="E318" s="10">
        <v>1047232357</v>
      </c>
      <c r="F318" s="23" t="s">
        <v>2816</v>
      </c>
      <c r="G318" s="10" t="s">
        <v>424</v>
      </c>
      <c r="H318" s="10" t="s">
        <v>2817</v>
      </c>
      <c r="I318" s="13">
        <v>45831</v>
      </c>
      <c r="J318" s="10" t="str">
        <f t="shared" ca="1" si="37"/>
        <v xml:space="preserve">1  Años, 2  Mes, 3 Dias </v>
      </c>
      <c r="K318" s="10" t="s">
        <v>113</v>
      </c>
      <c r="L318" s="19"/>
      <c r="M318" s="19" t="str">
        <f t="shared" ref="M318:M326" ca="1" si="46">IF(L318=0,"", DATEDIF(L318,TODAY(),"y"))</f>
        <v/>
      </c>
      <c r="N318" s="10" t="s">
        <v>120</v>
      </c>
      <c r="O318" s="10" t="s">
        <v>122</v>
      </c>
      <c r="P318" s="18" t="s">
        <v>124</v>
      </c>
      <c r="Q318" s="18" t="s">
        <v>648</v>
      </c>
      <c r="R318" s="10" t="s">
        <v>133</v>
      </c>
      <c r="S318" s="10" t="s">
        <v>2818</v>
      </c>
      <c r="T318" s="10" t="s">
        <v>136</v>
      </c>
      <c r="U318" s="10">
        <v>3014136293</v>
      </c>
      <c r="V318" s="19"/>
      <c r="W318" s="10" t="s">
        <v>2819</v>
      </c>
      <c r="X318" s="10" t="s">
        <v>136</v>
      </c>
      <c r="Y318" s="10" t="s">
        <v>1299</v>
      </c>
      <c r="Z318" s="10" t="s">
        <v>170</v>
      </c>
      <c r="AA318" s="19"/>
      <c r="AB318" s="19"/>
      <c r="AC318" s="13">
        <v>45885</v>
      </c>
      <c r="AD318" s="10" t="s">
        <v>209</v>
      </c>
    </row>
    <row r="319" spans="1:30" ht="15.75" customHeight="1" x14ac:dyDescent="0.25">
      <c r="A319" s="10" t="s">
        <v>77</v>
      </c>
      <c r="B319" s="10" t="s">
        <v>86</v>
      </c>
      <c r="C319" s="10" t="s">
        <v>91</v>
      </c>
      <c r="D319" s="10" t="s">
        <v>92</v>
      </c>
      <c r="E319" s="37">
        <v>72315058</v>
      </c>
      <c r="F319" s="38" t="s">
        <v>2820</v>
      </c>
      <c r="G319" s="10" t="s">
        <v>26</v>
      </c>
      <c r="H319" s="10" t="s">
        <v>2821</v>
      </c>
      <c r="I319" s="13">
        <v>45224</v>
      </c>
      <c r="J319" s="10" t="str">
        <f t="shared" ca="1" si="37"/>
        <v xml:space="preserve">2  Años, 10  Mes, 1 Dias </v>
      </c>
      <c r="K319" s="10" t="s">
        <v>113</v>
      </c>
      <c r="L319" s="36">
        <v>29441</v>
      </c>
      <c r="M319" s="10">
        <f t="shared" ca="1" si="46"/>
        <v>46</v>
      </c>
      <c r="N319" s="10" t="s">
        <v>120</v>
      </c>
      <c r="O319" s="10" t="s">
        <v>122</v>
      </c>
      <c r="P319" s="18" t="s">
        <v>142</v>
      </c>
      <c r="Q319" s="18" t="s">
        <v>128</v>
      </c>
      <c r="R319" s="10" t="s">
        <v>133</v>
      </c>
      <c r="S319" s="37" t="s">
        <v>2822</v>
      </c>
      <c r="T319" s="10" t="s">
        <v>233</v>
      </c>
      <c r="U319" s="37">
        <v>3117406560</v>
      </c>
      <c r="V319" s="19"/>
      <c r="W319" s="40" t="s">
        <v>2823</v>
      </c>
      <c r="X319" s="10" t="s">
        <v>136</v>
      </c>
      <c r="Y319" s="37" t="s">
        <v>831</v>
      </c>
      <c r="Z319" s="10" t="s">
        <v>170</v>
      </c>
      <c r="AA319" s="33"/>
      <c r="AB319" s="33"/>
      <c r="AC319" s="35">
        <v>45290</v>
      </c>
      <c r="AD319" s="13" t="s">
        <v>209</v>
      </c>
    </row>
    <row r="320" spans="1:30" ht="15.75" customHeight="1" x14ac:dyDescent="0.25">
      <c r="A320" s="10" t="s">
        <v>77</v>
      </c>
      <c r="B320" s="10" t="s">
        <v>86</v>
      </c>
      <c r="C320" s="10" t="s">
        <v>91</v>
      </c>
      <c r="D320" s="10" t="s">
        <v>92</v>
      </c>
      <c r="E320" s="10">
        <v>1045719975</v>
      </c>
      <c r="F320" s="23" t="s">
        <v>566</v>
      </c>
      <c r="G320" s="10" t="s">
        <v>18</v>
      </c>
      <c r="H320" s="10" t="s">
        <v>2824</v>
      </c>
      <c r="I320" s="13">
        <v>45058</v>
      </c>
      <c r="J320" s="10" t="str">
        <f t="shared" ca="1" si="37"/>
        <v xml:space="preserve">3  Años, 3  Mes, 14 Dias </v>
      </c>
      <c r="K320" s="10" t="s">
        <v>113</v>
      </c>
      <c r="L320" s="19"/>
      <c r="M320" s="19" t="str">
        <f t="shared" ca="1" si="46"/>
        <v/>
      </c>
      <c r="N320" s="10" t="s">
        <v>120</v>
      </c>
      <c r="O320" s="10" t="s">
        <v>730</v>
      </c>
      <c r="P320" s="18" t="s">
        <v>124</v>
      </c>
      <c r="Q320" s="18" t="s">
        <v>128</v>
      </c>
      <c r="R320" s="10" t="s">
        <v>133</v>
      </c>
      <c r="S320" s="10" t="s">
        <v>2825</v>
      </c>
      <c r="T320" s="10" t="s">
        <v>136</v>
      </c>
      <c r="U320" s="10">
        <v>3008829483</v>
      </c>
      <c r="V320" s="19"/>
      <c r="W320" s="10" t="s">
        <v>2826</v>
      </c>
      <c r="X320" s="10" t="s">
        <v>136</v>
      </c>
      <c r="Y320" s="10" t="s">
        <v>206</v>
      </c>
      <c r="Z320" s="10" t="s">
        <v>216</v>
      </c>
      <c r="AA320" s="24"/>
      <c r="AB320" s="24"/>
      <c r="AC320" s="13">
        <v>45336</v>
      </c>
      <c r="AD320" s="24"/>
    </row>
    <row r="321" spans="1:30" ht="15.75" customHeight="1" x14ac:dyDescent="0.25">
      <c r="A321" s="10" t="s">
        <v>77</v>
      </c>
      <c r="B321" s="10" t="s">
        <v>86</v>
      </c>
      <c r="C321" s="10" t="s">
        <v>91</v>
      </c>
      <c r="D321" s="10" t="s">
        <v>92</v>
      </c>
      <c r="E321" s="10">
        <v>1001886743</v>
      </c>
      <c r="F321" s="23" t="s">
        <v>2827</v>
      </c>
      <c r="G321" s="10" t="s">
        <v>11</v>
      </c>
      <c r="H321" s="10" t="s">
        <v>2828</v>
      </c>
      <c r="I321" s="13">
        <v>45316</v>
      </c>
      <c r="J321" s="10" t="str">
        <f t="shared" ca="1" si="37"/>
        <v xml:space="preserve">2  Años, 7  Mes, 1 Dias </v>
      </c>
      <c r="K321" s="10" t="s">
        <v>113</v>
      </c>
      <c r="L321" s="13">
        <v>37103</v>
      </c>
      <c r="M321" s="10">
        <f t="shared" ca="1" si="46"/>
        <v>25</v>
      </c>
      <c r="N321" s="10" t="s">
        <v>120</v>
      </c>
      <c r="O321" s="10" t="s">
        <v>122</v>
      </c>
      <c r="P321" s="18" t="s">
        <v>142</v>
      </c>
      <c r="Q321" s="18" t="s">
        <v>128</v>
      </c>
      <c r="R321" s="10" t="s">
        <v>133</v>
      </c>
      <c r="S321" s="10" t="s">
        <v>2829</v>
      </c>
      <c r="T321" s="10" t="s">
        <v>151</v>
      </c>
      <c r="U321" s="10">
        <v>3001968010</v>
      </c>
      <c r="V321" s="19"/>
      <c r="W321" s="40" t="s">
        <v>2830</v>
      </c>
      <c r="X321" s="10" t="s">
        <v>136</v>
      </c>
      <c r="Y321" s="10" t="s">
        <v>155</v>
      </c>
      <c r="Z321" s="10" t="s">
        <v>1208</v>
      </c>
      <c r="AA321" s="24"/>
      <c r="AB321" s="24"/>
      <c r="AC321" s="13">
        <v>45373</v>
      </c>
      <c r="AD321" s="24"/>
    </row>
    <row r="322" spans="1:30" ht="15.75" customHeight="1" x14ac:dyDescent="0.25">
      <c r="A322" s="10" t="s">
        <v>77</v>
      </c>
      <c r="B322" s="10" t="s">
        <v>90</v>
      </c>
      <c r="C322" s="10" t="s">
        <v>175</v>
      </c>
      <c r="D322" s="10" t="s">
        <v>1151</v>
      </c>
      <c r="E322" s="10">
        <v>1480603</v>
      </c>
      <c r="F322" s="23" t="s">
        <v>381</v>
      </c>
      <c r="G322" s="10" t="s">
        <v>18</v>
      </c>
      <c r="H322" s="54" t="s">
        <v>1152</v>
      </c>
      <c r="I322" s="30">
        <v>45856</v>
      </c>
      <c r="J322" s="10" t="str">
        <f t="shared" ca="1" si="37"/>
        <v xml:space="preserve">1  Años, 1  Mes, 8 Dias </v>
      </c>
      <c r="K322" s="10" t="s">
        <v>113</v>
      </c>
      <c r="L322" s="19"/>
      <c r="M322" s="19" t="str">
        <f t="shared" ca="1" si="46"/>
        <v/>
      </c>
      <c r="N322" s="10" t="s">
        <v>120</v>
      </c>
      <c r="O322" s="10" t="s">
        <v>236</v>
      </c>
      <c r="P322" s="18" t="s">
        <v>124</v>
      </c>
      <c r="Q322" s="18" t="s">
        <v>128</v>
      </c>
      <c r="R322" s="10" t="s">
        <v>133</v>
      </c>
      <c r="S322" s="10" t="s">
        <v>1156</v>
      </c>
      <c r="T322" s="10" t="s">
        <v>136</v>
      </c>
      <c r="U322" s="10">
        <v>3244973266</v>
      </c>
      <c r="V322" s="10">
        <v>3244973266</v>
      </c>
      <c r="W322" s="10" t="s">
        <v>1159</v>
      </c>
      <c r="X322" s="10" t="s">
        <v>136</v>
      </c>
      <c r="Y322" s="10" t="s">
        <v>206</v>
      </c>
      <c r="Z322" s="10" t="s">
        <v>170</v>
      </c>
      <c r="AA322" s="24"/>
      <c r="AB322" s="24"/>
      <c r="AC322" s="13">
        <v>45829</v>
      </c>
      <c r="AD322" s="13" t="s">
        <v>209</v>
      </c>
    </row>
    <row r="323" spans="1:30" ht="15.75" customHeight="1" x14ac:dyDescent="0.25">
      <c r="A323" s="10" t="s">
        <v>77</v>
      </c>
      <c r="B323" s="10" t="s">
        <v>86</v>
      </c>
      <c r="C323" s="10" t="s">
        <v>91</v>
      </c>
      <c r="D323" s="10" t="s">
        <v>92</v>
      </c>
      <c r="E323" s="10">
        <v>73429909</v>
      </c>
      <c r="F323" s="23" t="s">
        <v>371</v>
      </c>
      <c r="G323" s="10" t="s">
        <v>18</v>
      </c>
      <c r="H323" s="10" t="s">
        <v>2831</v>
      </c>
      <c r="I323" s="13">
        <v>45148</v>
      </c>
      <c r="J323" s="10" t="str">
        <f t="shared" ca="1" si="37"/>
        <v xml:space="preserve">3  Años, 0  Mes, 16 Dias </v>
      </c>
      <c r="K323" s="10" t="s">
        <v>113</v>
      </c>
      <c r="L323" s="19"/>
      <c r="M323" s="19" t="str">
        <f t="shared" ca="1" si="46"/>
        <v/>
      </c>
      <c r="N323" s="10" t="s">
        <v>120</v>
      </c>
      <c r="O323" s="10" t="s">
        <v>122</v>
      </c>
      <c r="P323" s="18" t="s">
        <v>142</v>
      </c>
      <c r="Q323" s="18" t="s">
        <v>128</v>
      </c>
      <c r="R323" s="10" t="s">
        <v>133</v>
      </c>
      <c r="S323" s="10" t="s">
        <v>2832</v>
      </c>
      <c r="T323" s="10" t="s">
        <v>136</v>
      </c>
      <c r="U323" s="10">
        <v>3178943371</v>
      </c>
      <c r="V323" s="19"/>
      <c r="W323" s="10" t="s">
        <v>845</v>
      </c>
      <c r="X323" s="10" t="s">
        <v>136</v>
      </c>
      <c r="Y323" s="10" t="s">
        <v>206</v>
      </c>
      <c r="Z323" s="10" t="s">
        <v>216</v>
      </c>
      <c r="AA323" s="24"/>
      <c r="AB323" s="24"/>
      <c r="AC323" s="13">
        <v>45444</v>
      </c>
      <c r="AD323" s="24"/>
    </row>
    <row r="324" spans="1:30" ht="15.75" customHeight="1" x14ac:dyDescent="0.25">
      <c r="A324" s="10" t="s">
        <v>77</v>
      </c>
      <c r="B324" s="10" t="s">
        <v>86</v>
      </c>
      <c r="C324" s="10" t="s">
        <v>91</v>
      </c>
      <c r="D324" s="10" t="s">
        <v>92</v>
      </c>
      <c r="E324" s="10">
        <v>1001943844</v>
      </c>
      <c r="F324" s="23" t="s">
        <v>370</v>
      </c>
      <c r="G324" s="10" t="s">
        <v>11</v>
      </c>
      <c r="H324" s="10" t="s">
        <v>2833</v>
      </c>
      <c r="I324" s="13">
        <v>45416</v>
      </c>
      <c r="J324" s="10" t="str">
        <f t="shared" ca="1" si="37"/>
        <v xml:space="preserve">2  Años, 3  Mes, 22 Dias </v>
      </c>
      <c r="K324" s="10" t="s">
        <v>113</v>
      </c>
      <c r="L324" s="19"/>
      <c r="M324" s="19" t="str">
        <f t="shared" ca="1" si="46"/>
        <v/>
      </c>
      <c r="N324" s="10" t="s">
        <v>120</v>
      </c>
      <c r="O324" s="10" t="s">
        <v>122</v>
      </c>
      <c r="P324" s="18" t="s">
        <v>142</v>
      </c>
      <c r="Q324" s="18" t="s">
        <v>128</v>
      </c>
      <c r="R324" s="10" t="s">
        <v>133</v>
      </c>
      <c r="S324" s="10" t="s">
        <v>2834</v>
      </c>
      <c r="T324" s="10" t="s">
        <v>136</v>
      </c>
      <c r="U324" s="10">
        <v>3009441832</v>
      </c>
      <c r="V324" s="19"/>
      <c r="W324" s="59" t="s">
        <v>2835</v>
      </c>
      <c r="X324" s="10" t="s">
        <v>136</v>
      </c>
      <c r="Y324" s="10" t="s">
        <v>155</v>
      </c>
      <c r="Z324" s="10" t="s">
        <v>1208</v>
      </c>
      <c r="AA324" s="24"/>
      <c r="AB324" s="24"/>
      <c r="AC324" s="13">
        <v>45830</v>
      </c>
      <c r="AD324" s="13" t="s">
        <v>209</v>
      </c>
    </row>
    <row r="325" spans="1:30" ht="15.75" customHeight="1" x14ac:dyDescent="0.25">
      <c r="A325" s="10" t="s">
        <v>77</v>
      </c>
      <c r="B325" s="10" t="s">
        <v>86</v>
      </c>
      <c r="C325" s="10" t="s">
        <v>91</v>
      </c>
      <c r="D325" s="10" t="s">
        <v>92</v>
      </c>
      <c r="E325" s="10">
        <v>1143120635</v>
      </c>
      <c r="F325" s="23" t="s">
        <v>368</v>
      </c>
      <c r="G325" s="10" t="s">
        <v>26</v>
      </c>
      <c r="H325" s="10" t="s">
        <v>2836</v>
      </c>
      <c r="I325" s="13">
        <v>44843</v>
      </c>
      <c r="J325" s="10" t="str">
        <f t="shared" ca="1" si="37"/>
        <v xml:space="preserve">3  Años, 10  Mes, 17 Dias </v>
      </c>
      <c r="K325" s="10" t="s">
        <v>113</v>
      </c>
      <c r="L325" s="24"/>
      <c r="M325" s="19" t="str">
        <f t="shared" ca="1" si="46"/>
        <v/>
      </c>
      <c r="N325" s="10" t="s">
        <v>120</v>
      </c>
      <c r="O325" s="10" t="s">
        <v>122</v>
      </c>
      <c r="P325" s="18" t="s">
        <v>142</v>
      </c>
      <c r="Q325" s="18" t="s">
        <v>128</v>
      </c>
      <c r="R325" s="10" t="s">
        <v>133</v>
      </c>
      <c r="S325" s="10" t="s">
        <v>2837</v>
      </c>
      <c r="T325" s="10" t="s">
        <v>136</v>
      </c>
      <c r="U325" s="10">
        <v>3106919962</v>
      </c>
      <c r="V325" s="19"/>
      <c r="W325" s="10" t="s">
        <v>2838</v>
      </c>
      <c r="X325" s="10" t="s">
        <v>136</v>
      </c>
      <c r="Y325" s="10" t="s">
        <v>1299</v>
      </c>
      <c r="Z325" s="10" t="s">
        <v>255</v>
      </c>
      <c r="AA325" s="24"/>
      <c r="AB325" s="24"/>
      <c r="AC325" s="13">
        <v>45366</v>
      </c>
      <c r="AD325" s="24"/>
    </row>
    <row r="326" spans="1:30" ht="15.75" customHeight="1" x14ac:dyDescent="0.25">
      <c r="A326" s="10" t="s">
        <v>77</v>
      </c>
      <c r="B326" s="10" t="s">
        <v>86</v>
      </c>
      <c r="C326" s="10" t="s">
        <v>91</v>
      </c>
      <c r="D326" s="10" t="s">
        <v>92</v>
      </c>
      <c r="E326" s="10">
        <v>72346369</v>
      </c>
      <c r="F326" s="23" t="s">
        <v>367</v>
      </c>
      <c r="G326" s="10" t="s">
        <v>26</v>
      </c>
      <c r="H326" s="10" t="s">
        <v>2839</v>
      </c>
      <c r="I326" s="13">
        <v>44843</v>
      </c>
      <c r="J326" s="10" t="str">
        <f t="shared" ca="1" si="37"/>
        <v xml:space="preserve">3  Años, 10  Mes, 17 Dias </v>
      </c>
      <c r="K326" s="10" t="s">
        <v>113</v>
      </c>
      <c r="L326" s="24"/>
      <c r="M326" s="19" t="str">
        <f t="shared" ca="1" si="46"/>
        <v/>
      </c>
      <c r="N326" s="10" t="s">
        <v>120</v>
      </c>
      <c r="O326" s="10" t="s">
        <v>122</v>
      </c>
      <c r="P326" s="18" t="s">
        <v>142</v>
      </c>
      <c r="Q326" s="18" t="s">
        <v>128</v>
      </c>
      <c r="R326" s="10" t="s">
        <v>133</v>
      </c>
      <c r="S326" s="10" t="s">
        <v>2840</v>
      </c>
      <c r="T326" s="10" t="s">
        <v>136</v>
      </c>
      <c r="U326" s="10">
        <v>3012723381</v>
      </c>
      <c r="V326" s="19"/>
      <c r="W326" s="10" t="s">
        <v>845</v>
      </c>
      <c r="X326" s="10" t="s">
        <v>136</v>
      </c>
      <c r="Y326" s="10" t="s">
        <v>206</v>
      </c>
      <c r="Z326" s="10" t="s">
        <v>170</v>
      </c>
      <c r="AA326" s="24"/>
      <c r="AB326" s="24"/>
      <c r="AC326" s="13">
        <v>45350</v>
      </c>
      <c r="AD326" s="24"/>
    </row>
    <row r="327" spans="1:30" ht="15.75" customHeight="1" x14ac:dyDescent="0.25">
      <c r="A327" s="10" t="s">
        <v>77</v>
      </c>
      <c r="B327" s="10" t="s">
        <v>86</v>
      </c>
      <c r="C327" s="10" t="s">
        <v>91</v>
      </c>
      <c r="D327" s="10" t="s">
        <v>92</v>
      </c>
      <c r="E327" s="10">
        <v>72346369</v>
      </c>
      <c r="F327" s="23" t="s">
        <v>367</v>
      </c>
      <c r="G327" s="10" t="s">
        <v>26</v>
      </c>
      <c r="H327" s="10" t="s">
        <v>2839</v>
      </c>
      <c r="I327" s="13">
        <v>45437</v>
      </c>
      <c r="J327" s="10" t="str">
        <f t="shared" ca="1" si="37"/>
        <v xml:space="preserve">2  Años, 3  Mes, 1 Dias </v>
      </c>
      <c r="K327" s="10" t="s">
        <v>113</v>
      </c>
      <c r="L327" s="63"/>
      <c r="M327" s="19"/>
      <c r="N327" s="10" t="s">
        <v>120</v>
      </c>
      <c r="O327" s="10" t="s">
        <v>122</v>
      </c>
      <c r="P327" s="18" t="s">
        <v>142</v>
      </c>
      <c r="Q327" s="18" t="s">
        <v>128</v>
      </c>
      <c r="R327" s="10" t="s">
        <v>133</v>
      </c>
      <c r="S327" s="10" t="s">
        <v>2841</v>
      </c>
      <c r="T327" s="10" t="s">
        <v>136</v>
      </c>
      <c r="U327" s="10">
        <v>3245445253</v>
      </c>
      <c r="V327" s="19"/>
      <c r="W327" s="40" t="s">
        <v>2842</v>
      </c>
      <c r="X327" s="10" t="s">
        <v>136</v>
      </c>
      <c r="Y327" s="37" t="s">
        <v>155</v>
      </c>
      <c r="Z327" s="10" t="s">
        <v>170</v>
      </c>
      <c r="AA327" s="63"/>
      <c r="AB327" s="63"/>
      <c r="AC327" s="30">
        <v>45656</v>
      </c>
      <c r="AD327" s="63"/>
    </row>
    <row r="328" spans="1:30" ht="15.75" customHeight="1" x14ac:dyDescent="0.25">
      <c r="A328" s="10" t="s">
        <v>160</v>
      </c>
      <c r="B328" s="10" t="s">
        <v>86</v>
      </c>
      <c r="C328" s="10" t="s">
        <v>91</v>
      </c>
      <c r="D328" s="10" t="s">
        <v>92</v>
      </c>
      <c r="E328" s="10">
        <v>1048213872</v>
      </c>
      <c r="F328" s="23" t="s">
        <v>2843</v>
      </c>
      <c r="G328" s="10" t="s">
        <v>416</v>
      </c>
      <c r="H328" s="10" t="s">
        <v>2844</v>
      </c>
      <c r="I328" s="30">
        <v>45288</v>
      </c>
      <c r="J328" s="10" t="str">
        <f t="shared" ca="1" si="37"/>
        <v xml:space="preserve">2  Años, 7  Mes, 29 Dias </v>
      </c>
      <c r="K328" s="10" t="s">
        <v>113</v>
      </c>
      <c r="L328" s="19"/>
      <c r="M328" s="19" t="str">
        <f t="shared" ref="M328:M330" ca="1" si="47">IF(L328=0,"", DATEDIF(L328,TODAY(),"y"))</f>
        <v/>
      </c>
      <c r="N328" s="10" t="s">
        <v>120</v>
      </c>
      <c r="O328" s="10" t="s">
        <v>122</v>
      </c>
      <c r="P328" s="18" t="s">
        <v>124</v>
      </c>
      <c r="Q328" s="18" t="s">
        <v>128</v>
      </c>
      <c r="R328" s="10" t="s">
        <v>133</v>
      </c>
      <c r="S328" s="10" t="s">
        <v>2845</v>
      </c>
      <c r="T328" s="10" t="s">
        <v>151</v>
      </c>
      <c r="U328" s="10">
        <v>3022991044</v>
      </c>
      <c r="V328" s="10">
        <v>3022991044</v>
      </c>
      <c r="W328" s="10" t="s">
        <v>2846</v>
      </c>
      <c r="X328" s="10" t="s">
        <v>136</v>
      </c>
      <c r="Y328" s="10" t="s">
        <v>169</v>
      </c>
      <c r="Z328" s="10" t="s">
        <v>170</v>
      </c>
      <c r="AA328" s="24"/>
      <c r="AB328" s="24"/>
      <c r="AC328" s="13">
        <v>45353</v>
      </c>
      <c r="AD328" s="24"/>
    </row>
    <row r="329" spans="1:30" ht="15.75" customHeight="1" x14ac:dyDescent="0.25">
      <c r="A329" s="10" t="s">
        <v>160</v>
      </c>
      <c r="B329" s="10" t="s">
        <v>90</v>
      </c>
      <c r="C329" s="10" t="s">
        <v>175</v>
      </c>
      <c r="D329" s="10" t="s">
        <v>92</v>
      </c>
      <c r="E329" s="10">
        <v>1047238057</v>
      </c>
      <c r="F329" s="23" t="s">
        <v>1165</v>
      </c>
      <c r="G329" s="10" t="s">
        <v>693</v>
      </c>
      <c r="H329" s="10" t="s">
        <v>1167</v>
      </c>
      <c r="I329" s="13">
        <v>45846</v>
      </c>
      <c r="J329" s="10" t="str">
        <f t="shared" ca="1" si="37"/>
        <v xml:space="preserve">1  Años, 1  Mes, 18 Dias </v>
      </c>
      <c r="K329" s="19"/>
      <c r="L329" s="24"/>
      <c r="M329" s="19" t="str">
        <f t="shared" ca="1" si="47"/>
        <v/>
      </c>
      <c r="N329" s="10" t="s">
        <v>120</v>
      </c>
      <c r="O329" s="10" t="s">
        <v>122</v>
      </c>
      <c r="P329" s="19"/>
      <c r="Q329" s="18" t="s">
        <v>128</v>
      </c>
      <c r="R329" s="10" t="s">
        <v>133</v>
      </c>
      <c r="S329" s="19"/>
      <c r="T329" s="19"/>
      <c r="U329" s="10">
        <v>3166104774</v>
      </c>
      <c r="V329" s="19"/>
      <c r="W329" s="19"/>
      <c r="X329" s="10" t="s">
        <v>136</v>
      </c>
      <c r="Y329" s="19"/>
      <c r="Z329" s="19"/>
      <c r="AA329" s="10">
        <v>76900008701</v>
      </c>
      <c r="AB329" s="10" t="s">
        <v>393</v>
      </c>
      <c r="AC329" s="24"/>
      <c r="AD329" s="10" t="s">
        <v>209</v>
      </c>
    </row>
    <row r="330" spans="1:30" ht="15.75" customHeight="1" x14ac:dyDescent="0.25">
      <c r="A330" s="10" t="s">
        <v>77</v>
      </c>
      <c r="B330" s="10" t="s">
        <v>86</v>
      </c>
      <c r="C330" s="10" t="s">
        <v>91</v>
      </c>
      <c r="D330" s="10" t="s">
        <v>92</v>
      </c>
      <c r="E330" s="10">
        <v>1007969924</v>
      </c>
      <c r="F330" s="23" t="s">
        <v>2847</v>
      </c>
      <c r="G330" s="10" t="s">
        <v>11</v>
      </c>
      <c r="H330" s="10" t="s">
        <v>2848</v>
      </c>
      <c r="I330" s="13">
        <v>45309</v>
      </c>
      <c r="J330" s="10" t="str">
        <f t="shared" ca="1" si="37"/>
        <v xml:space="preserve">2  Años, 7  Mes, 8 Dias </v>
      </c>
      <c r="K330" s="10" t="s">
        <v>113</v>
      </c>
      <c r="L330" s="13">
        <v>37249</v>
      </c>
      <c r="M330" s="10">
        <f t="shared" ca="1" si="47"/>
        <v>24</v>
      </c>
      <c r="N330" s="10" t="s">
        <v>120</v>
      </c>
      <c r="O330" s="10" t="s">
        <v>122</v>
      </c>
      <c r="P330" s="18" t="s">
        <v>142</v>
      </c>
      <c r="Q330" s="18" t="s">
        <v>128</v>
      </c>
      <c r="R330" s="10" t="s">
        <v>133</v>
      </c>
      <c r="S330" s="10" t="s">
        <v>2849</v>
      </c>
      <c r="T330" s="10" t="s">
        <v>136</v>
      </c>
      <c r="U330" s="10">
        <v>3143259245</v>
      </c>
      <c r="V330" s="19"/>
      <c r="W330" s="40" t="s">
        <v>2850</v>
      </c>
      <c r="X330" s="10" t="s">
        <v>136</v>
      </c>
      <c r="Y330" s="10" t="s">
        <v>155</v>
      </c>
      <c r="Z330" s="10" t="s">
        <v>170</v>
      </c>
      <c r="AA330" s="24"/>
      <c r="AB330" s="24"/>
      <c r="AC330" s="13">
        <v>45362</v>
      </c>
      <c r="AD330" s="24"/>
    </row>
    <row r="331" spans="1:30" ht="15.75" customHeight="1" x14ac:dyDescent="0.25">
      <c r="A331" s="10" t="s">
        <v>77</v>
      </c>
      <c r="B331" s="10" t="s">
        <v>90</v>
      </c>
      <c r="C331" s="10" t="s">
        <v>175</v>
      </c>
      <c r="D331" s="12" t="s">
        <v>92</v>
      </c>
      <c r="E331" s="12">
        <v>1048287440</v>
      </c>
      <c r="F331" s="23" t="s">
        <v>1870</v>
      </c>
      <c r="G331" s="10" t="s">
        <v>26</v>
      </c>
      <c r="H331" s="10" t="s">
        <v>1871</v>
      </c>
      <c r="I331" s="13">
        <v>45831</v>
      </c>
      <c r="J331" s="10" t="str">
        <f t="shared" ca="1" si="37"/>
        <v xml:space="preserve">1  Años, 2  Mes, 3 Dias </v>
      </c>
      <c r="K331" s="12" t="s">
        <v>113</v>
      </c>
      <c r="L331" s="5"/>
      <c r="M331" s="12">
        <v>32</v>
      </c>
      <c r="N331" s="10" t="s">
        <v>120</v>
      </c>
      <c r="O331" s="10" t="s">
        <v>122</v>
      </c>
      <c r="P331" s="18" t="s">
        <v>210</v>
      </c>
      <c r="Q331" s="18" t="s">
        <v>128</v>
      </c>
      <c r="R331" s="12" t="s">
        <v>133</v>
      </c>
      <c r="S331" s="12" t="s">
        <v>1876</v>
      </c>
      <c r="T331" s="12" t="s">
        <v>507</v>
      </c>
      <c r="U331" s="12">
        <v>3014788105</v>
      </c>
      <c r="V331" s="5"/>
      <c r="W331" s="12" t="s">
        <v>1877</v>
      </c>
      <c r="X331" s="12" t="s">
        <v>136</v>
      </c>
      <c r="Y331" s="12" t="s">
        <v>539</v>
      </c>
      <c r="Z331" s="12" t="s">
        <v>170</v>
      </c>
      <c r="AA331" s="20"/>
      <c r="AB331" s="20"/>
      <c r="AC331" s="20"/>
      <c r="AD331" s="10" t="s">
        <v>209</v>
      </c>
    </row>
    <row r="332" spans="1:30" ht="15.75" customHeight="1" x14ac:dyDescent="0.25">
      <c r="A332" s="10" t="s">
        <v>77</v>
      </c>
      <c r="B332" s="10" t="s">
        <v>86</v>
      </c>
      <c r="C332" s="10" t="s">
        <v>91</v>
      </c>
      <c r="D332" s="12" t="s">
        <v>92</v>
      </c>
      <c r="E332" s="12">
        <v>72305088</v>
      </c>
      <c r="F332" s="15" t="s">
        <v>2851</v>
      </c>
      <c r="G332" s="10" t="s">
        <v>32</v>
      </c>
      <c r="H332" s="12" t="s">
        <v>2852</v>
      </c>
      <c r="I332" s="16">
        <v>45674</v>
      </c>
      <c r="J332" s="10" t="str">
        <f t="shared" ca="1" si="37"/>
        <v xml:space="preserve">1  Años, 7  Mes, 9 Dias </v>
      </c>
      <c r="K332" s="12" t="s">
        <v>113</v>
      </c>
      <c r="L332" s="20"/>
      <c r="M332" s="5"/>
      <c r="N332" s="10" t="s">
        <v>120</v>
      </c>
      <c r="O332" s="10" t="s">
        <v>236</v>
      </c>
      <c r="P332" s="18" t="s">
        <v>142</v>
      </c>
      <c r="Q332" s="18" t="s">
        <v>648</v>
      </c>
      <c r="R332" s="12" t="s">
        <v>133</v>
      </c>
      <c r="S332" s="12" t="s">
        <v>2853</v>
      </c>
      <c r="T332" s="12" t="s">
        <v>136</v>
      </c>
      <c r="U332" s="12">
        <v>3225621028</v>
      </c>
      <c r="V332" s="5"/>
      <c r="W332" s="12" t="s">
        <v>2854</v>
      </c>
      <c r="X332" s="12" t="s">
        <v>136</v>
      </c>
      <c r="Y332" s="12" t="s">
        <v>813</v>
      </c>
      <c r="Z332" s="12" t="s">
        <v>255</v>
      </c>
      <c r="AA332" s="20"/>
      <c r="AB332" s="20"/>
      <c r="AC332" s="16">
        <v>45705</v>
      </c>
      <c r="AD332" s="13" t="s">
        <v>148</v>
      </c>
    </row>
    <row r="333" spans="1:30" ht="15.75" customHeight="1" x14ac:dyDescent="0.25">
      <c r="A333" s="10" t="s">
        <v>77</v>
      </c>
      <c r="B333" s="10" t="s">
        <v>90</v>
      </c>
      <c r="C333" s="10" t="s">
        <v>175</v>
      </c>
      <c r="D333" s="10" t="s">
        <v>92</v>
      </c>
      <c r="E333" s="10">
        <v>72306580</v>
      </c>
      <c r="F333" s="23" t="s">
        <v>398</v>
      </c>
      <c r="G333" s="10" t="s">
        <v>26</v>
      </c>
      <c r="H333" s="10" t="s">
        <v>1423</v>
      </c>
      <c r="I333" s="13">
        <v>45831</v>
      </c>
      <c r="J333" s="10" t="str">
        <f t="shared" ca="1" si="37"/>
        <v xml:space="preserve">1  Años, 2  Mes, 3 Dias </v>
      </c>
      <c r="K333" s="10" t="s">
        <v>113</v>
      </c>
      <c r="L333" s="24"/>
      <c r="M333" s="19" t="str">
        <f t="shared" ref="M333:M334" ca="1" si="48">IF(L333=0,"", DATEDIF(L333,TODAY(),"y"))</f>
        <v/>
      </c>
      <c r="N333" s="10" t="s">
        <v>120</v>
      </c>
      <c r="O333" s="10" t="s">
        <v>277</v>
      </c>
      <c r="P333" s="18" t="s">
        <v>142</v>
      </c>
      <c r="Q333" s="18" t="s">
        <v>128</v>
      </c>
      <c r="R333" s="10" t="s">
        <v>133</v>
      </c>
      <c r="S333" s="10" t="s">
        <v>1427</v>
      </c>
      <c r="T333" s="10" t="s">
        <v>1428</v>
      </c>
      <c r="U333" s="10">
        <v>3008606119</v>
      </c>
      <c r="V333" s="10">
        <v>3008606119</v>
      </c>
      <c r="W333" s="10" t="s">
        <v>1430</v>
      </c>
      <c r="X333" s="10" t="s">
        <v>136</v>
      </c>
      <c r="Y333" s="10" t="s">
        <v>203</v>
      </c>
      <c r="Z333" s="10" t="s">
        <v>170</v>
      </c>
      <c r="AA333" s="24"/>
      <c r="AB333" s="24"/>
      <c r="AC333" s="24"/>
      <c r="AD333" s="10" t="s">
        <v>209</v>
      </c>
    </row>
    <row r="334" spans="1:30" ht="15.75" customHeight="1" x14ac:dyDescent="0.25">
      <c r="A334" s="10" t="s">
        <v>77</v>
      </c>
      <c r="B334" s="10" t="s">
        <v>86</v>
      </c>
      <c r="C334" s="10" t="s">
        <v>91</v>
      </c>
      <c r="D334" s="10" t="s">
        <v>92</v>
      </c>
      <c r="E334" s="10">
        <v>1045749816</v>
      </c>
      <c r="F334" s="23" t="s">
        <v>2855</v>
      </c>
      <c r="G334" s="10" t="s">
        <v>11</v>
      </c>
      <c r="H334" s="10" t="s">
        <v>2856</v>
      </c>
      <c r="I334" s="13">
        <v>45309</v>
      </c>
      <c r="J334" s="10" t="str">
        <f t="shared" ca="1" si="37"/>
        <v xml:space="preserve">2  Años, 7  Mes, 8 Dias </v>
      </c>
      <c r="K334" s="10" t="s">
        <v>113</v>
      </c>
      <c r="L334" s="13">
        <v>35783</v>
      </c>
      <c r="M334" s="10">
        <f t="shared" ca="1" si="48"/>
        <v>28</v>
      </c>
      <c r="N334" s="10" t="s">
        <v>120</v>
      </c>
      <c r="O334" s="10" t="s">
        <v>122</v>
      </c>
      <c r="P334" s="18" t="s">
        <v>142</v>
      </c>
      <c r="Q334" s="18" t="s">
        <v>128</v>
      </c>
      <c r="R334" s="10" t="s">
        <v>133</v>
      </c>
      <c r="S334" s="10" t="s">
        <v>2857</v>
      </c>
      <c r="T334" s="10" t="s">
        <v>136</v>
      </c>
      <c r="U334" s="10">
        <v>3011935210</v>
      </c>
      <c r="V334" s="19"/>
      <c r="W334" s="40" t="s">
        <v>2858</v>
      </c>
      <c r="X334" s="10" t="s">
        <v>136</v>
      </c>
      <c r="Y334" s="10" t="s">
        <v>539</v>
      </c>
      <c r="Z334" s="10" t="s">
        <v>170</v>
      </c>
      <c r="AA334" s="24"/>
      <c r="AB334" s="24"/>
      <c r="AC334" s="13">
        <v>45362</v>
      </c>
      <c r="AD334" s="24"/>
    </row>
    <row r="335" spans="1:30" ht="15.75" customHeight="1" x14ac:dyDescent="0.25">
      <c r="A335" s="10" t="s">
        <v>77</v>
      </c>
      <c r="B335" s="10" t="s">
        <v>86</v>
      </c>
      <c r="C335" s="10" t="s">
        <v>91</v>
      </c>
      <c r="D335" s="12" t="s">
        <v>92</v>
      </c>
      <c r="E335" s="12">
        <v>1140858493</v>
      </c>
      <c r="F335" s="15" t="s">
        <v>2859</v>
      </c>
      <c r="G335" s="10" t="s">
        <v>26</v>
      </c>
      <c r="H335" s="12" t="s">
        <v>2860</v>
      </c>
      <c r="I335" s="16">
        <v>45671</v>
      </c>
      <c r="J335" s="10" t="str">
        <f t="shared" ca="1" si="37"/>
        <v xml:space="preserve">1  Años, 7  Mes, 12 Dias </v>
      </c>
      <c r="K335" s="12" t="s">
        <v>113</v>
      </c>
      <c r="L335" s="5"/>
      <c r="M335" s="12">
        <v>32</v>
      </c>
      <c r="N335" s="10" t="s">
        <v>120</v>
      </c>
      <c r="O335" s="10" t="s">
        <v>122</v>
      </c>
      <c r="P335" s="18" t="s">
        <v>142</v>
      </c>
      <c r="Q335" s="18" t="s">
        <v>128</v>
      </c>
      <c r="R335" s="12" t="s">
        <v>133</v>
      </c>
      <c r="S335" s="12" t="s">
        <v>2861</v>
      </c>
      <c r="T335" s="12" t="s">
        <v>136</v>
      </c>
      <c r="U335" s="12">
        <v>3243513459</v>
      </c>
      <c r="V335" s="5"/>
      <c r="W335" s="12" t="s">
        <v>2862</v>
      </c>
      <c r="X335" s="12" t="s">
        <v>136</v>
      </c>
      <c r="Y335" s="12" t="s">
        <v>539</v>
      </c>
      <c r="Z335" s="12" t="s">
        <v>1378</v>
      </c>
      <c r="AA335" s="20"/>
      <c r="AB335" s="20"/>
      <c r="AC335" s="16">
        <v>45672</v>
      </c>
      <c r="AD335" s="26" t="s">
        <v>148</v>
      </c>
    </row>
    <row r="336" spans="1:30" ht="15.75" customHeight="1" x14ac:dyDescent="0.25">
      <c r="A336" s="10" t="s">
        <v>77</v>
      </c>
      <c r="B336" s="10" t="s">
        <v>86</v>
      </c>
      <c r="C336" s="10" t="s">
        <v>91</v>
      </c>
      <c r="D336" s="10" t="s">
        <v>92</v>
      </c>
      <c r="E336" s="10">
        <v>1042447973</v>
      </c>
      <c r="F336" s="23" t="s">
        <v>2863</v>
      </c>
      <c r="G336" s="10" t="s">
        <v>11</v>
      </c>
      <c r="H336" s="10" t="s">
        <v>2864</v>
      </c>
      <c r="I336" s="13">
        <v>45310</v>
      </c>
      <c r="J336" s="10" t="str">
        <f t="shared" ca="1" si="37"/>
        <v xml:space="preserve">2  Años, 7  Mes, 7 Dias </v>
      </c>
      <c r="K336" s="10" t="s">
        <v>113</v>
      </c>
      <c r="L336" s="13">
        <v>34377</v>
      </c>
      <c r="M336" s="10">
        <f t="shared" ref="M336:M339" ca="1" si="49">IF(L336=0,"", DATEDIF(L336,TODAY(),"y"))</f>
        <v>32</v>
      </c>
      <c r="N336" s="10" t="s">
        <v>120</v>
      </c>
      <c r="O336" s="10" t="s">
        <v>122</v>
      </c>
      <c r="P336" s="18" t="s">
        <v>210</v>
      </c>
      <c r="Q336" s="18" t="s">
        <v>128</v>
      </c>
      <c r="R336" s="10" t="s">
        <v>133</v>
      </c>
      <c r="S336" s="10" t="s">
        <v>2865</v>
      </c>
      <c r="T336" s="10" t="s">
        <v>507</v>
      </c>
      <c r="U336" s="10">
        <v>3004021027</v>
      </c>
      <c r="V336" s="19"/>
      <c r="W336" s="40" t="s">
        <v>2866</v>
      </c>
      <c r="X336" s="10" t="s">
        <v>136</v>
      </c>
      <c r="Y336" s="10" t="s">
        <v>539</v>
      </c>
      <c r="Z336" s="10" t="s">
        <v>170</v>
      </c>
      <c r="AA336" s="24"/>
      <c r="AB336" s="24"/>
      <c r="AC336" s="13">
        <v>45362</v>
      </c>
      <c r="AD336" s="24"/>
    </row>
    <row r="337" spans="1:30" ht="15.75" customHeight="1" x14ac:dyDescent="0.25">
      <c r="A337" s="10" t="s">
        <v>77</v>
      </c>
      <c r="B337" s="10" t="s">
        <v>86</v>
      </c>
      <c r="C337" s="10" t="s">
        <v>91</v>
      </c>
      <c r="D337" s="10" t="s">
        <v>92</v>
      </c>
      <c r="E337" s="10">
        <v>1007576399</v>
      </c>
      <c r="F337" s="23" t="s">
        <v>475</v>
      </c>
      <c r="G337" s="10" t="s">
        <v>18</v>
      </c>
      <c r="H337" s="10" t="s">
        <v>476</v>
      </c>
      <c r="I337" s="13">
        <v>45859</v>
      </c>
      <c r="J337" s="10" t="str">
        <f t="shared" ca="1" si="37"/>
        <v xml:space="preserve">1  Años, 1  Mes, 5 Dias </v>
      </c>
      <c r="K337" s="10" t="s">
        <v>113</v>
      </c>
      <c r="L337" s="24"/>
      <c r="M337" s="19" t="str">
        <f t="shared" ca="1" si="49"/>
        <v/>
      </c>
      <c r="N337" s="10" t="s">
        <v>120</v>
      </c>
      <c r="O337" s="10" t="s">
        <v>122</v>
      </c>
      <c r="P337" s="19"/>
      <c r="Q337" s="18" t="s">
        <v>128</v>
      </c>
      <c r="R337" s="10" t="s">
        <v>133</v>
      </c>
      <c r="S337" s="19"/>
      <c r="T337" s="10" t="s">
        <v>151</v>
      </c>
      <c r="U337" s="10">
        <v>3006022341</v>
      </c>
      <c r="V337" s="19"/>
      <c r="W337" s="10" t="s">
        <v>484</v>
      </c>
      <c r="X337" s="10" t="s">
        <v>136</v>
      </c>
      <c r="Y337" s="19"/>
      <c r="Z337" s="19"/>
      <c r="AA337" s="24"/>
      <c r="AB337" s="24"/>
      <c r="AC337" s="24"/>
      <c r="AD337" s="10" t="s">
        <v>209</v>
      </c>
    </row>
    <row r="338" spans="1:30" ht="15.75" customHeight="1" x14ac:dyDescent="0.25">
      <c r="A338" s="10" t="s">
        <v>77</v>
      </c>
      <c r="B338" s="10" t="s">
        <v>86</v>
      </c>
      <c r="C338" s="10" t="s">
        <v>91</v>
      </c>
      <c r="D338" s="10" t="s">
        <v>92</v>
      </c>
      <c r="E338" s="10">
        <v>8798101</v>
      </c>
      <c r="F338" s="23" t="s">
        <v>359</v>
      </c>
      <c r="G338" s="10" t="s">
        <v>11</v>
      </c>
      <c r="H338" s="10" t="s">
        <v>2867</v>
      </c>
      <c r="I338" s="13">
        <v>44986</v>
      </c>
      <c r="J338" s="10" t="str">
        <f t="shared" ca="1" si="37"/>
        <v xml:space="preserve">3  Años, 5  Mes, 25 Dias </v>
      </c>
      <c r="K338" s="10" t="s">
        <v>113</v>
      </c>
      <c r="L338" s="19"/>
      <c r="M338" s="19" t="str">
        <f t="shared" ca="1" si="49"/>
        <v/>
      </c>
      <c r="N338" s="10" t="s">
        <v>120</v>
      </c>
      <c r="O338" s="10" t="s">
        <v>567</v>
      </c>
      <c r="P338" s="18" t="s">
        <v>142</v>
      </c>
      <c r="Q338" s="18" t="s">
        <v>128</v>
      </c>
      <c r="R338" s="10" t="s">
        <v>133</v>
      </c>
      <c r="S338" s="10" t="s">
        <v>2868</v>
      </c>
      <c r="T338" s="10" t="s">
        <v>136</v>
      </c>
      <c r="U338" s="10">
        <v>3013951858</v>
      </c>
      <c r="V338" s="10">
        <v>3013951858</v>
      </c>
      <c r="W338" s="10" t="s">
        <v>2869</v>
      </c>
      <c r="X338" s="10" t="s">
        <v>136</v>
      </c>
      <c r="Y338" s="10" t="s">
        <v>203</v>
      </c>
      <c r="Z338" s="10" t="s">
        <v>216</v>
      </c>
      <c r="AA338" s="24"/>
      <c r="AB338" s="24"/>
      <c r="AC338" s="13">
        <v>45678</v>
      </c>
      <c r="AD338" s="10" t="s">
        <v>1515</v>
      </c>
    </row>
    <row r="339" spans="1:30" ht="15.75" customHeight="1" x14ac:dyDescent="0.25">
      <c r="A339" s="10" t="s">
        <v>77</v>
      </c>
      <c r="B339" s="10" t="s">
        <v>86</v>
      </c>
      <c r="C339" s="10" t="s">
        <v>91</v>
      </c>
      <c r="D339" s="10" t="s">
        <v>92</v>
      </c>
      <c r="E339" s="10">
        <v>1044802009</v>
      </c>
      <c r="F339" s="23" t="s">
        <v>2870</v>
      </c>
      <c r="G339" s="10" t="s">
        <v>26</v>
      </c>
      <c r="H339" s="10" t="s">
        <v>755</v>
      </c>
      <c r="I339" s="30">
        <v>45272</v>
      </c>
      <c r="J339" s="10" t="str">
        <f t="shared" ca="1" si="37"/>
        <v xml:space="preserve">2  Años, 8  Mes, 14 Dias </v>
      </c>
      <c r="K339" s="10" t="s">
        <v>113</v>
      </c>
      <c r="L339" s="19"/>
      <c r="M339" s="19" t="str">
        <f t="shared" ca="1" si="49"/>
        <v/>
      </c>
      <c r="N339" s="10" t="s">
        <v>120</v>
      </c>
      <c r="O339" s="10" t="s">
        <v>122</v>
      </c>
      <c r="P339" s="18" t="s">
        <v>124</v>
      </c>
      <c r="Q339" s="18" t="s">
        <v>128</v>
      </c>
      <c r="R339" s="10" t="s">
        <v>133</v>
      </c>
      <c r="S339" s="10" t="s">
        <v>2871</v>
      </c>
      <c r="T339" s="10" t="s">
        <v>151</v>
      </c>
      <c r="U339" s="10">
        <v>3043583796</v>
      </c>
      <c r="V339" s="10">
        <v>3043583796</v>
      </c>
      <c r="W339" s="10" t="s">
        <v>2872</v>
      </c>
      <c r="X339" s="10" t="s">
        <v>136</v>
      </c>
      <c r="Y339" s="10" t="s">
        <v>253</v>
      </c>
      <c r="Z339" s="10" t="s">
        <v>255</v>
      </c>
      <c r="AA339" s="123"/>
      <c r="AB339" s="123"/>
      <c r="AC339" s="26">
        <v>45303</v>
      </c>
      <c r="AD339" s="123"/>
    </row>
    <row r="340" spans="1:30" ht="15.75" customHeight="1" x14ac:dyDescent="0.25">
      <c r="A340" s="10" t="s">
        <v>160</v>
      </c>
      <c r="B340" s="10" t="s">
        <v>86</v>
      </c>
      <c r="C340" s="10" t="s">
        <v>91</v>
      </c>
      <c r="D340" s="10" t="s">
        <v>92</v>
      </c>
      <c r="E340" s="12">
        <v>1143413350</v>
      </c>
      <c r="F340" s="15" t="s">
        <v>2873</v>
      </c>
      <c r="G340" s="10" t="s">
        <v>2874</v>
      </c>
      <c r="H340" s="5"/>
      <c r="I340" s="53">
        <v>45580</v>
      </c>
      <c r="J340" s="10" t="str">
        <f t="shared" ca="1" si="37"/>
        <v xml:space="preserve">1  Años, 10  Mes, 11 Dias </v>
      </c>
      <c r="K340" s="10" t="s">
        <v>113</v>
      </c>
      <c r="L340" s="5"/>
      <c r="M340" s="5"/>
      <c r="N340" s="10" t="s">
        <v>320</v>
      </c>
      <c r="O340" s="10" t="s">
        <v>236</v>
      </c>
      <c r="P340" s="18" t="s">
        <v>124</v>
      </c>
      <c r="Q340" s="18" t="s">
        <v>128</v>
      </c>
      <c r="R340" s="12" t="s">
        <v>133</v>
      </c>
      <c r="S340" s="5"/>
      <c r="T340" s="5"/>
      <c r="U340" s="12">
        <v>3195777512</v>
      </c>
      <c r="V340" s="5"/>
      <c r="W340" s="12" t="s">
        <v>2875</v>
      </c>
      <c r="X340" s="12" t="s">
        <v>2536</v>
      </c>
      <c r="Y340" s="12" t="s">
        <v>155</v>
      </c>
      <c r="Z340" s="12" t="s">
        <v>288</v>
      </c>
      <c r="AA340" s="33"/>
      <c r="AB340" s="33"/>
      <c r="AC340" s="35">
        <v>45656</v>
      </c>
      <c r="AD340" s="5"/>
    </row>
    <row r="341" spans="1:30" ht="15.75" customHeight="1" x14ac:dyDescent="0.25">
      <c r="A341" s="10" t="s">
        <v>77</v>
      </c>
      <c r="B341" s="10" t="s">
        <v>86</v>
      </c>
      <c r="C341" s="10" t="s">
        <v>91</v>
      </c>
      <c r="D341" s="10" t="s">
        <v>92</v>
      </c>
      <c r="E341" s="10">
        <v>72230540</v>
      </c>
      <c r="F341" s="23" t="s">
        <v>2876</v>
      </c>
      <c r="G341" s="10" t="s">
        <v>741</v>
      </c>
      <c r="H341" s="10" t="s">
        <v>2877</v>
      </c>
      <c r="I341" s="13">
        <v>45458</v>
      </c>
      <c r="J341" s="10" t="str">
        <f t="shared" ca="1" si="37"/>
        <v xml:space="preserve">2  Años, 2  Mes, 11 Dias </v>
      </c>
      <c r="K341" s="10" t="s">
        <v>113</v>
      </c>
      <c r="L341" s="19"/>
      <c r="M341" s="19"/>
      <c r="N341" s="10" t="s">
        <v>120</v>
      </c>
      <c r="O341" s="10" t="s">
        <v>122</v>
      </c>
      <c r="P341" s="18" t="s">
        <v>142</v>
      </c>
      <c r="Q341" s="18" t="s">
        <v>128</v>
      </c>
      <c r="R341" s="10" t="s">
        <v>133</v>
      </c>
      <c r="S341" s="10" t="s">
        <v>2878</v>
      </c>
      <c r="T341" s="10" t="s">
        <v>151</v>
      </c>
      <c r="U341" s="10">
        <v>3225189321</v>
      </c>
      <c r="V341" s="19"/>
      <c r="W341" s="40" t="s">
        <v>2879</v>
      </c>
      <c r="X341" s="10" t="s">
        <v>136</v>
      </c>
      <c r="Y341" s="10" t="s">
        <v>605</v>
      </c>
      <c r="Z341" s="10" t="s">
        <v>2880</v>
      </c>
      <c r="AA341" s="24"/>
      <c r="AB341" s="24"/>
      <c r="AC341" s="13">
        <v>45710</v>
      </c>
      <c r="AD341" s="10" t="s">
        <v>1515</v>
      </c>
    </row>
    <row r="342" spans="1:30" ht="15.75" customHeight="1" x14ac:dyDescent="0.25">
      <c r="A342" s="10" t="s">
        <v>77</v>
      </c>
      <c r="B342" s="10" t="s">
        <v>86</v>
      </c>
      <c r="C342" s="10" t="s">
        <v>91</v>
      </c>
      <c r="D342" s="10" t="s">
        <v>92</v>
      </c>
      <c r="E342" s="10">
        <v>1193515742</v>
      </c>
      <c r="F342" s="23" t="s">
        <v>2881</v>
      </c>
      <c r="G342" s="10" t="s">
        <v>18</v>
      </c>
      <c r="H342" s="10" t="s">
        <v>2882</v>
      </c>
      <c r="I342" s="13">
        <v>45469</v>
      </c>
      <c r="J342" s="10" t="str">
        <f t="shared" ca="1" si="37"/>
        <v xml:space="preserve">2  Años, 2  Mes, 0 Dias </v>
      </c>
      <c r="K342" s="10" t="s">
        <v>113</v>
      </c>
      <c r="L342" s="19"/>
      <c r="M342" s="19"/>
      <c r="N342" s="10" t="s">
        <v>120</v>
      </c>
      <c r="O342" s="10" t="s">
        <v>122</v>
      </c>
      <c r="P342" s="18" t="s">
        <v>142</v>
      </c>
      <c r="Q342" s="18" t="s">
        <v>128</v>
      </c>
      <c r="R342" s="10" t="s">
        <v>133</v>
      </c>
      <c r="S342" s="10" t="s">
        <v>2883</v>
      </c>
      <c r="T342" s="10" t="s">
        <v>136</v>
      </c>
      <c r="U342" s="10">
        <v>3205045832</v>
      </c>
      <c r="V342" s="19"/>
      <c r="W342" s="40" t="s">
        <v>2884</v>
      </c>
      <c r="X342" s="10" t="s">
        <v>136</v>
      </c>
      <c r="Y342" s="10" t="s">
        <v>155</v>
      </c>
      <c r="Z342" s="10" t="s">
        <v>288</v>
      </c>
      <c r="AA342" s="24"/>
      <c r="AB342" s="24"/>
      <c r="AC342" s="13">
        <v>45678</v>
      </c>
      <c r="AD342" s="10" t="s">
        <v>1515</v>
      </c>
    </row>
    <row r="343" spans="1:30" ht="15.75" customHeight="1" x14ac:dyDescent="0.25">
      <c r="A343" s="10" t="s">
        <v>77</v>
      </c>
      <c r="B343" s="10" t="s">
        <v>90</v>
      </c>
      <c r="C343" s="10" t="s">
        <v>175</v>
      </c>
      <c r="D343" s="10" t="s">
        <v>92</v>
      </c>
      <c r="E343" s="12">
        <v>1042357332</v>
      </c>
      <c r="F343" s="15" t="s">
        <v>577</v>
      </c>
      <c r="G343" s="10" t="s">
        <v>11</v>
      </c>
      <c r="H343" s="10" t="s">
        <v>579</v>
      </c>
      <c r="I343" s="16">
        <v>45870</v>
      </c>
      <c r="J343" s="10" t="str">
        <f t="shared" ca="1" si="37"/>
        <v xml:space="preserve">1  Años, 0  Mes, 25 Dias </v>
      </c>
      <c r="K343" s="12" t="s">
        <v>113</v>
      </c>
      <c r="L343" s="20"/>
      <c r="M343" s="19" t="str">
        <f t="shared" ref="M343:M344" ca="1" si="50">IF(L343=0,"", DATEDIF(L343,TODAY(),"y"))</f>
        <v/>
      </c>
      <c r="N343" s="10" t="s">
        <v>120</v>
      </c>
      <c r="O343" s="10" t="s">
        <v>122</v>
      </c>
      <c r="P343" s="5"/>
      <c r="Q343" s="18" t="s">
        <v>128</v>
      </c>
      <c r="R343" s="10" t="s">
        <v>133</v>
      </c>
      <c r="S343" s="12" t="s">
        <v>586</v>
      </c>
      <c r="T343" s="12" t="s">
        <v>587</v>
      </c>
      <c r="U343" s="12">
        <v>3019393889</v>
      </c>
      <c r="V343" s="5"/>
      <c r="W343" s="5"/>
      <c r="X343" s="10" t="s">
        <v>136</v>
      </c>
      <c r="Y343" s="5"/>
      <c r="Z343" s="5"/>
      <c r="AA343" s="5"/>
      <c r="AB343" s="5"/>
      <c r="AC343" s="5"/>
      <c r="AD343" s="10" t="s">
        <v>209</v>
      </c>
    </row>
    <row r="344" spans="1:30" ht="15.75" customHeight="1" x14ac:dyDescent="0.25">
      <c r="A344" s="10" t="s">
        <v>160</v>
      </c>
      <c r="B344" s="10" t="s">
        <v>86</v>
      </c>
      <c r="C344" s="10" t="s">
        <v>91</v>
      </c>
      <c r="D344" s="10" t="s">
        <v>92</v>
      </c>
      <c r="E344" s="10">
        <v>1192818994</v>
      </c>
      <c r="F344" s="23" t="s">
        <v>2885</v>
      </c>
      <c r="G344" s="10" t="s">
        <v>2886</v>
      </c>
      <c r="H344" s="10" t="s">
        <v>2887</v>
      </c>
      <c r="I344" s="30">
        <v>45282</v>
      </c>
      <c r="J344" s="10" t="str">
        <f t="shared" ca="1" si="37"/>
        <v xml:space="preserve">2  Años, 8  Mes, 4 Dias </v>
      </c>
      <c r="K344" s="10" t="s">
        <v>113</v>
      </c>
      <c r="L344" s="19"/>
      <c r="M344" s="19" t="str">
        <f t="shared" ca="1" si="50"/>
        <v/>
      </c>
      <c r="N344" s="10" t="s">
        <v>120</v>
      </c>
      <c r="O344" s="10" t="s">
        <v>236</v>
      </c>
      <c r="P344" s="18" t="s">
        <v>142</v>
      </c>
      <c r="Q344" s="18" t="s">
        <v>648</v>
      </c>
      <c r="R344" s="10" t="s">
        <v>133</v>
      </c>
      <c r="S344" s="10" t="s">
        <v>2888</v>
      </c>
      <c r="T344" s="10" t="s">
        <v>136</v>
      </c>
      <c r="U344" s="10">
        <v>3002814474</v>
      </c>
      <c r="V344" s="10">
        <v>3002814474</v>
      </c>
      <c r="W344" s="10" t="s">
        <v>2889</v>
      </c>
      <c r="X344" s="10" t="s">
        <v>136</v>
      </c>
      <c r="Y344" s="10" t="s">
        <v>1299</v>
      </c>
      <c r="Z344" s="10" t="s">
        <v>170</v>
      </c>
      <c r="AA344" s="33"/>
      <c r="AB344" s="33"/>
      <c r="AC344" s="35">
        <v>45290</v>
      </c>
      <c r="AD344" s="24"/>
    </row>
    <row r="345" spans="1:30" ht="15.75" customHeight="1" x14ac:dyDescent="0.25">
      <c r="A345" s="10" t="s">
        <v>77</v>
      </c>
      <c r="B345" s="10" t="s">
        <v>90</v>
      </c>
      <c r="C345" s="10" t="s">
        <v>175</v>
      </c>
      <c r="D345" s="10" t="s">
        <v>92</v>
      </c>
      <c r="E345" s="10">
        <v>1143132119</v>
      </c>
      <c r="F345" s="23" t="s">
        <v>2012</v>
      </c>
      <c r="G345" s="10" t="s">
        <v>18</v>
      </c>
      <c r="H345" s="10" t="s">
        <v>2013</v>
      </c>
      <c r="I345" s="13">
        <v>45831</v>
      </c>
      <c r="J345" s="10" t="str">
        <f t="shared" ca="1" si="37"/>
        <v xml:space="preserve">1  Años, 2  Mes, 3 Dias </v>
      </c>
      <c r="K345" s="10" t="s">
        <v>113</v>
      </c>
      <c r="L345" s="36">
        <v>38412</v>
      </c>
      <c r="M345" s="10">
        <v>19</v>
      </c>
      <c r="N345" s="10" t="s">
        <v>120</v>
      </c>
      <c r="O345" s="10" t="s">
        <v>122</v>
      </c>
      <c r="P345" s="18" t="s">
        <v>124</v>
      </c>
      <c r="Q345" s="18" t="s">
        <v>128</v>
      </c>
      <c r="R345" s="10" t="s">
        <v>133</v>
      </c>
      <c r="S345" s="10" t="s">
        <v>2018</v>
      </c>
      <c r="T345" s="10" t="s">
        <v>136</v>
      </c>
      <c r="U345" s="10">
        <v>3244273863</v>
      </c>
      <c r="V345" s="19"/>
      <c r="W345" s="10" t="s">
        <v>2019</v>
      </c>
      <c r="X345" s="10" t="s">
        <v>136</v>
      </c>
      <c r="Y345" s="10" t="s">
        <v>155</v>
      </c>
      <c r="Z345" s="10" t="s">
        <v>170</v>
      </c>
      <c r="AA345" s="19"/>
      <c r="AB345" s="19"/>
      <c r="AC345" s="19"/>
      <c r="AD345" s="10" t="s">
        <v>209</v>
      </c>
    </row>
    <row r="346" spans="1:30" ht="15.75" customHeight="1" x14ac:dyDescent="0.25">
      <c r="A346" s="10" t="s">
        <v>77</v>
      </c>
      <c r="B346" s="10" t="s">
        <v>90</v>
      </c>
      <c r="C346" s="10" t="s">
        <v>175</v>
      </c>
      <c r="D346" s="10" t="s">
        <v>92</v>
      </c>
      <c r="E346" s="10">
        <v>1064310445</v>
      </c>
      <c r="F346" s="23" t="s">
        <v>358</v>
      </c>
      <c r="G346" s="10" t="s">
        <v>18</v>
      </c>
      <c r="H346" s="10" t="s">
        <v>1187</v>
      </c>
      <c r="I346" s="13">
        <v>45831</v>
      </c>
      <c r="J346" s="10" t="str">
        <f t="shared" ca="1" si="37"/>
        <v xml:space="preserve">1  Años, 2  Mes, 3 Dias </v>
      </c>
      <c r="K346" s="10" t="s">
        <v>113</v>
      </c>
      <c r="L346" s="24"/>
      <c r="M346" s="19" t="str">
        <f t="shared" ref="M346:M352" ca="1" si="51">IF(L346=0,"", DATEDIF(L346,TODAY(),"y"))</f>
        <v/>
      </c>
      <c r="N346" s="10" t="s">
        <v>120</v>
      </c>
      <c r="O346" s="10" t="s">
        <v>122</v>
      </c>
      <c r="P346" s="18" t="s">
        <v>142</v>
      </c>
      <c r="Q346" s="18" t="s">
        <v>128</v>
      </c>
      <c r="R346" s="10" t="s">
        <v>133</v>
      </c>
      <c r="S346" s="10" t="s">
        <v>1188</v>
      </c>
      <c r="T346" s="10" t="s">
        <v>136</v>
      </c>
      <c r="U346" s="10">
        <v>3044251165</v>
      </c>
      <c r="V346" s="19"/>
      <c r="W346" s="10" t="s">
        <v>1189</v>
      </c>
      <c r="X346" s="10" t="s">
        <v>136</v>
      </c>
      <c r="Y346" s="10" t="s">
        <v>206</v>
      </c>
      <c r="Z346" s="10" t="s">
        <v>216</v>
      </c>
      <c r="AA346" s="19"/>
      <c r="AB346" s="19"/>
      <c r="AC346" s="24"/>
      <c r="AD346" s="10" t="s">
        <v>209</v>
      </c>
    </row>
    <row r="347" spans="1:30" ht="15.75" customHeight="1" x14ac:dyDescent="0.25">
      <c r="A347" s="10" t="s">
        <v>77</v>
      </c>
      <c r="B347" s="10" t="s">
        <v>90</v>
      </c>
      <c r="C347" s="10" t="s">
        <v>175</v>
      </c>
      <c r="D347" s="10" t="s">
        <v>92</v>
      </c>
      <c r="E347" s="10">
        <v>1143139660</v>
      </c>
      <c r="F347" s="23" t="s">
        <v>394</v>
      </c>
      <c r="G347" s="10" t="s">
        <v>18</v>
      </c>
      <c r="H347" s="10" t="s">
        <v>1195</v>
      </c>
      <c r="I347" s="13">
        <v>45831</v>
      </c>
      <c r="J347" s="10" t="str">
        <f t="shared" ca="1" si="37"/>
        <v xml:space="preserve">1  Años, 2  Mes, 3 Dias </v>
      </c>
      <c r="K347" s="10" t="s">
        <v>113</v>
      </c>
      <c r="L347" s="19"/>
      <c r="M347" s="19" t="str">
        <f t="shared" ca="1" si="51"/>
        <v/>
      </c>
      <c r="N347" s="10" t="s">
        <v>120</v>
      </c>
      <c r="O347" s="10" t="s">
        <v>122</v>
      </c>
      <c r="P347" s="18" t="s">
        <v>210</v>
      </c>
      <c r="Q347" s="18" t="s">
        <v>128</v>
      </c>
      <c r="R347" s="10" t="s">
        <v>133</v>
      </c>
      <c r="S347" s="10" t="s">
        <v>1199</v>
      </c>
      <c r="T347" s="10" t="s">
        <v>151</v>
      </c>
      <c r="U347" s="10">
        <v>3004536129</v>
      </c>
      <c r="V347" s="10">
        <v>3004536129</v>
      </c>
      <c r="W347" s="10" t="s">
        <v>1202</v>
      </c>
      <c r="X347" s="10" t="s">
        <v>136</v>
      </c>
      <c r="Y347" s="10" t="s">
        <v>206</v>
      </c>
      <c r="Z347" s="10" t="s">
        <v>170</v>
      </c>
      <c r="AA347" s="24"/>
      <c r="AB347" s="24"/>
      <c r="AC347" s="24"/>
      <c r="AD347" s="13" t="s">
        <v>209</v>
      </c>
    </row>
    <row r="348" spans="1:30" ht="15.75" customHeight="1" x14ac:dyDescent="0.25">
      <c r="A348" s="10" t="s">
        <v>77</v>
      </c>
      <c r="B348" s="10" t="s">
        <v>86</v>
      </c>
      <c r="C348" s="10" t="s">
        <v>91</v>
      </c>
      <c r="D348" s="10" t="s">
        <v>92</v>
      </c>
      <c r="E348" s="10">
        <v>8508716</v>
      </c>
      <c r="F348" s="23" t="s">
        <v>352</v>
      </c>
      <c r="G348" s="10" t="s">
        <v>26</v>
      </c>
      <c r="H348" s="10" t="s">
        <v>2890</v>
      </c>
      <c r="I348" s="13">
        <v>45149</v>
      </c>
      <c r="J348" s="10" t="str">
        <f t="shared" ca="1" si="37"/>
        <v xml:space="preserve">3  Años, 0  Mes, 15 Dias </v>
      </c>
      <c r="K348" s="10" t="s">
        <v>113</v>
      </c>
      <c r="L348" s="24"/>
      <c r="M348" s="19" t="str">
        <f t="shared" ca="1" si="51"/>
        <v/>
      </c>
      <c r="N348" s="10" t="s">
        <v>120</v>
      </c>
      <c r="O348" s="10" t="s">
        <v>122</v>
      </c>
      <c r="P348" s="18" t="s">
        <v>142</v>
      </c>
      <c r="Q348" s="18" t="s">
        <v>128</v>
      </c>
      <c r="R348" s="10" t="s">
        <v>133</v>
      </c>
      <c r="S348" s="10" t="s">
        <v>2891</v>
      </c>
      <c r="T348" s="10" t="s">
        <v>136</v>
      </c>
      <c r="U348" s="10">
        <v>3135226802</v>
      </c>
      <c r="V348" s="19"/>
      <c r="W348" s="10" t="s">
        <v>845</v>
      </c>
      <c r="X348" s="10" t="s">
        <v>136</v>
      </c>
      <c r="Y348" s="10" t="s">
        <v>206</v>
      </c>
      <c r="Z348" s="10" t="s">
        <v>170</v>
      </c>
      <c r="AA348" s="24"/>
      <c r="AB348" s="24"/>
      <c r="AC348" s="13">
        <v>45362</v>
      </c>
      <c r="AD348" s="24"/>
    </row>
    <row r="349" spans="1:30" ht="15.75" customHeight="1" x14ac:dyDescent="0.25">
      <c r="A349" s="10" t="s">
        <v>77</v>
      </c>
      <c r="B349" s="10" t="s">
        <v>86</v>
      </c>
      <c r="C349" s="10" t="s">
        <v>91</v>
      </c>
      <c r="D349" s="10" t="s">
        <v>92</v>
      </c>
      <c r="E349" s="10">
        <v>72182247</v>
      </c>
      <c r="F349" s="23" t="s">
        <v>351</v>
      </c>
      <c r="G349" s="10" t="s">
        <v>32</v>
      </c>
      <c r="H349" s="10" t="s">
        <v>2892</v>
      </c>
      <c r="I349" s="13">
        <v>44902</v>
      </c>
      <c r="J349" s="10" t="str">
        <f t="shared" ca="1" si="37"/>
        <v xml:space="preserve">3  Años, 8  Mes, 19 Dias </v>
      </c>
      <c r="K349" s="10" t="s">
        <v>113</v>
      </c>
      <c r="L349" s="19"/>
      <c r="M349" s="19" t="str">
        <f t="shared" ca="1" si="51"/>
        <v/>
      </c>
      <c r="N349" s="10" t="s">
        <v>120</v>
      </c>
      <c r="O349" s="10" t="s">
        <v>122</v>
      </c>
      <c r="P349" s="18" t="s">
        <v>210</v>
      </c>
      <c r="Q349" s="18" t="s">
        <v>648</v>
      </c>
      <c r="R349" s="10" t="s">
        <v>133</v>
      </c>
      <c r="S349" s="10" t="s">
        <v>2893</v>
      </c>
      <c r="T349" s="10" t="s">
        <v>136</v>
      </c>
      <c r="U349" s="10">
        <v>3022331388</v>
      </c>
      <c r="V349" s="19"/>
      <c r="W349" s="10" t="s">
        <v>2894</v>
      </c>
      <c r="X349" s="10" t="s">
        <v>136</v>
      </c>
      <c r="Y349" s="10" t="s">
        <v>203</v>
      </c>
      <c r="Z349" s="10" t="s">
        <v>216</v>
      </c>
      <c r="AA349" s="19"/>
      <c r="AB349" s="19"/>
      <c r="AC349" s="19"/>
      <c r="AD349" s="10" t="s">
        <v>209</v>
      </c>
    </row>
    <row r="350" spans="1:30" ht="15.75" customHeight="1" x14ac:dyDescent="0.25">
      <c r="A350" s="10" t="s">
        <v>77</v>
      </c>
      <c r="B350" s="10" t="s">
        <v>86</v>
      </c>
      <c r="C350" s="10" t="s">
        <v>91</v>
      </c>
      <c r="D350" s="10" t="s">
        <v>92</v>
      </c>
      <c r="E350" s="10">
        <v>8714038</v>
      </c>
      <c r="F350" s="23" t="s">
        <v>349</v>
      </c>
      <c r="G350" s="10" t="s">
        <v>32</v>
      </c>
      <c r="H350" s="10" t="s">
        <v>2895</v>
      </c>
      <c r="I350" s="13">
        <v>45842</v>
      </c>
      <c r="J350" s="10" t="str">
        <f t="shared" ca="1" si="37"/>
        <v xml:space="preserve">1  Años, 1  Mes, 22 Dias </v>
      </c>
      <c r="K350" s="10" t="s">
        <v>113</v>
      </c>
      <c r="L350" s="19"/>
      <c r="M350" s="19" t="str">
        <f t="shared" ca="1" si="51"/>
        <v/>
      </c>
      <c r="N350" s="10" t="s">
        <v>120</v>
      </c>
      <c r="O350" s="10" t="s">
        <v>122</v>
      </c>
      <c r="P350" s="18" t="s">
        <v>124</v>
      </c>
      <c r="Q350" s="18" t="s">
        <v>128</v>
      </c>
      <c r="R350" s="10" t="s">
        <v>133</v>
      </c>
      <c r="S350" s="10" t="s">
        <v>2896</v>
      </c>
      <c r="T350" s="10" t="s">
        <v>136</v>
      </c>
      <c r="U350" s="10">
        <v>3245570578</v>
      </c>
      <c r="V350" s="19"/>
      <c r="W350" s="124" t="s">
        <v>2897</v>
      </c>
      <c r="X350" s="10" t="s">
        <v>136</v>
      </c>
      <c r="Y350" s="10" t="s">
        <v>206</v>
      </c>
      <c r="Z350" s="10" t="s">
        <v>373</v>
      </c>
      <c r="AA350" s="30">
        <v>8600004195</v>
      </c>
      <c r="AB350" s="30" t="s">
        <v>393</v>
      </c>
      <c r="AC350" s="13">
        <v>45830</v>
      </c>
      <c r="AD350" s="10" t="s">
        <v>209</v>
      </c>
    </row>
    <row r="351" spans="1:30" ht="15.75" customHeight="1" x14ac:dyDescent="0.25">
      <c r="A351" s="10" t="s">
        <v>160</v>
      </c>
      <c r="B351" s="10" t="s">
        <v>86</v>
      </c>
      <c r="C351" s="10" t="s">
        <v>91</v>
      </c>
      <c r="D351" s="10" t="s">
        <v>92</v>
      </c>
      <c r="E351" s="10">
        <v>1085101945</v>
      </c>
      <c r="F351" s="23" t="s">
        <v>2898</v>
      </c>
      <c r="G351" s="10" t="s">
        <v>583</v>
      </c>
      <c r="H351" s="10" t="s">
        <v>2899</v>
      </c>
      <c r="I351" s="13">
        <v>44843</v>
      </c>
      <c r="J351" s="10" t="str">
        <f t="shared" ca="1" si="37"/>
        <v xml:space="preserve">3  Años, 10  Mes, 17 Dias </v>
      </c>
      <c r="K351" s="10" t="s">
        <v>113</v>
      </c>
      <c r="L351" s="24"/>
      <c r="M351" s="19" t="str">
        <f t="shared" ca="1" si="51"/>
        <v/>
      </c>
      <c r="N351" s="10" t="s">
        <v>120</v>
      </c>
      <c r="O351" s="10" t="s">
        <v>122</v>
      </c>
      <c r="P351" s="18" t="s">
        <v>142</v>
      </c>
      <c r="Q351" s="18" t="s">
        <v>128</v>
      </c>
      <c r="R351" s="10" t="s">
        <v>133</v>
      </c>
      <c r="S351" s="10" t="s">
        <v>2900</v>
      </c>
      <c r="T351" s="10" t="s">
        <v>136</v>
      </c>
      <c r="U351" s="10">
        <v>3225903862</v>
      </c>
      <c r="V351" s="19"/>
      <c r="W351" s="10" t="s">
        <v>2901</v>
      </c>
      <c r="X351" s="10" t="s">
        <v>136</v>
      </c>
      <c r="Y351" s="10" t="s">
        <v>169</v>
      </c>
      <c r="Z351" s="10" t="s">
        <v>170</v>
      </c>
      <c r="AA351" s="24"/>
      <c r="AB351" s="24"/>
      <c r="AC351" s="13">
        <v>45440</v>
      </c>
      <c r="AD351" s="24"/>
    </row>
    <row r="352" spans="1:30" ht="15.75" customHeight="1" x14ac:dyDescent="0.25">
      <c r="A352" s="10" t="s">
        <v>77</v>
      </c>
      <c r="B352" s="10" t="s">
        <v>90</v>
      </c>
      <c r="C352" s="10" t="s">
        <v>175</v>
      </c>
      <c r="D352" s="10" t="s">
        <v>92</v>
      </c>
      <c r="E352" s="10">
        <v>1143145371</v>
      </c>
      <c r="F352" s="23" t="s">
        <v>355</v>
      </c>
      <c r="G352" s="10" t="s">
        <v>18</v>
      </c>
      <c r="H352" s="10" t="s">
        <v>1207</v>
      </c>
      <c r="I352" s="13">
        <v>45870</v>
      </c>
      <c r="J352" s="10" t="str">
        <f t="shared" ca="1" si="37"/>
        <v xml:space="preserve">1  Años, 0  Mes, 25 Dias </v>
      </c>
      <c r="K352" s="10" t="s">
        <v>113</v>
      </c>
      <c r="L352" s="13">
        <v>34461</v>
      </c>
      <c r="M352" s="10">
        <f t="shared" ca="1" si="51"/>
        <v>32</v>
      </c>
      <c r="N352" s="10" t="s">
        <v>120</v>
      </c>
      <c r="O352" s="10" t="s">
        <v>277</v>
      </c>
      <c r="P352" s="18" t="s">
        <v>124</v>
      </c>
      <c r="Q352" s="18" t="s">
        <v>128</v>
      </c>
      <c r="R352" s="10" t="s">
        <v>133</v>
      </c>
      <c r="S352" s="10" t="s">
        <v>1211</v>
      </c>
      <c r="T352" s="10" t="s">
        <v>151</v>
      </c>
      <c r="U352" s="10">
        <v>3006680121</v>
      </c>
      <c r="V352" s="19"/>
      <c r="W352" s="10" t="s">
        <v>1212</v>
      </c>
      <c r="X352" s="10" t="s">
        <v>136</v>
      </c>
      <c r="Y352" s="10" t="s">
        <v>253</v>
      </c>
      <c r="Z352" s="10" t="s">
        <v>170</v>
      </c>
      <c r="AA352" s="24"/>
      <c r="AB352" s="24"/>
      <c r="AC352" s="24"/>
      <c r="AD352" s="10" t="s">
        <v>209</v>
      </c>
    </row>
    <row r="353" spans="1:30" ht="15.75" customHeight="1" x14ac:dyDescent="0.25">
      <c r="A353" s="10" t="s">
        <v>160</v>
      </c>
      <c r="B353" s="10" t="s">
        <v>86</v>
      </c>
      <c r="C353" s="10" t="s">
        <v>91</v>
      </c>
      <c r="D353" s="10" t="s">
        <v>92</v>
      </c>
      <c r="E353" s="10">
        <v>1042428835</v>
      </c>
      <c r="F353" s="23" t="s">
        <v>2902</v>
      </c>
      <c r="G353" s="10" t="s">
        <v>2903</v>
      </c>
      <c r="H353" s="10" t="s">
        <v>2904</v>
      </c>
      <c r="I353" s="13">
        <v>45260</v>
      </c>
      <c r="J353" s="10" t="str">
        <f t="shared" ca="1" si="37"/>
        <v xml:space="preserve">2  Años, 8  Mes, 27 Dias </v>
      </c>
      <c r="K353" s="10" t="s">
        <v>113</v>
      </c>
      <c r="L353" s="63"/>
      <c r="M353" s="19"/>
      <c r="N353" s="10" t="s">
        <v>320</v>
      </c>
      <c r="O353" s="10" t="s">
        <v>236</v>
      </c>
      <c r="P353" s="18" t="s">
        <v>210</v>
      </c>
      <c r="Q353" s="18" t="s">
        <v>128</v>
      </c>
      <c r="R353" s="10" t="s">
        <v>133</v>
      </c>
      <c r="S353" s="10" t="s">
        <v>2905</v>
      </c>
      <c r="T353" s="10" t="s">
        <v>151</v>
      </c>
      <c r="U353" s="10">
        <v>3502409774</v>
      </c>
      <c r="V353" s="19"/>
      <c r="W353" s="10" t="s">
        <v>2906</v>
      </c>
      <c r="X353" s="10" t="s">
        <v>136</v>
      </c>
      <c r="Y353" s="10" t="s">
        <v>539</v>
      </c>
      <c r="Z353" s="10" t="s">
        <v>1266</v>
      </c>
      <c r="AA353" s="19"/>
      <c r="AB353" s="19"/>
      <c r="AC353" s="19"/>
      <c r="AD353" s="10" t="s">
        <v>209</v>
      </c>
    </row>
    <row r="354" spans="1:30" ht="15.75" customHeight="1" x14ac:dyDescent="0.25">
      <c r="A354" s="10" t="s">
        <v>160</v>
      </c>
      <c r="B354" s="10" t="s">
        <v>86</v>
      </c>
      <c r="C354" s="10" t="s">
        <v>91</v>
      </c>
      <c r="D354" s="10" t="s">
        <v>92</v>
      </c>
      <c r="E354" s="10">
        <v>55307960</v>
      </c>
      <c r="F354" s="23" t="s">
        <v>2907</v>
      </c>
      <c r="G354" s="10" t="s">
        <v>2110</v>
      </c>
      <c r="H354" s="10" t="s">
        <v>2908</v>
      </c>
      <c r="I354" s="13">
        <v>45143</v>
      </c>
      <c r="J354" s="10" t="str">
        <f t="shared" ca="1" si="37"/>
        <v xml:space="preserve">3  Años, 0  Mes, 21 Dias </v>
      </c>
      <c r="K354" s="10" t="s">
        <v>113</v>
      </c>
      <c r="L354" s="19"/>
      <c r="M354" s="19" t="str">
        <f ca="1">IF(L354=0,"", DATEDIF(L354,TODAY(),"y"))</f>
        <v/>
      </c>
      <c r="N354" s="10" t="s">
        <v>320</v>
      </c>
      <c r="O354" s="10" t="s">
        <v>567</v>
      </c>
      <c r="P354" s="18" t="s">
        <v>210</v>
      </c>
      <c r="Q354" s="18" t="s">
        <v>128</v>
      </c>
      <c r="R354" s="10" t="s">
        <v>133</v>
      </c>
      <c r="S354" s="10" t="s">
        <v>2909</v>
      </c>
      <c r="T354" s="10" t="s">
        <v>151</v>
      </c>
      <c r="U354" s="10">
        <v>3054204430</v>
      </c>
      <c r="V354" s="10">
        <v>3054204430</v>
      </c>
      <c r="W354" s="10" t="s">
        <v>2910</v>
      </c>
      <c r="X354" s="10" t="s">
        <v>136</v>
      </c>
      <c r="Y354" s="10" t="s">
        <v>253</v>
      </c>
      <c r="Z354" s="10" t="s">
        <v>216</v>
      </c>
      <c r="AA354" s="33"/>
      <c r="AB354" s="33"/>
      <c r="AC354" s="35">
        <v>45290</v>
      </c>
      <c r="AD354" s="19"/>
    </row>
    <row r="355" spans="1:30" ht="15.75" customHeight="1" x14ac:dyDescent="0.25">
      <c r="A355" s="10" t="s">
        <v>77</v>
      </c>
      <c r="B355" s="10" t="s">
        <v>86</v>
      </c>
      <c r="C355" s="10" t="s">
        <v>91</v>
      </c>
      <c r="D355" s="10" t="s">
        <v>92</v>
      </c>
      <c r="E355" s="10">
        <v>8642218</v>
      </c>
      <c r="F355" s="23" t="s">
        <v>2911</v>
      </c>
      <c r="G355" s="10" t="s">
        <v>32</v>
      </c>
      <c r="H355" s="10" t="s">
        <v>2912</v>
      </c>
      <c r="I355" s="13">
        <v>45831</v>
      </c>
      <c r="J355" s="10" t="str">
        <f t="shared" ca="1" si="37"/>
        <v xml:space="preserve">1  Años, 2  Mes, 3 Dias </v>
      </c>
      <c r="K355" s="10" t="s">
        <v>113</v>
      </c>
      <c r="L355" s="36">
        <v>38412</v>
      </c>
      <c r="M355" s="10">
        <v>19</v>
      </c>
      <c r="N355" s="10" t="s">
        <v>120</v>
      </c>
      <c r="O355" s="10" t="s">
        <v>122</v>
      </c>
      <c r="P355" s="18" t="s">
        <v>142</v>
      </c>
      <c r="Q355" s="18" t="s">
        <v>128</v>
      </c>
      <c r="R355" s="10" t="s">
        <v>133</v>
      </c>
      <c r="S355" s="10" t="s">
        <v>2913</v>
      </c>
      <c r="T355" s="10" t="s">
        <v>1122</v>
      </c>
      <c r="U355" s="10">
        <v>3126056039</v>
      </c>
      <c r="V355" s="19"/>
      <c r="W355" s="59" t="s">
        <v>2914</v>
      </c>
      <c r="X355" s="10" t="s">
        <v>136</v>
      </c>
      <c r="Y355" s="37" t="s">
        <v>155</v>
      </c>
      <c r="Z355" s="10" t="s">
        <v>170</v>
      </c>
      <c r="AA355" s="24"/>
      <c r="AB355" s="24"/>
      <c r="AC355" s="24"/>
      <c r="AD355" s="10" t="s">
        <v>209</v>
      </c>
    </row>
    <row r="356" spans="1:30" ht="15.75" customHeight="1" x14ac:dyDescent="0.25">
      <c r="A356" s="10" t="s">
        <v>77</v>
      </c>
      <c r="B356" s="10" t="s">
        <v>86</v>
      </c>
      <c r="C356" s="10" t="s">
        <v>91</v>
      </c>
      <c r="D356" s="10" t="s">
        <v>92</v>
      </c>
      <c r="E356" s="37">
        <v>1045755489</v>
      </c>
      <c r="F356" s="38" t="s">
        <v>2915</v>
      </c>
      <c r="G356" s="10" t="s">
        <v>11</v>
      </c>
      <c r="H356" s="10" t="s">
        <v>2916</v>
      </c>
      <c r="I356" s="13">
        <v>45419</v>
      </c>
      <c r="J356" s="10" t="str">
        <f t="shared" ca="1" si="37"/>
        <v xml:space="preserve">2  Años, 3  Mes, 19 Dias </v>
      </c>
      <c r="K356" s="10" t="s">
        <v>113</v>
      </c>
      <c r="L356" s="36">
        <v>36109</v>
      </c>
      <c r="M356" s="10">
        <f ca="1">IF(L356=0,"", DATEDIF(L356,TODAY(),"y"))</f>
        <v>27</v>
      </c>
      <c r="N356" s="10" t="s">
        <v>120</v>
      </c>
      <c r="O356" s="10" t="s">
        <v>122</v>
      </c>
      <c r="P356" s="18" t="s">
        <v>142</v>
      </c>
      <c r="Q356" s="18" t="s">
        <v>128</v>
      </c>
      <c r="R356" s="10" t="s">
        <v>133</v>
      </c>
      <c r="S356" s="37" t="s">
        <v>2917</v>
      </c>
      <c r="T356" s="10" t="s">
        <v>1122</v>
      </c>
      <c r="U356" s="10">
        <v>3018249532</v>
      </c>
      <c r="V356" s="19"/>
      <c r="W356" s="109" t="s">
        <v>2918</v>
      </c>
      <c r="X356" s="10" t="s">
        <v>136</v>
      </c>
      <c r="Y356" s="37" t="s">
        <v>206</v>
      </c>
      <c r="Z356" s="10" t="s">
        <v>170</v>
      </c>
      <c r="AA356" s="33"/>
      <c r="AB356" s="33"/>
      <c r="AC356" s="35">
        <v>45656</v>
      </c>
      <c r="AD356" s="24"/>
    </row>
    <row r="357" spans="1:30" ht="15.75" customHeight="1" x14ac:dyDescent="0.25">
      <c r="A357" s="10" t="s">
        <v>77</v>
      </c>
      <c r="B357" s="10" t="s">
        <v>90</v>
      </c>
      <c r="C357" s="10" t="s">
        <v>175</v>
      </c>
      <c r="D357" s="10" t="s">
        <v>92</v>
      </c>
      <c r="E357" s="12">
        <v>8508716</v>
      </c>
      <c r="F357" s="23" t="s">
        <v>993</v>
      </c>
      <c r="G357" s="10" t="s">
        <v>26</v>
      </c>
      <c r="H357" s="10" t="s">
        <v>994</v>
      </c>
      <c r="I357" s="13">
        <v>45831</v>
      </c>
      <c r="J357" s="10" t="str">
        <f t="shared" ca="1" si="37"/>
        <v xml:space="preserve">1  Años, 2  Mes, 3 Dias </v>
      </c>
      <c r="K357" s="12" t="s">
        <v>113</v>
      </c>
      <c r="L357" s="16">
        <v>29131</v>
      </c>
      <c r="M357" s="12">
        <v>45</v>
      </c>
      <c r="N357" s="10" t="s">
        <v>120</v>
      </c>
      <c r="O357" s="10" t="s">
        <v>277</v>
      </c>
      <c r="P357" s="18" t="s">
        <v>124</v>
      </c>
      <c r="Q357" s="18" t="s">
        <v>128</v>
      </c>
      <c r="R357" s="12" t="s">
        <v>133</v>
      </c>
      <c r="S357" s="12" t="s">
        <v>996</v>
      </c>
      <c r="T357" s="12" t="s">
        <v>136</v>
      </c>
      <c r="U357" s="12">
        <v>3135226802</v>
      </c>
      <c r="V357" s="5"/>
      <c r="W357" s="12" t="s">
        <v>997</v>
      </c>
      <c r="X357" s="12" t="s">
        <v>136</v>
      </c>
      <c r="Y357" s="12" t="s">
        <v>539</v>
      </c>
      <c r="Z357" s="12" t="s">
        <v>170</v>
      </c>
      <c r="AA357" s="20"/>
      <c r="AB357" s="20"/>
      <c r="AC357" s="20"/>
      <c r="AD357" s="10" t="s">
        <v>209</v>
      </c>
    </row>
    <row r="358" spans="1:30" ht="15.75" customHeight="1" x14ac:dyDescent="0.25">
      <c r="A358" s="10" t="s">
        <v>160</v>
      </c>
      <c r="B358" s="10" t="s">
        <v>90</v>
      </c>
      <c r="C358" s="10" t="s">
        <v>91</v>
      </c>
      <c r="D358" s="10" t="s">
        <v>92</v>
      </c>
      <c r="E358" s="12">
        <v>1103215471</v>
      </c>
      <c r="F358" s="23" t="s">
        <v>1283</v>
      </c>
      <c r="G358" s="10" t="s">
        <v>1284</v>
      </c>
      <c r="H358" s="95" t="s">
        <v>1285</v>
      </c>
      <c r="I358" s="13">
        <v>45831</v>
      </c>
      <c r="J358" s="10" t="str">
        <f t="shared" ca="1" si="37"/>
        <v xml:space="preserve">1  Años, 2  Mes, 3 Dias </v>
      </c>
      <c r="K358" s="12" t="s">
        <v>113</v>
      </c>
      <c r="L358" s="16">
        <v>36236</v>
      </c>
      <c r="M358" s="10">
        <f t="shared" ref="M358:M362" ca="1" si="52">IF(L358=0,"", DATEDIF(L358,TODAY(),"y"))</f>
        <v>27</v>
      </c>
      <c r="N358" s="10" t="s">
        <v>120</v>
      </c>
      <c r="O358" s="10" t="s">
        <v>236</v>
      </c>
      <c r="P358" s="18" t="s">
        <v>124</v>
      </c>
      <c r="Q358" s="18" t="s">
        <v>128</v>
      </c>
      <c r="R358" s="10" t="s">
        <v>133</v>
      </c>
      <c r="S358" s="12" t="s">
        <v>1295</v>
      </c>
      <c r="T358" s="12" t="s">
        <v>1296</v>
      </c>
      <c r="U358" s="12">
        <v>3004335605</v>
      </c>
      <c r="V358" s="5"/>
      <c r="W358" s="12" t="s">
        <v>1298</v>
      </c>
      <c r="X358" s="12" t="s">
        <v>136</v>
      </c>
      <c r="Y358" s="10" t="s">
        <v>1299</v>
      </c>
      <c r="Z358" s="12" t="s">
        <v>72</v>
      </c>
      <c r="AA358" s="20"/>
      <c r="AB358" s="20"/>
      <c r="AC358" s="20"/>
      <c r="AD358" s="10" t="s">
        <v>209</v>
      </c>
    </row>
    <row r="359" spans="1:30" ht="15.75" customHeight="1" x14ac:dyDescent="0.25">
      <c r="A359" s="10" t="s">
        <v>77</v>
      </c>
      <c r="B359" s="10" t="s">
        <v>86</v>
      </c>
      <c r="C359" s="10" t="s">
        <v>91</v>
      </c>
      <c r="D359" s="10" t="s">
        <v>92</v>
      </c>
      <c r="E359" s="10">
        <v>72053460</v>
      </c>
      <c r="F359" s="23" t="s">
        <v>345</v>
      </c>
      <c r="G359" s="10" t="s">
        <v>11</v>
      </c>
      <c r="H359" s="10" t="s">
        <v>2919</v>
      </c>
      <c r="I359" s="13">
        <v>45070</v>
      </c>
      <c r="J359" s="10" t="str">
        <f t="shared" ca="1" si="37"/>
        <v xml:space="preserve">3  Años, 3  Mes, 2 Dias </v>
      </c>
      <c r="K359" s="10" t="s">
        <v>113</v>
      </c>
      <c r="L359" s="19"/>
      <c r="M359" s="19" t="str">
        <f t="shared" ca="1" si="52"/>
        <v/>
      </c>
      <c r="N359" s="10" t="s">
        <v>120</v>
      </c>
      <c r="O359" s="10" t="s">
        <v>122</v>
      </c>
      <c r="P359" s="18" t="s">
        <v>142</v>
      </c>
      <c r="Q359" s="18" t="s">
        <v>128</v>
      </c>
      <c r="R359" s="10" t="s">
        <v>133</v>
      </c>
      <c r="S359" s="10" t="s">
        <v>2920</v>
      </c>
      <c r="T359" s="10" t="s">
        <v>136</v>
      </c>
      <c r="U359" s="10">
        <v>3042158529</v>
      </c>
      <c r="V359" s="19"/>
      <c r="W359" s="10" t="s">
        <v>2921</v>
      </c>
      <c r="X359" s="10" t="s">
        <v>136</v>
      </c>
      <c r="Y359" s="10" t="s">
        <v>169</v>
      </c>
      <c r="Z359" s="10" t="s">
        <v>216</v>
      </c>
      <c r="AA359" s="24"/>
      <c r="AB359" s="24"/>
      <c r="AC359" s="13">
        <v>45678</v>
      </c>
      <c r="AD359" s="10" t="s">
        <v>1515</v>
      </c>
    </row>
    <row r="360" spans="1:30" ht="15.75" customHeight="1" x14ac:dyDescent="0.25">
      <c r="A360" s="10" t="s">
        <v>77</v>
      </c>
      <c r="B360" s="10" t="s">
        <v>86</v>
      </c>
      <c r="C360" s="10" t="s">
        <v>91</v>
      </c>
      <c r="D360" s="10" t="s">
        <v>92</v>
      </c>
      <c r="E360" s="10">
        <v>1045250637</v>
      </c>
      <c r="F360" s="23" t="s">
        <v>344</v>
      </c>
      <c r="G360" s="10" t="s">
        <v>11</v>
      </c>
      <c r="H360" s="10" t="s">
        <v>2922</v>
      </c>
      <c r="I360" s="13">
        <v>45070</v>
      </c>
      <c r="J360" s="10" t="str">
        <f t="shared" ca="1" si="37"/>
        <v xml:space="preserve">3  Años, 3  Mes, 2 Dias </v>
      </c>
      <c r="K360" s="10" t="s">
        <v>113</v>
      </c>
      <c r="L360" s="19"/>
      <c r="M360" s="19" t="str">
        <f t="shared" ca="1" si="52"/>
        <v/>
      </c>
      <c r="N360" s="10" t="s">
        <v>120</v>
      </c>
      <c r="O360" s="10" t="s">
        <v>122</v>
      </c>
      <c r="P360" s="18" t="s">
        <v>124</v>
      </c>
      <c r="Q360" s="18" t="s">
        <v>128</v>
      </c>
      <c r="R360" s="10" t="s">
        <v>133</v>
      </c>
      <c r="S360" s="10" t="s">
        <v>2923</v>
      </c>
      <c r="T360" s="10" t="s">
        <v>1225</v>
      </c>
      <c r="U360" s="10">
        <v>3005704190</v>
      </c>
      <c r="V360" s="10">
        <v>3005704190</v>
      </c>
      <c r="W360" s="10" t="s">
        <v>2924</v>
      </c>
      <c r="X360" s="10" t="s">
        <v>136</v>
      </c>
      <c r="Y360" s="10" t="s">
        <v>206</v>
      </c>
      <c r="Z360" s="10" t="s">
        <v>170</v>
      </c>
      <c r="AA360" s="24"/>
      <c r="AB360" s="24"/>
      <c r="AC360" s="13">
        <v>45362</v>
      </c>
      <c r="AD360" s="24"/>
    </row>
    <row r="361" spans="1:30" ht="15.75" customHeight="1" x14ac:dyDescent="0.25">
      <c r="A361" s="10" t="s">
        <v>77</v>
      </c>
      <c r="B361" s="10" t="s">
        <v>86</v>
      </c>
      <c r="C361" s="10" t="s">
        <v>91</v>
      </c>
      <c r="D361" s="10" t="s">
        <v>92</v>
      </c>
      <c r="E361" s="10">
        <v>72073371</v>
      </c>
      <c r="F361" s="23" t="s">
        <v>342</v>
      </c>
      <c r="G361" s="10" t="s">
        <v>18</v>
      </c>
      <c r="H361" s="10" t="s">
        <v>2925</v>
      </c>
      <c r="I361" s="13">
        <v>44843</v>
      </c>
      <c r="J361" s="10" t="str">
        <f t="shared" ca="1" si="37"/>
        <v xml:space="preserve">3  Años, 10  Mes, 17 Dias </v>
      </c>
      <c r="K361" s="10" t="s">
        <v>113</v>
      </c>
      <c r="L361" s="19"/>
      <c r="M361" s="19" t="str">
        <f t="shared" ca="1" si="52"/>
        <v/>
      </c>
      <c r="N361" s="10" t="s">
        <v>120</v>
      </c>
      <c r="O361" s="10" t="s">
        <v>122</v>
      </c>
      <c r="P361" s="18" t="s">
        <v>124</v>
      </c>
      <c r="Q361" s="18" t="s">
        <v>128</v>
      </c>
      <c r="R361" s="10" t="s">
        <v>133</v>
      </c>
      <c r="S361" s="10" t="s">
        <v>2926</v>
      </c>
      <c r="T361" s="10" t="s">
        <v>136</v>
      </c>
      <c r="U361" s="10">
        <v>3007557403</v>
      </c>
      <c r="V361" s="19"/>
      <c r="W361" s="59" t="s">
        <v>2927</v>
      </c>
      <c r="X361" s="10" t="s">
        <v>136</v>
      </c>
      <c r="Y361" s="10" t="s">
        <v>206</v>
      </c>
      <c r="Z361" s="10" t="s">
        <v>216</v>
      </c>
      <c r="AA361" s="24"/>
      <c r="AB361" s="24"/>
      <c r="AC361" s="13">
        <v>45685</v>
      </c>
      <c r="AD361" s="13" t="s">
        <v>148</v>
      </c>
    </row>
    <row r="362" spans="1:30" ht="15.75" customHeight="1" x14ac:dyDescent="0.25">
      <c r="A362" s="10" t="s">
        <v>160</v>
      </c>
      <c r="B362" s="10" t="s">
        <v>86</v>
      </c>
      <c r="C362" s="10" t="s">
        <v>91</v>
      </c>
      <c r="D362" s="10" t="s">
        <v>92</v>
      </c>
      <c r="E362" s="10">
        <v>52392466</v>
      </c>
      <c r="F362" s="23" t="s">
        <v>2928</v>
      </c>
      <c r="G362" s="10" t="s">
        <v>503</v>
      </c>
      <c r="H362" s="10" t="s">
        <v>2929</v>
      </c>
      <c r="I362" s="30">
        <v>44854</v>
      </c>
      <c r="J362" s="10" t="str">
        <f t="shared" ca="1" si="37"/>
        <v xml:space="preserve">3  Años, 10  Mes, 6 Dias </v>
      </c>
      <c r="K362" s="10" t="s">
        <v>113</v>
      </c>
      <c r="L362" s="19"/>
      <c r="M362" s="19" t="str">
        <f t="shared" ca="1" si="52"/>
        <v/>
      </c>
      <c r="N362" s="10" t="s">
        <v>320</v>
      </c>
      <c r="O362" s="10" t="s">
        <v>122</v>
      </c>
      <c r="P362" s="18" t="s">
        <v>142</v>
      </c>
      <c r="Q362" s="18" t="s">
        <v>128</v>
      </c>
      <c r="R362" s="10" t="s">
        <v>133</v>
      </c>
      <c r="S362" s="10" t="s">
        <v>2930</v>
      </c>
      <c r="T362" s="10" t="s">
        <v>136</v>
      </c>
      <c r="U362" s="10">
        <v>3502984620</v>
      </c>
      <c r="V362" s="19"/>
      <c r="W362" s="10" t="s">
        <v>2931</v>
      </c>
      <c r="X362" s="10" t="s">
        <v>136</v>
      </c>
      <c r="Y362" s="10" t="s">
        <v>1299</v>
      </c>
      <c r="Z362" s="10" t="s">
        <v>216</v>
      </c>
      <c r="AA362" s="24"/>
      <c r="AB362" s="24"/>
      <c r="AC362" s="13">
        <v>45731</v>
      </c>
      <c r="AD362" s="10" t="s">
        <v>1515</v>
      </c>
    </row>
    <row r="363" spans="1:30" ht="15.75" customHeight="1" x14ac:dyDescent="0.25">
      <c r="A363" s="10" t="s">
        <v>77</v>
      </c>
      <c r="B363" s="10" t="s">
        <v>90</v>
      </c>
      <c r="C363" s="10" t="s">
        <v>175</v>
      </c>
      <c r="D363" s="10" t="s">
        <v>92</v>
      </c>
      <c r="E363" s="12">
        <v>72048405</v>
      </c>
      <c r="F363" s="23" t="s">
        <v>2058</v>
      </c>
      <c r="G363" s="10" t="s">
        <v>18</v>
      </c>
      <c r="H363" s="95" t="s">
        <v>2059</v>
      </c>
      <c r="I363" s="13">
        <v>45831</v>
      </c>
      <c r="J363" s="10" t="str">
        <f t="shared" ca="1" si="37"/>
        <v xml:space="preserve">1  Años, 2  Mes, 3 Dias </v>
      </c>
      <c r="K363" s="12" t="s">
        <v>113</v>
      </c>
      <c r="L363" s="30">
        <v>28431</v>
      </c>
      <c r="M363" s="10">
        <v>22</v>
      </c>
      <c r="N363" s="10" t="s">
        <v>120</v>
      </c>
      <c r="O363" s="10" t="s">
        <v>122</v>
      </c>
      <c r="P363" s="18" t="s">
        <v>124</v>
      </c>
      <c r="Q363" s="18" t="s">
        <v>128</v>
      </c>
      <c r="R363" s="10" t="s">
        <v>133</v>
      </c>
      <c r="S363" s="12" t="s">
        <v>2060</v>
      </c>
      <c r="T363" s="5"/>
      <c r="U363" s="12">
        <v>3105467660</v>
      </c>
      <c r="V363" s="5"/>
      <c r="W363" s="12" t="s">
        <v>2061</v>
      </c>
      <c r="X363" s="12" t="s">
        <v>136</v>
      </c>
      <c r="Y363" s="5"/>
      <c r="Z363" s="12" t="s">
        <v>72</v>
      </c>
      <c r="AA363" s="20"/>
      <c r="AB363" s="20"/>
      <c r="AC363" s="20"/>
      <c r="AD363" s="13" t="s">
        <v>209</v>
      </c>
    </row>
    <row r="364" spans="1:30" ht="15.75" customHeight="1" x14ac:dyDescent="0.25">
      <c r="A364" s="10" t="s">
        <v>160</v>
      </c>
      <c r="B364" s="10" t="s">
        <v>86</v>
      </c>
      <c r="C364" s="10" t="s">
        <v>91</v>
      </c>
      <c r="D364" s="10" t="s">
        <v>92</v>
      </c>
      <c r="E364" s="10">
        <v>1143446953</v>
      </c>
      <c r="F364" s="23" t="s">
        <v>2932</v>
      </c>
      <c r="G364" s="10" t="s">
        <v>2190</v>
      </c>
      <c r="H364" s="10" t="s">
        <v>2933</v>
      </c>
      <c r="I364" s="13">
        <v>45497</v>
      </c>
      <c r="J364" s="10" t="str">
        <f t="shared" ca="1" si="37"/>
        <v xml:space="preserve">2  Años, 1  Mes, 2 Dias </v>
      </c>
      <c r="K364" s="10" t="s">
        <v>113</v>
      </c>
      <c r="L364" s="19"/>
      <c r="M364" s="19"/>
      <c r="N364" s="10" t="s">
        <v>120</v>
      </c>
      <c r="O364" s="10" t="s">
        <v>122</v>
      </c>
      <c r="P364" s="18" t="s">
        <v>210</v>
      </c>
      <c r="Q364" s="18" t="s">
        <v>128</v>
      </c>
      <c r="R364" s="10" t="s">
        <v>133</v>
      </c>
      <c r="S364" s="10" t="s">
        <v>2934</v>
      </c>
      <c r="T364" s="10" t="s">
        <v>136</v>
      </c>
      <c r="U364" s="10">
        <v>3005587517</v>
      </c>
      <c r="V364" s="19"/>
      <c r="W364" s="40" t="s">
        <v>2935</v>
      </c>
      <c r="X364" s="10" t="s">
        <v>136</v>
      </c>
      <c r="Y364" s="10" t="s">
        <v>155</v>
      </c>
      <c r="Z364" s="10" t="s">
        <v>170</v>
      </c>
      <c r="AA364" s="24"/>
      <c r="AB364" s="24"/>
      <c r="AC364" s="13">
        <v>45814</v>
      </c>
      <c r="AD364" s="10" t="s">
        <v>209</v>
      </c>
    </row>
    <row r="365" spans="1:30" ht="15.75" customHeight="1" x14ac:dyDescent="0.25">
      <c r="A365" s="10" t="s">
        <v>77</v>
      </c>
      <c r="B365" s="10" t="s">
        <v>86</v>
      </c>
      <c r="C365" s="10" t="s">
        <v>91</v>
      </c>
      <c r="D365" s="10" t="s">
        <v>92</v>
      </c>
      <c r="E365" s="10">
        <v>72333146</v>
      </c>
      <c r="F365" s="23" t="s">
        <v>336</v>
      </c>
      <c r="G365" s="10" t="s">
        <v>26</v>
      </c>
      <c r="H365" s="10" t="s">
        <v>2936</v>
      </c>
      <c r="I365" s="30">
        <v>45289</v>
      </c>
      <c r="J365" s="10" t="str">
        <f t="shared" ca="1" si="37"/>
        <v xml:space="preserve">2  Años, 7  Mes, 28 Dias </v>
      </c>
      <c r="K365" s="10" t="s">
        <v>113</v>
      </c>
      <c r="L365" s="19"/>
      <c r="M365" s="19" t="str">
        <f t="shared" ref="M365:M369" ca="1" si="53">IF(L365=0,"", DATEDIF(L365,TODAY(),"y"))</f>
        <v/>
      </c>
      <c r="N365" s="10" t="s">
        <v>120</v>
      </c>
      <c r="O365" s="10" t="s">
        <v>277</v>
      </c>
      <c r="P365" s="18" t="s">
        <v>142</v>
      </c>
      <c r="Q365" s="18" t="s">
        <v>128</v>
      </c>
      <c r="R365" s="10" t="s">
        <v>133</v>
      </c>
      <c r="S365" s="10" t="s">
        <v>2937</v>
      </c>
      <c r="T365" s="10" t="s">
        <v>136</v>
      </c>
      <c r="U365" s="10">
        <v>3004596640</v>
      </c>
      <c r="V365" s="10">
        <v>3004596640</v>
      </c>
      <c r="W365" s="10" t="s">
        <v>2938</v>
      </c>
      <c r="X365" s="10" t="s">
        <v>136</v>
      </c>
      <c r="Y365" s="10" t="s">
        <v>253</v>
      </c>
      <c r="Z365" s="10" t="s">
        <v>216</v>
      </c>
      <c r="AA365" s="24"/>
      <c r="AB365" s="24"/>
      <c r="AC365" s="13">
        <v>45474</v>
      </c>
      <c r="AD365" s="24"/>
    </row>
    <row r="366" spans="1:30" ht="15.75" customHeight="1" x14ac:dyDescent="0.25">
      <c r="A366" s="10" t="s">
        <v>160</v>
      </c>
      <c r="B366" s="10" t="s">
        <v>86</v>
      </c>
      <c r="C366" s="10" t="s">
        <v>91</v>
      </c>
      <c r="D366" s="10" t="s">
        <v>92</v>
      </c>
      <c r="E366" s="10">
        <v>22519365</v>
      </c>
      <c r="F366" s="23" t="s">
        <v>2939</v>
      </c>
      <c r="G366" s="10" t="s">
        <v>2940</v>
      </c>
      <c r="H366" s="10" t="s">
        <v>2941</v>
      </c>
      <c r="I366" s="13">
        <v>44843</v>
      </c>
      <c r="J366" s="10" t="str">
        <f t="shared" ca="1" si="37"/>
        <v xml:space="preserve">3  Años, 10  Mes, 17 Dias </v>
      </c>
      <c r="K366" s="10" t="s">
        <v>113</v>
      </c>
      <c r="L366" s="19"/>
      <c r="M366" s="19" t="str">
        <f t="shared" ca="1" si="53"/>
        <v/>
      </c>
      <c r="N366" s="10" t="s">
        <v>320</v>
      </c>
      <c r="O366" s="10" t="s">
        <v>122</v>
      </c>
      <c r="P366" s="18" t="s">
        <v>124</v>
      </c>
      <c r="Q366" s="18" t="s">
        <v>128</v>
      </c>
      <c r="R366" s="10" t="s">
        <v>133</v>
      </c>
      <c r="S366" s="10" t="s">
        <v>2942</v>
      </c>
      <c r="T366" s="10" t="s">
        <v>136</v>
      </c>
      <c r="U366" s="10">
        <v>3007222100</v>
      </c>
      <c r="V366" s="19"/>
      <c r="W366" s="10" t="s">
        <v>2943</v>
      </c>
      <c r="X366" s="10" t="s">
        <v>136</v>
      </c>
      <c r="Y366" s="10" t="s">
        <v>253</v>
      </c>
      <c r="Z366" s="10" t="s">
        <v>216</v>
      </c>
      <c r="AA366" s="33"/>
      <c r="AB366" s="33"/>
      <c r="AC366" s="35">
        <v>44896</v>
      </c>
      <c r="AD366" s="63"/>
    </row>
    <row r="367" spans="1:30" ht="15.75" customHeight="1" x14ac:dyDescent="0.25">
      <c r="A367" s="10" t="s">
        <v>77</v>
      </c>
      <c r="B367" s="10" t="s">
        <v>86</v>
      </c>
      <c r="C367" s="10" t="s">
        <v>91</v>
      </c>
      <c r="D367" s="10" t="s">
        <v>92</v>
      </c>
      <c r="E367" s="10">
        <v>1130264366</v>
      </c>
      <c r="F367" s="23" t="s">
        <v>2944</v>
      </c>
      <c r="G367" s="10" t="s">
        <v>11</v>
      </c>
      <c r="H367" s="10" t="s">
        <v>2945</v>
      </c>
      <c r="I367" s="13">
        <v>45309</v>
      </c>
      <c r="J367" s="10" t="str">
        <f t="shared" ca="1" si="37"/>
        <v xml:space="preserve">2  Años, 7  Mes, 8 Dias </v>
      </c>
      <c r="K367" s="10" t="s">
        <v>113</v>
      </c>
      <c r="L367" s="13">
        <v>34842</v>
      </c>
      <c r="M367" s="10">
        <f t="shared" ca="1" si="53"/>
        <v>31</v>
      </c>
      <c r="N367" s="10" t="s">
        <v>120</v>
      </c>
      <c r="O367" s="10" t="s">
        <v>236</v>
      </c>
      <c r="P367" s="18" t="s">
        <v>124</v>
      </c>
      <c r="Q367" s="18" t="s">
        <v>128</v>
      </c>
      <c r="R367" s="10" t="s">
        <v>133</v>
      </c>
      <c r="S367" s="10" t="s">
        <v>2946</v>
      </c>
      <c r="T367" s="10" t="s">
        <v>151</v>
      </c>
      <c r="U367" s="10">
        <v>3218294563</v>
      </c>
      <c r="V367" s="19"/>
      <c r="W367" s="40" t="s">
        <v>2947</v>
      </c>
      <c r="X367" s="10" t="s">
        <v>136</v>
      </c>
      <c r="Y367" s="10" t="s">
        <v>831</v>
      </c>
      <c r="Z367" s="10" t="s">
        <v>170</v>
      </c>
      <c r="AA367" s="24"/>
      <c r="AB367" s="24"/>
      <c r="AC367" s="13">
        <v>45362</v>
      </c>
      <c r="AD367" s="24"/>
    </row>
    <row r="368" spans="1:30" ht="15.75" customHeight="1" x14ac:dyDescent="0.25">
      <c r="A368" s="10" t="s">
        <v>77</v>
      </c>
      <c r="B368" s="10" t="s">
        <v>86</v>
      </c>
      <c r="C368" s="10" t="s">
        <v>91</v>
      </c>
      <c r="D368" s="10" t="s">
        <v>92</v>
      </c>
      <c r="E368" s="10">
        <v>1045169939</v>
      </c>
      <c r="F368" s="23" t="s">
        <v>334</v>
      </c>
      <c r="G368" s="10" t="s">
        <v>26</v>
      </c>
      <c r="H368" s="10" t="s">
        <v>2948</v>
      </c>
      <c r="I368" s="13">
        <v>44843</v>
      </c>
      <c r="J368" s="10" t="str">
        <f t="shared" ca="1" si="37"/>
        <v xml:space="preserve">3  Años, 10  Mes, 17 Dias </v>
      </c>
      <c r="K368" s="10" t="s">
        <v>113</v>
      </c>
      <c r="L368" s="19"/>
      <c r="M368" s="19" t="str">
        <f t="shared" ca="1" si="53"/>
        <v/>
      </c>
      <c r="N368" s="10" t="s">
        <v>120</v>
      </c>
      <c r="O368" s="10" t="s">
        <v>122</v>
      </c>
      <c r="P368" s="18" t="s">
        <v>142</v>
      </c>
      <c r="Q368" s="18" t="s">
        <v>128</v>
      </c>
      <c r="R368" s="10" t="s">
        <v>133</v>
      </c>
      <c r="S368" s="10" t="s">
        <v>2949</v>
      </c>
      <c r="T368" s="10" t="s">
        <v>136</v>
      </c>
      <c r="U368" s="10">
        <v>3023551593</v>
      </c>
      <c r="V368" s="19"/>
      <c r="W368" s="10" t="s">
        <v>2950</v>
      </c>
      <c r="X368" s="10" t="s">
        <v>136</v>
      </c>
      <c r="Y368" s="10" t="s">
        <v>169</v>
      </c>
      <c r="Z368" s="10" t="s">
        <v>170</v>
      </c>
      <c r="AA368" s="33"/>
      <c r="AB368" s="33"/>
      <c r="AC368" s="35">
        <v>44896</v>
      </c>
      <c r="AD368" s="19"/>
    </row>
    <row r="369" spans="1:30" ht="15.75" customHeight="1" x14ac:dyDescent="0.25">
      <c r="A369" s="10" t="s">
        <v>77</v>
      </c>
      <c r="B369" s="10" t="s">
        <v>86</v>
      </c>
      <c r="C369" s="10" t="s">
        <v>91</v>
      </c>
      <c r="D369" s="10" t="s">
        <v>92</v>
      </c>
      <c r="E369" s="10">
        <v>1010020170</v>
      </c>
      <c r="F369" s="23" t="s">
        <v>333</v>
      </c>
      <c r="G369" s="10" t="s">
        <v>26</v>
      </c>
      <c r="H369" s="10" t="s">
        <v>2951</v>
      </c>
      <c r="I369" s="13">
        <v>45234</v>
      </c>
      <c r="J369" s="10" t="str">
        <f t="shared" ca="1" si="37"/>
        <v xml:space="preserve">2  Años, 9  Mes, 22 Dias </v>
      </c>
      <c r="K369" s="10" t="s">
        <v>113</v>
      </c>
      <c r="L369" s="19"/>
      <c r="M369" s="19" t="str">
        <f t="shared" ca="1" si="53"/>
        <v/>
      </c>
      <c r="N369" s="10" t="s">
        <v>120</v>
      </c>
      <c r="O369" s="10" t="s">
        <v>122</v>
      </c>
      <c r="P369" s="18" t="s">
        <v>142</v>
      </c>
      <c r="Q369" s="18" t="s">
        <v>128</v>
      </c>
      <c r="R369" s="10" t="s">
        <v>133</v>
      </c>
      <c r="S369" s="10" t="s">
        <v>2952</v>
      </c>
      <c r="T369" s="10" t="s">
        <v>136</v>
      </c>
      <c r="U369" s="10">
        <v>3008188525</v>
      </c>
      <c r="V369" s="19"/>
      <c r="W369" s="10" t="s">
        <v>2953</v>
      </c>
      <c r="X369" s="10" t="s">
        <v>136</v>
      </c>
      <c r="Y369" s="10" t="s">
        <v>791</v>
      </c>
      <c r="Z369" s="10" t="s">
        <v>170</v>
      </c>
      <c r="AA369" s="24"/>
      <c r="AB369" s="24"/>
      <c r="AC369" s="13">
        <v>45343</v>
      </c>
      <c r="AD369" s="24"/>
    </row>
    <row r="370" spans="1:30" ht="15.75" customHeight="1" x14ac:dyDescent="0.25">
      <c r="A370" s="10" t="s">
        <v>77</v>
      </c>
      <c r="B370" s="10" t="s">
        <v>86</v>
      </c>
      <c r="C370" s="10" t="s">
        <v>91</v>
      </c>
      <c r="D370" s="10" t="s">
        <v>92</v>
      </c>
      <c r="E370" s="12">
        <v>72307691</v>
      </c>
      <c r="F370" s="15" t="s">
        <v>2954</v>
      </c>
      <c r="G370" s="10" t="s">
        <v>26</v>
      </c>
      <c r="H370" s="10" t="s">
        <v>2955</v>
      </c>
      <c r="I370" s="53">
        <v>45590</v>
      </c>
      <c r="J370" s="10" t="str">
        <f t="shared" ca="1" si="37"/>
        <v xml:space="preserve">1  Años, 10  Mes, 1 Dias </v>
      </c>
      <c r="K370" s="12" t="s">
        <v>113</v>
      </c>
      <c r="L370" s="5"/>
      <c r="M370" s="5"/>
      <c r="N370" s="10" t="s">
        <v>120</v>
      </c>
      <c r="O370" s="10" t="s">
        <v>122</v>
      </c>
      <c r="P370" s="18" t="s">
        <v>210</v>
      </c>
      <c r="Q370" s="18" t="s">
        <v>128</v>
      </c>
      <c r="R370" s="12" t="s">
        <v>133</v>
      </c>
      <c r="S370" s="12" t="s">
        <v>2956</v>
      </c>
      <c r="T370" s="10" t="s">
        <v>136</v>
      </c>
      <c r="U370" s="12">
        <v>3017035070</v>
      </c>
      <c r="V370" s="5"/>
      <c r="W370" s="12" t="s">
        <v>2957</v>
      </c>
      <c r="X370" s="10" t="s">
        <v>136</v>
      </c>
      <c r="Y370" s="12" t="s">
        <v>203</v>
      </c>
      <c r="Z370" s="12" t="s">
        <v>170</v>
      </c>
      <c r="AA370" s="31"/>
      <c r="AB370" s="31"/>
      <c r="AC370" s="53">
        <v>45643</v>
      </c>
      <c r="AD370" s="31"/>
    </row>
    <row r="371" spans="1:30" ht="15.75" customHeight="1" x14ac:dyDescent="0.25">
      <c r="A371" s="10" t="s">
        <v>77</v>
      </c>
      <c r="B371" s="10" t="s">
        <v>86</v>
      </c>
      <c r="C371" s="10" t="s">
        <v>91</v>
      </c>
      <c r="D371" s="10" t="s">
        <v>92</v>
      </c>
      <c r="E371" s="10">
        <v>1042350490</v>
      </c>
      <c r="F371" s="23" t="s">
        <v>2958</v>
      </c>
      <c r="G371" s="10" t="s">
        <v>18</v>
      </c>
      <c r="H371" s="10" t="s">
        <v>2959</v>
      </c>
      <c r="I371" s="13">
        <v>45126</v>
      </c>
      <c r="J371" s="10" t="str">
        <f t="shared" ca="1" si="37"/>
        <v xml:space="preserve">3  Años, 1  Mes, 7 Dias </v>
      </c>
      <c r="K371" s="10" t="s">
        <v>113</v>
      </c>
      <c r="L371" s="19"/>
      <c r="M371" s="19" t="str">
        <f ca="1">IF(L371=0,"", DATEDIF(L371,TODAY(),"y"))</f>
        <v/>
      </c>
      <c r="N371" s="10" t="s">
        <v>120</v>
      </c>
      <c r="O371" s="10" t="s">
        <v>122</v>
      </c>
      <c r="P371" s="18" t="s">
        <v>124</v>
      </c>
      <c r="Q371" s="18" t="s">
        <v>128</v>
      </c>
      <c r="R371" s="10" t="s">
        <v>133</v>
      </c>
      <c r="S371" s="10" t="s">
        <v>2960</v>
      </c>
      <c r="T371" s="10" t="s">
        <v>136</v>
      </c>
      <c r="U371" s="10">
        <v>3017610403</v>
      </c>
      <c r="V371" s="10">
        <v>3017610403</v>
      </c>
      <c r="W371" s="10" t="s">
        <v>2961</v>
      </c>
      <c r="X371" s="10" t="s">
        <v>136</v>
      </c>
      <c r="Y371" s="10" t="s">
        <v>206</v>
      </c>
      <c r="Z371" s="10" t="s">
        <v>170</v>
      </c>
      <c r="AA371" s="24"/>
      <c r="AB371" s="24"/>
      <c r="AC371" s="13">
        <v>45362</v>
      </c>
      <c r="AD371" s="24"/>
    </row>
    <row r="372" spans="1:30" ht="15.75" customHeight="1" x14ac:dyDescent="0.25">
      <c r="A372" s="10" t="s">
        <v>160</v>
      </c>
      <c r="B372" s="10" t="s">
        <v>86</v>
      </c>
      <c r="C372" s="10" t="s">
        <v>91</v>
      </c>
      <c r="D372" s="10" t="s">
        <v>92</v>
      </c>
      <c r="E372" s="12">
        <v>1045750429</v>
      </c>
      <c r="F372" s="15" t="s">
        <v>2962</v>
      </c>
      <c r="G372" s="12" t="s">
        <v>2963</v>
      </c>
      <c r="H372" s="5"/>
      <c r="I372" s="53">
        <v>45646</v>
      </c>
      <c r="J372" s="10" t="str">
        <f t="shared" ca="1" si="37"/>
        <v xml:space="preserve">1  Años, 8  Mes, 6 Dias </v>
      </c>
      <c r="K372" s="12" t="s">
        <v>113</v>
      </c>
      <c r="L372" s="20"/>
      <c r="M372" s="5"/>
      <c r="N372" s="10" t="s">
        <v>320</v>
      </c>
      <c r="O372" s="10" t="s">
        <v>236</v>
      </c>
      <c r="P372" s="5"/>
      <c r="Q372" s="5"/>
      <c r="R372" s="12" t="s">
        <v>2964</v>
      </c>
      <c r="S372" s="5"/>
      <c r="T372" s="12" t="s">
        <v>136</v>
      </c>
      <c r="U372" s="12">
        <v>3058182917</v>
      </c>
      <c r="V372" s="5"/>
      <c r="W372" s="5"/>
      <c r="X372" s="5"/>
      <c r="Y372" s="5"/>
      <c r="Z372" s="5"/>
      <c r="AA372" s="5"/>
      <c r="AB372" s="5"/>
      <c r="AC372" s="5"/>
      <c r="AD372" s="10" t="s">
        <v>209</v>
      </c>
    </row>
    <row r="373" spans="1:30" ht="15.75" customHeight="1" x14ac:dyDescent="0.25">
      <c r="A373" s="10" t="s">
        <v>160</v>
      </c>
      <c r="B373" s="10" t="s">
        <v>86</v>
      </c>
      <c r="C373" s="10" t="s">
        <v>91</v>
      </c>
      <c r="D373" s="10" t="s">
        <v>92</v>
      </c>
      <c r="E373" s="10">
        <v>1192799660</v>
      </c>
      <c r="F373" s="23" t="s">
        <v>2965</v>
      </c>
      <c r="G373" s="10" t="s">
        <v>503</v>
      </c>
      <c r="H373" s="10" t="s">
        <v>755</v>
      </c>
      <c r="I373" s="13">
        <v>44843</v>
      </c>
      <c r="J373" s="10" t="str">
        <f t="shared" ca="1" si="37"/>
        <v xml:space="preserve">3  Años, 10  Mes, 17 Dias </v>
      </c>
      <c r="K373" s="10" t="s">
        <v>113</v>
      </c>
      <c r="L373" s="19"/>
      <c r="M373" s="19" t="str">
        <f t="shared" ref="M373:M383" ca="1" si="54">IF(L373=0,"", DATEDIF(L373,TODAY(),"y"))</f>
        <v/>
      </c>
      <c r="N373" s="10" t="s">
        <v>120</v>
      </c>
      <c r="O373" s="10" t="s">
        <v>122</v>
      </c>
      <c r="P373" s="18" t="s">
        <v>124</v>
      </c>
      <c r="Q373" s="18" t="s">
        <v>128</v>
      </c>
      <c r="R373" s="10" t="s">
        <v>133</v>
      </c>
      <c r="S373" s="10" t="s">
        <v>2966</v>
      </c>
      <c r="T373" s="10" t="s">
        <v>136</v>
      </c>
      <c r="U373" s="10">
        <v>3242813005</v>
      </c>
      <c r="V373" s="19"/>
      <c r="W373" s="10" t="s">
        <v>2967</v>
      </c>
      <c r="X373" s="10" t="s">
        <v>136</v>
      </c>
      <c r="Y373" s="10" t="s">
        <v>169</v>
      </c>
      <c r="Z373" s="10" t="s">
        <v>216</v>
      </c>
      <c r="AA373" s="123"/>
      <c r="AB373" s="123"/>
      <c r="AC373" s="26">
        <v>45296</v>
      </c>
      <c r="AD373" s="123"/>
    </row>
    <row r="374" spans="1:30" ht="15.75" customHeight="1" x14ac:dyDescent="0.25">
      <c r="A374" s="10" t="s">
        <v>77</v>
      </c>
      <c r="B374" s="10" t="s">
        <v>86</v>
      </c>
      <c r="C374" s="10" t="s">
        <v>91</v>
      </c>
      <c r="D374" s="10" t="s">
        <v>92</v>
      </c>
      <c r="E374" s="10">
        <v>1042978357</v>
      </c>
      <c r="F374" s="23" t="s">
        <v>330</v>
      </c>
      <c r="G374" s="10" t="s">
        <v>26</v>
      </c>
      <c r="H374" s="10" t="s">
        <v>2968</v>
      </c>
      <c r="I374" s="13">
        <v>45156</v>
      </c>
      <c r="J374" s="10" t="str">
        <f t="shared" ca="1" si="37"/>
        <v xml:space="preserve">3  Años, 0  Mes, 8 Dias </v>
      </c>
      <c r="K374" s="10" t="s">
        <v>113</v>
      </c>
      <c r="L374" s="19"/>
      <c r="M374" s="19" t="str">
        <f t="shared" ca="1" si="54"/>
        <v/>
      </c>
      <c r="N374" s="10" t="s">
        <v>120</v>
      </c>
      <c r="O374" s="10" t="s">
        <v>122</v>
      </c>
      <c r="P374" s="18" t="s">
        <v>142</v>
      </c>
      <c r="Q374" s="18" t="s">
        <v>128</v>
      </c>
      <c r="R374" s="10" t="s">
        <v>133</v>
      </c>
      <c r="S374" s="10" t="s">
        <v>2969</v>
      </c>
      <c r="T374" s="10" t="s">
        <v>136</v>
      </c>
      <c r="U374" s="10">
        <v>3006772736</v>
      </c>
      <c r="V374" s="19"/>
      <c r="W374" s="10" t="s">
        <v>2970</v>
      </c>
      <c r="X374" s="10" t="s">
        <v>136</v>
      </c>
      <c r="Y374" s="10" t="s">
        <v>203</v>
      </c>
      <c r="Z374" s="10" t="s">
        <v>216</v>
      </c>
      <c r="AA374" s="33"/>
      <c r="AB374" s="33"/>
      <c r="AC374" s="35">
        <v>45290</v>
      </c>
      <c r="AD374" s="24"/>
    </row>
    <row r="375" spans="1:30" ht="15.75" customHeight="1" x14ac:dyDescent="0.25">
      <c r="A375" s="10" t="s">
        <v>77</v>
      </c>
      <c r="B375" s="10" t="s">
        <v>86</v>
      </c>
      <c r="C375" s="10" t="s">
        <v>91</v>
      </c>
      <c r="D375" s="10" t="s">
        <v>92</v>
      </c>
      <c r="E375" s="10">
        <v>72099246</v>
      </c>
      <c r="F375" s="23" t="s">
        <v>329</v>
      </c>
      <c r="G375" s="10" t="s">
        <v>26</v>
      </c>
      <c r="H375" s="10" t="s">
        <v>2971</v>
      </c>
      <c r="I375" s="13">
        <v>45129</v>
      </c>
      <c r="J375" s="10" t="str">
        <f t="shared" ca="1" si="37"/>
        <v xml:space="preserve">3  Años, 1  Mes, 4 Dias </v>
      </c>
      <c r="K375" s="10" t="s">
        <v>113</v>
      </c>
      <c r="L375" s="19"/>
      <c r="M375" s="19" t="str">
        <f t="shared" ca="1" si="54"/>
        <v/>
      </c>
      <c r="N375" s="10" t="s">
        <v>120</v>
      </c>
      <c r="O375" s="10" t="s">
        <v>122</v>
      </c>
      <c r="P375" s="18" t="s">
        <v>124</v>
      </c>
      <c r="Q375" s="18" t="s">
        <v>128</v>
      </c>
      <c r="R375" s="10" t="s">
        <v>133</v>
      </c>
      <c r="S375" s="10" t="s">
        <v>2972</v>
      </c>
      <c r="T375" s="10" t="s">
        <v>199</v>
      </c>
      <c r="U375" s="10">
        <v>3114155520</v>
      </c>
      <c r="V375" s="10">
        <v>3114155520</v>
      </c>
      <c r="W375" s="10" t="s">
        <v>2973</v>
      </c>
      <c r="X375" s="10" t="s">
        <v>136</v>
      </c>
      <c r="Y375" s="10" t="s">
        <v>203</v>
      </c>
      <c r="Z375" s="10" t="s">
        <v>216</v>
      </c>
      <c r="AA375" s="24"/>
      <c r="AB375" s="24"/>
      <c r="AC375" s="13">
        <v>45751</v>
      </c>
      <c r="AD375" s="13" t="s">
        <v>148</v>
      </c>
    </row>
    <row r="376" spans="1:30" ht="15.75" customHeight="1" x14ac:dyDescent="0.25">
      <c r="A376" s="10" t="s">
        <v>77</v>
      </c>
      <c r="B376" s="10" t="s">
        <v>90</v>
      </c>
      <c r="C376" s="10" t="s">
        <v>175</v>
      </c>
      <c r="D376" s="10" t="s">
        <v>92</v>
      </c>
      <c r="E376" s="10">
        <v>8566749</v>
      </c>
      <c r="F376" s="23" t="s">
        <v>139</v>
      </c>
      <c r="G376" s="10" t="s">
        <v>18</v>
      </c>
      <c r="H376" s="10" t="s">
        <v>1216</v>
      </c>
      <c r="I376" s="13">
        <v>45831</v>
      </c>
      <c r="J376" s="10" t="str">
        <f t="shared" ca="1" si="37"/>
        <v xml:space="preserve">1  Años, 2  Mes, 3 Dias </v>
      </c>
      <c r="K376" s="10" t="s">
        <v>113</v>
      </c>
      <c r="L376" s="24"/>
      <c r="M376" s="19" t="str">
        <f t="shared" ca="1" si="54"/>
        <v/>
      </c>
      <c r="N376" s="10" t="s">
        <v>120</v>
      </c>
      <c r="O376" s="10" t="s">
        <v>122</v>
      </c>
      <c r="P376" s="18" t="s">
        <v>142</v>
      </c>
      <c r="Q376" s="18" t="s">
        <v>128</v>
      </c>
      <c r="R376" s="10" t="s">
        <v>133</v>
      </c>
      <c r="S376" s="10" t="s">
        <v>1220</v>
      </c>
      <c r="T376" s="10" t="s">
        <v>136</v>
      </c>
      <c r="U376" s="10">
        <v>30053009504</v>
      </c>
      <c r="V376" s="19"/>
      <c r="W376" s="10" t="s">
        <v>1222</v>
      </c>
      <c r="X376" s="10" t="s">
        <v>136</v>
      </c>
      <c r="Y376" s="10" t="s">
        <v>206</v>
      </c>
      <c r="Z376" s="10" t="s">
        <v>216</v>
      </c>
      <c r="AA376" s="19"/>
      <c r="AB376" s="19"/>
      <c r="AC376" s="19"/>
      <c r="AD376" s="10" t="s">
        <v>209</v>
      </c>
    </row>
    <row r="377" spans="1:30" ht="15.75" customHeight="1" x14ac:dyDescent="0.25">
      <c r="A377" s="10" t="s">
        <v>77</v>
      </c>
      <c r="B377" s="10" t="s">
        <v>86</v>
      </c>
      <c r="C377" s="10" t="s">
        <v>91</v>
      </c>
      <c r="D377" s="10" t="s">
        <v>92</v>
      </c>
      <c r="E377" s="10">
        <v>1143253526</v>
      </c>
      <c r="F377" s="23" t="s">
        <v>326</v>
      </c>
      <c r="G377" s="10" t="s">
        <v>11</v>
      </c>
      <c r="H377" s="10" t="s">
        <v>2974</v>
      </c>
      <c r="I377" s="13">
        <v>45831</v>
      </c>
      <c r="J377" s="10" t="str">
        <f t="shared" ca="1" si="37"/>
        <v xml:space="preserve">1  Años, 2  Mes, 3 Dias </v>
      </c>
      <c r="K377" s="10" t="s">
        <v>113</v>
      </c>
      <c r="L377" s="24"/>
      <c r="M377" s="19" t="str">
        <f t="shared" ca="1" si="54"/>
        <v/>
      </c>
      <c r="N377" s="10" t="s">
        <v>120</v>
      </c>
      <c r="O377" s="10" t="s">
        <v>122</v>
      </c>
      <c r="P377" s="18" t="s">
        <v>142</v>
      </c>
      <c r="Q377" s="18" t="s">
        <v>128</v>
      </c>
      <c r="R377" s="10" t="s">
        <v>133</v>
      </c>
      <c r="S377" s="10" t="s">
        <v>2975</v>
      </c>
      <c r="T377" s="10" t="s">
        <v>136</v>
      </c>
      <c r="U377" s="10">
        <v>3246326279</v>
      </c>
      <c r="V377" s="19"/>
      <c r="W377" s="10" t="s">
        <v>845</v>
      </c>
      <c r="X377" s="10" t="s">
        <v>136</v>
      </c>
      <c r="Y377" s="10" t="s">
        <v>206</v>
      </c>
      <c r="Z377" s="10" t="s">
        <v>216</v>
      </c>
      <c r="AA377" s="19"/>
      <c r="AB377" s="19"/>
      <c r="AC377" s="19"/>
      <c r="AD377" s="10" t="s">
        <v>209</v>
      </c>
    </row>
    <row r="378" spans="1:30" ht="15.75" customHeight="1" x14ac:dyDescent="0.25">
      <c r="A378" s="10" t="s">
        <v>77</v>
      </c>
      <c r="B378" s="10" t="s">
        <v>86</v>
      </c>
      <c r="C378" s="10" t="s">
        <v>91</v>
      </c>
      <c r="D378" s="10" t="s">
        <v>92</v>
      </c>
      <c r="E378" s="10">
        <v>1002070974</v>
      </c>
      <c r="F378" s="23" t="s">
        <v>321</v>
      </c>
      <c r="G378" s="10" t="s">
        <v>26</v>
      </c>
      <c r="H378" s="10" t="s">
        <v>2976</v>
      </c>
      <c r="I378" s="13">
        <v>45451</v>
      </c>
      <c r="J378" s="10" t="str">
        <f t="shared" ca="1" si="37"/>
        <v xml:space="preserve">2  Años, 2  Mes, 18 Dias </v>
      </c>
      <c r="K378" s="10" t="s">
        <v>113</v>
      </c>
      <c r="L378" s="19"/>
      <c r="M378" s="19" t="str">
        <f t="shared" ca="1" si="54"/>
        <v/>
      </c>
      <c r="N378" s="10" t="s">
        <v>120</v>
      </c>
      <c r="O378" s="10" t="s">
        <v>236</v>
      </c>
      <c r="P378" s="18" t="s">
        <v>124</v>
      </c>
      <c r="Q378" s="18" t="s">
        <v>128</v>
      </c>
      <c r="R378" s="10" t="s">
        <v>133</v>
      </c>
      <c r="S378" s="10" t="s">
        <v>2977</v>
      </c>
      <c r="T378" s="10" t="s">
        <v>1225</v>
      </c>
      <c r="U378" s="10">
        <v>3143575250</v>
      </c>
      <c r="V378" s="10">
        <v>3143575250</v>
      </c>
      <c r="W378" s="10" t="s">
        <v>2978</v>
      </c>
      <c r="X378" s="10" t="s">
        <v>136</v>
      </c>
      <c r="Y378" s="10" t="s">
        <v>473</v>
      </c>
      <c r="Z378" s="10" t="s">
        <v>170</v>
      </c>
      <c r="AA378" s="24"/>
      <c r="AB378" s="24"/>
      <c r="AC378" s="13">
        <v>45629</v>
      </c>
      <c r="AD378" s="24"/>
    </row>
    <row r="379" spans="1:30" ht="15.75" customHeight="1" x14ac:dyDescent="0.25">
      <c r="A379" s="10" t="s">
        <v>77</v>
      </c>
      <c r="B379" s="10" t="s">
        <v>86</v>
      </c>
      <c r="C379" s="10" t="s">
        <v>91</v>
      </c>
      <c r="D379" s="10" t="s">
        <v>92</v>
      </c>
      <c r="E379" s="10">
        <v>72201893</v>
      </c>
      <c r="F379" s="23" t="s">
        <v>319</v>
      </c>
      <c r="G379" s="10" t="s">
        <v>32</v>
      </c>
      <c r="H379" s="10" t="s">
        <v>2979</v>
      </c>
      <c r="I379" s="13">
        <v>45086</v>
      </c>
      <c r="J379" s="10" t="str">
        <f t="shared" ca="1" si="37"/>
        <v xml:space="preserve">3  Años, 2  Mes, 17 Dias </v>
      </c>
      <c r="K379" s="10" t="s">
        <v>113</v>
      </c>
      <c r="L379" s="24"/>
      <c r="M379" s="19" t="str">
        <f t="shared" ca="1" si="54"/>
        <v/>
      </c>
      <c r="N379" s="10" t="s">
        <v>120</v>
      </c>
      <c r="O379" s="10" t="s">
        <v>122</v>
      </c>
      <c r="P379" s="18" t="s">
        <v>210</v>
      </c>
      <c r="Q379" s="18" t="s">
        <v>128</v>
      </c>
      <c r="R379" s="10" t="s">
        <v>133</v>
      </c>
      <c r="S379" s="10" t="s">
        <v>2980</v>
      </c>
      <c r="T379" s="10" t="s">
        <v>151</v>
      </c>
      <c r="U379" s="10">
        <v>3042210778</v>
      </c>
      <c r="V379" s="10">
        <v>3042210778</v>
      </c>
      <c r="W379" s="10" t="s">
        <v>2981</v>
      </c>
      <c r="X379" s="10" t="s">
        <v>136</v>
      </c>
      <c r="Y379" s="10" t="s">
        <v>206</v>
      </c>
      <c r="Z379" s="10" t="s">
        <v>216</v>
      </c>
      <c r="AA379" s="24"/>
      <c r="AB379" s="24"/>
      <c r="AC379" s="13">
        <v>45336</v>
      </c>
      <c r="AD379" s="24"/>
    </row>
    <row r="380" spans="1:30" ht="15.75" customHeight="1" x14ac:dyDescent="0.25">
      <c r="A380" s="10" t="s">
        <v>77</v>
      </c>
      <c r="B380" s="10" t="s">
        <v>90</v>
      </c>
      <c r="C380" s="10" t="s">
        <v>175</v>
      </c>
      <c r="D380" s="10" t="s">
        <v>92</v>
      </c>
      <c r="E380" s="10">
        <v>72002479</v>
      </c>
      <c r="F380" s="23" t="s">
        <v>306</v>
      </c>
      <c r="G380" s="10" t="s">
        <v>18</v>
      </c>
      <c r="H380" s="10" t="s">
        <v>1226</v>
      </c>
      <c r="I380" s="13">
        <v>45831</v>
      </c>
      <c r="J380" s="10" t="str">
        <f t="shared" ca="1" si="37"/>
        <v xml:space="preserve">1  Años, 2  Mes, 3 Dias </v>
      </c>
      <c r="K380" s="10" t="s">
        <v>113</v>
      </c>
      <c r="L380" s="19"/>
      <c r="M380" s="19" t="str">
        <f t="shared" ca="1" si="54"/>
        <v/>
      </c>
      <c r="N380" s="10" t="s">
        <v>120</v>
      </c>
      <c r="O380" s="10" t="s">
        <v>122</v>
      </c>
      <c r="P380" s="18" t="s">
        <v>124</v>
      </c>
      <c r="Q380" s="18" t="s">
        <v>128</v>
      </c>
      <c r="R380" s="10" t="s">
        <v>133</v>
      </c>
      <c r="S380" s="10" t="s">
        <v>1229</v>
      </c>
      <c r="T380" s="10" t="s">
        <v>136</v>
      </c>
      <c r="U380" s="10">
        <v>3023023389</v>
      </c>
      <c r="V380" s="19"/>
      <c r="W380" s="10" t="s">
        <v>1230</v>
      </c>
      <c r="X380" s="10" t="s">
        <v>136</v>
      </c>
      <c r="Y380" s="10" t="s">
        <v>206</v>
      </c>
      <c r="Z380" s="10" t="s">
        <v>170</v>
      </c>
      <c r="AA380" s="24"/>
      <c r="AB380" s="24"/>
      <c r="AC380" s="24"/>
      <c r="AD380" s="10" t="s">
        <v>209</v>
      </c>
    </row>
    <row r="381" spans="1:30" ht="15.75" customHeight="1" x14ac:dyDescent="0.25">
      <c r="A381" s="10" t="s">
        <v>77</v>
      </c>
      <c r="B381" s="10" t="s">
        <v>86</v>
      </c>
      <c r="C381" s="10" t="s">
        <v>91</v>
      </c>
      <c r="D381" s="10" t="s">
        <v>92</v>
      </c>
      <c r="E381" s="12">
        <v>1001911672</v>
      </c>
      <c r="F381" s="15" t="s">
        <v>2982</v>
      </c>
      <c r="G381" s="12" t="s">
        <v>26</v>
      </c>
      <c r="H381" s="12" t="s">
        <v>2983</v>
      </c>
      <c r="I381" s="16">
        <v>45772</v>
      </c>
      <c r="J381" s="10" t="str">
        <f t="shared" ca="1" si="37"/>
        <v xml:space="preserve">1  Años, 4  Mes, 1 Dias </v>
      </c>
      <c r="K381" s="12" t="s">
        <v>113</v>
      </c>
      <c r="L381" s="16">
        <v>33264</v>
      </c>
      <c r="M381" s="10">
        <f t="shared" ca="1" si="54"/>
        <v>35</v>
      </c>
      <c r="N381" s="10" t="s">
        <v>120</v>
      </c>
      <c r="O381" s="10" t="s">
        <v>122</v>
      </c>
      <c r="P381" s="18" t="s">
        <v>142</v>
      </c>
      <c r="Q381" s="18" t="s">
        <v>128</v>
      </c>
      <c r="R381" s="10" t="s">
        <v>133</v>
      </c>
      <c r="S381" s="12" t="s">
        <v>2984</v>
      </c>
      <c r="T381" s="12" t="s">
        <v>136</v>
      </c>
      <c r="U381" s="12">
        <v>3246086513</v>
      </c>
      <c r="V381" s="5"/>
      <c r="W381" s="12" t="s">
        <v>2985</v>
      </c>
      <c r="X381" s="12" t="s">
        <v>136</v>
      </c>
      <c r="Y381" s="12" t="s">
        <v>1312</v>
      </c>
      <c r="Z381" s="12" t="s">
        <v>288</v>
      </c>
      <c r="AA381" s="20"/>
      <c r="AB381" s="20"/>
      <c r="AC381" s="20"/>
      <c r="AD381" s="10" t="s">
        <v>209</v>
      </c>
    </row>
    <row r="382" spans="1:30" ht="15.75" customHeight="1" x14ac:dyDescent="0.25">
      <c r="A382" s="10" t="s">
        <v>77</v>
      </c>
      <c r="B382" s="10" t="s">
        <v>86</v>
      </c>
      <c r="C382" s="10" t="s">
        <v>91</v>
      </c>
      <c r="D382" s="10" t="s">
        <v>92</v>
      </c>
      <c r="E382" s="10">
        <v>1044632791</v>
      </c>
      <c r="F382" s="23" t="s">
        <v>317</v>
      </c>
      <c r="G382" s="10" t="s">
        <v>18</v>
      </c>
      <c r="H382" s="10" t="s">
        <v>2986</v>
      </c>
      <c r="I382" s="13">
        <v>45093</v>
      </c>
      <c r="J382" s="10" t="str">
        <f t="shared" ca="1" si="37"/>
        <v xml:space="preserve">3  Años, 2  Mes, 10 Dias </v>
      </c>
      <c r="K382" s="10" t="s">
        <v>113</v>
      </c>
      <c r="L382" s="19"/>
      <c r="M382" s="19" t="str">
        <f t="shared" ca="1" si="54"/>
        <v/>
      </c>
      <c r="N382" s="10" t="s">
        <v>120</v>
      </c>
      <c r="O382" s="10" t="s">
        <v>122</v>
      </c>
      <c r="P382" s="18" t="s">
        <v>124</v>
      </c>
      <c r="Q382" s="18" t="s">
        <v>128</v>
      </c>
      <c r="R382" s="10" t="s">
        <v>133</v>
      </c>
      <c r="S382" s="10" t="s">
        <v>2987</v>
      </c>
      <c r="T382" s="10" t="s">
        <v>136</v>
      </c>
      <c r="U382" s="10">
        <v>3225989442</v>
      </c>
      <c r="V382" s="19"/>
      <c r="W382" s="10" t="s">
        <v>2988</v>
      </c>
      <c r="X382" s="10" t="s">
        <v>136</v>
      </c>
      <c r="Y382" s="10" t="s">
        <v>1299</v>
      </c>
      <c r="Z382" s="10" t="s">
        <v>216</v>
      </c>
      <c r="AA382" s="24"/>
      <c r="AB382" s="24"/>
      <c r="AC382" s="13">
        <v>45440</v>
      </c>
      <c r="AD382" s="24"/>
    </row>
    <row r="383" spans="1:30" ht="15.75" customHeight="1" x14ac:dyDescent="0.25">
      <c r="A383" s="10" t="s">
        <v>77</v>
      </c>
      <c r="B383" s="10" t="s">
        <v>90</v>
      </c>
      <c r="C383" s="10" t="s">
        <v>175</v>
      </c>
      <c r="D383" s="10" t="s">
        <v>92</v>
      </c>
      <c r="E383" s="12">
        <v>72099246</v>
      </c>
      <c r="F383" s="23" t="s">
        <v>329</v>
      </c>
      <c r="G383" s="10" t="s">
        <v>26</v>
      </c>
      <c r="H383" s="12" t="s">
        <v>1790</v>
      </c>
      <c r="I383" s="13">
        <v>45831</v>
      </c>
      <c r="J383" s="10" t="str">
        <f t="shared" ca="1" si="37"/>
        <v xml:space="preserve">1  Años, 2  Mes, 3 Dias </v>
      </c>
      <c r="K383" s="12" t="s">
        <v>113</v>
      </c>
      <c r="L383" s="16">
        <v>30210</v>
      </c>
      <c r="M383" s="10">
        <f t="shared" ca="1" si="54"/>
        <v>43</v>
      </c>
      <c r="N383" s="10" t="s">
        <v>120</v>
      </c>
      <c r="O383" s="10" t="s">
        <v>236</v>
      </c>
      <c r="P383" s="18" t="s">
        <v>124</v>
      </c>
      <c r="Q383" s="18" t="s">
        <v>128</v>
      </c>
      <c r="R383" s="10" t="s">
        <v>133</v>
      </c>
      <c r="S383" s="12" t="s">
        <v>2081</v>
      </c>
      <c r="T383" s="12" t="s">
        <v>587</v>
      </c>
      <c r="U383" s="12">
        <v>3114155520</v>
      </c>
      <c r="V383" s="5"/>
      <c r="W383" s="12" t="s">
        <v>2083</v>
      </c>
      <c r="X383" s="12" t="s">
        <v>136</v>
      </c>
      <c r="Y383" s="12" t="s">
        <v>203</v>
      </c>
      <c r="Z383" s="12" t="s">
        <v>288</v>
      </c>
      <c r="AA383" s="20"/>
      <c r="AB383" s="20"/>
      <c r="AC383" s="20"/>
      <c r="AD383" s="13" t="s">
        <v>209</v>
      </c>
    </row>
    <row r="384" spans="1:30" ht="15.75" customHeight="1" x14ac:dyDescent="0.25">
      <c r="A384" s="10" t="s">
        <v>77</v>
      </c>
      <c r="B384" s="10" t="s">
        <v>90</v>
      </c>
      <c r="C384" s="10" t="s">
        <v>175</v>
      </c>
      <c r="D384" s="10" t="s">
        <v>92</v>
      </c>
      <c r="E384" s="10">
        <v>72051374</v>
      </c>
      <c r="F384" s="23" t="s">
        <v>1234</v>
      </c>
      <c r="G384" s="10" t="s">
        <v>18</v>
      </c>
      <c r="H384" s="125" t="s">
        <v>1235</v>
      </c>
      <c r="I384" s="13">
        <v>45831</v>
      </c>
      <c r="J384" s="10" t="str">
        <f t="shared" ca="1" si="37"/>
        <v xml:space="preserve">1  Años, 2  Mes, 3 Dias </v>
      </c>
      <c r="K384" s="10" t="s">
        <v>113</v>
      </c>
      <c r="L384" s="19"/>
      <c r="M384" s="19"/>
      <c r="N384" s="10" t="s">
        <v>120</v>
      </c>
      <c r="O384" s="10" t="s">
        <v>122</v>
      </c>
      <c r="P384" s="18" t="s">
        <v>142</v>
      </c>
      <c r="Q384" s="18" t="s">
        <v>128</v>
      </c>
      <c r="R384" s="10" t="s">
        <v>133</v>
      </c>
      <c r="S384" s="10" t="s">
        <v>1237</v>
      </c>
      <c r="T384" s="10" t="s">
        <v>136</v>
      </c>
      <c r="U384" s="10">
        <v>3004933897</v>
      </c>
      <c r="V384" s="19"/>
      <c r="W384" s="40" t="s">
        <v>1238</v>
      </c>
      <c r="X384" s="10" t="s">
        <v>136</v>
      </c>
      <c r="Y384" s="10" t="s">
        <v>155</v>
      </c>
      <c r="Z384" s="10" t="s">
        <v>170</v>
      </c>
      <c r="AA384" s="19"/>
      <c r="AB384" s="19"/>
      <c r="AC384" s="19"/>
      <c r="AD384" s="10" t="s">
        <v>209</v>
      </c>
    </row>
    <row r="385" spans="1:30" ht="15.75" customHeight="1" x14ac:dyDescent="0.25">
      <c r="A385" s="10" t="s">
        <v>77</v>
      </c>
      <c r="B385" s="10" t="s">
        <v>86</v>
      </c>
      <c r="C385" s="10" t="s">
        <v>91</v>
      </c>
      <c r="D385" s="12" t="s">
        <v>92</v>
      </c>
      <c r="E385" s="12">
        <v>72257879</v>
      </c>
      <c r="F385" s="15" t="s">
        <v>2989</v>
      </c>
      <c r="G385" s="10" t="s">
        <v>26</v>
      </c>
      <c r="H385" s="12" t="s">
        <v>2990</v>
      </c>
      <c r="I385" s="16">
        <v>45680</v>
      </c>
      <c r="J385" s="10" t="str">
        <f t="shared" ca="1" si="37"/>
        <v xml:space="preserve">1  Años, 7  Mes, 3 Dias </v>
      </c>
      <c r="K385" s="12" t="s">
        <v>113</v>
      </c>
      <c r="L385" s="5"/>
      <c r="M385" s="12">
        <v>44</v>
      </c>
      <c r="N385" s="10" t="s">
        <v>120</v>
      </c>
      <c r="O385" s="10" t="s">
        <v>122</v>
      </c>
      <c r="P385" s="18" t="s">
        <v>124</v>
      </c>
      <c r="Q385" s="18" t="s">
        <v>128</v>
      </c>
      <c r="R385" s="12" t="s">
        <v>133</v>
      </c>
      <c r="S385" s="12" t="s">
        <v>2991</v>
      </c>
      <c r="T385" s="12" t="s">
        <v>136</v>
      </c>
      <c r="U385" s="12">
        <v>3015318908</v>
      </c>
      <c r="V385" s="5"/>
      <c r="W385" s="12" t="s">
        <v>2992</v>
      </c>
      <c r="X385" s="12" t="s">
        <v>136</v>
      </c>
      <c r="Y385" s="12" t="s">
        <v>605</v>
      </c>
      <c r="Z385" s="12" t="s">
        <v>170</v>
      </c>
      <c r="AA385" s="20"/>
      <c r="AB385" s="20"/>
      <c r="AC385" s="16">
        <v>45743</v>
      </c>
      <c r="AD385" s="10" t="s">
        <v>148</v>
      </c>
    </row>
    <row r="386" spans="1:30" ht="15.75" customHeight="1" x14ac:dyDescent="0.25">
      <c r="A386" s="10" t="s">
        <v>77</v>
      </c>
      <c r="B386" s="10" t="s">
        <v>86</v>
      </c>
      <c r="C386" s="10" t="s">
        <v>91</v>
      </c>
      <c r="D386" s="10" t="s">
        <v>92</v>
      </c>
      <c r="E386" s="10">
        <v>8778849</v>
      </c>
      <c r="F386" s="23" t="s">
        <v>311</v>
      </c>
      <c r="G386" s="10" t="s">
        <v>11</v>
      </c>
      <c r="H386" s="54" t="s">
        <v>2993</v>
      </c>
      <c r="I386" s="13">
        <v>45155</v>
      </c>
      <c r="J386" s="10" t="str">
        <f t="shared" ca="1" si="37"/>
        <v xml:space="preserve">3  Años, 0  Mes, 9 Dias </v>
      </c>
      <c r="K386" s="10" t="s">
        <v>113</v>
      </c>
      <c r="L386" s="19"/>
      <c r="M386" s="19" t="str">
        <f t="shared" ref="M386:M387" ca="1" si="55">IF(L386=0,"", DATEDIF(L386,TODAY(),"y"))</f>
        <v/>
      </c>
      <c r="N386" s="10" t="s">
        <v>120</v>
      </c>
      <c r="O386" s="10" t="s">
        <v>236</v>
      </c>
      <c r="P386" s="18" t="s">
        <v>124</v>
      </c>
      <c r="Q386" s="18" t="s">
        <v>128</v>
      </c>
      <c r="R386" s="10" t="s">
        <v>133</v>
      </c>
      <c r="S386" s="10" t="s">
        <v>2994</v>
      </c>
      <c r="T386" s="10" t="s">
        <v>136</v>
      </c>
      <c r="U386" s="10">
        <v>3011832948</v>
      </c>
      <c r="V386" s="10">
        <v>3011832948</v>
      </c>
      <c r="W386" s="10" t="s">
        <v>2995</v>
      </c>
      <c r="X386" s="10" t="s">
        <v>136</v>
      </c>
      <c r="Y386" s="10" t="s">
        <v>169</v>
      </c>
      <c r="Z386" s="10" t="s">
        <v>170</v>
      </c>
      <c r="AA386" s="63"/>
      <c r="AB386" s="63"/>
      <c r="AC386" s="30">
        <v>45630</v>
      </c>
      <c r="AD386" s="63"/>
    </row>
    <row r="387" spans="1:30" ht="15.75" customHeight="1" x14ac:dyDescent="0.25">
      <c r="A387" s="10" t="s">
        <v>77</v>
      </c>
      <c r="B387" s="10" t="s">
        <v>86</v>
      </c>
      <c r="C387" s="10" t="s">
        <v>91</v>
      </c>
      <c r="D387" s="10" t="s">
        <v>92</v>
      </c>
      <c r="E387" s="10">
        <v>1042426324</v>
      </c>
      <c r="F387" s="23" t="s">
        <v>309</v>
      </c>
      <c r="G387" s="10" t="s">
        <v>18</v>
      </c>
      <c r="H387" s="10" t="s">
        <v>2996</v>
      </c>
      <c r="I387" s="39">
        <v>44843</v>
      </c>
      <c r="J387" s="10" t="str">
        <f t="shared" ca="1" si="37"/>
        <v xml:space="preserve">3  Años, 10  Mes, 17 Dias </v>
      </c>
      <c r="K387" s="10" t="s">
        <v>113</v>
      </c>
      <c r="L387" s="24"/>
      <c r="M387" s="19" t="str">
        <f t="shared" ca="1" si="55"/>
        <v/>
      </c>
      <c r="N387" s="10" t="s">
        <v>120</v>
      </c>
      <c r="O387" s="10" t="s">
        <v>122</v>
      </c>
      <c r="P387" s="18" t="s">
        <v>142</v>
      </c>
      <c r="Q387" s="18" t="s">
        <v>128</v>
      </c>
      <c r="R387" s="10" t="s">
        <v>133</v>
      </c>
      <c r="S387" s="10" t="s">
        <v>2997</v>
      </c>
      <c r="T387" s="10" t="s">
        <v>136</v>
      </c>
      <c r="U387" s="10">
        <v>3006051039</v>
      </c>
      <c r="V387" s="19"/>
      <c r="W387" s="10" t="s">
        <v>2998</v>
      </c>
      <c r="X387" s="10" t="s">
        <v>136</v>
      </c>
      <c r="Y387" s="10" t="s">
        <v>253</v>
      </c>
      <c r="Z387" s="10" t="s">
        <v>255</v>
      </c>
      <c r="AA387" s="24"/>
      <c r="AB387" s="24"/>
      <c r="AC387" s="13">
        <v>45293</v>
      </c>
      <c r="AD387" s="24"/>
    </row>
    <row r="388" spans="1:30" ht="15.75" customHeight="1" x14ac:dyDescent="0.25">
      <c r="A388" s="10" t="s">
        <v>77</v>
      </c>
      <c r="B388" s="10" t="s">
        <v>90</v>
      </c>
      <c r="C388" s="10" t="s">
        <v>175</v>
      </c>
      <c r="D388" s="10" t="s">
        <v>92</v>
      </c>
      <c r="E388" s="12">
        <v>1044632791</v>
      </c>
      <c r="F388" s="23" t="s">
        <v>317</v>
      </c>
      <c r="G388" s="10" t="s">
        <v>18</v>
      </c>
      <c r="H388" s="95" t="s">
        <v>1446</v>
      </c>
      <c r="I388" s="13">
        <v>45831</v>
      </c>
      <c r="J388" s="10" t="str">
        <f t="shared" ca="1" si="37"/>
        <v xml:space="preserve">1  Años, 2  Mes, 3 Dias </v>
      </c>
      <c r="K388" s="12" t="s">
        <v>113</v>
      </c>
      <c r="L388" s="16">
        <v>36797</v>
      </c>
      <c r="M388" s="10">
        <v>24</v>
      </c>
      <c r="N388" s="10" t="s">
        <v>120</v>
      </c>
      <c r="O388" s="10" t="s">
        <v>122</v>
      </c>
      <c r="P388" s="18" t="s">
        <v>124</v>
      </c>
      <c r="Q388" s="18" t="s">
        <v>128</v>
      </c>
      <c r="R388" s="10" t="s">
        <v>133</v>
      </c>
      <c r="S388" s="12" t="s">
        <v>1450</v>
      </c>
      <c r="T388" s="12" t="s">
        <v>136</v>
      </c>
      <c r="U388" s="12">
        <v>3043651958</v>
      </c>
      <c r="V388" s="5"/>
      <c r="W388" s="12" t="s">
        <v>1452</v>
      </c>
      <c r="X388" s="12" t="s">
        <v>136</v>
      </c>
      <c r="Y388" s="5"/>
      <c r="Z388" s="12" t="s">
        <v>72</v>
      </c>
      <c r="AA388" s="31"/>
      <c r="AB388" s="31"/>
      <c r="AC388" s="31"/>
      <c r="AD388" s="30" t="s">
        <v>209</v>
      </c>
    </row>
    <row r="389" spans="1:30" ht="15.75" customHeight="1" x14ac:dyDescent="0.25">
      <c r="A389" s="10" t="s">
        <v>77</v>
      </c>
      <c r="B389" s="10" t="s">
        <v>90</v>
      </c>
      <c r="C389" s="10" t="s">
        <v>175</v>
      </c>
      <c r="D389" s="10" t="s">
        <v>92</v>
      </c>
      <c r="E389" s="10">
        <v>1042417389</v>
      </c>
      <c r="F389" s="23" t="s">
        <v>316</v>
      </c>
      <c r="G389" s="10" t="s">
        <v>11</v>
      </c>
      <c r="H389" s="10" t="s">
        <v>1247</v>
      </c>
      <c r="I389" s="13">
        <v>45831</v>
      </c>
      <c r="J389" s="10" t="str">
        <f t="shared" ca="1" si="37"/>
        <v xml:space="preserve">1  Años, 2  Mes, 3 Dias </v>
      </c>
      <c r="K389" s="10" t="s">
        <v>113</v>
      </c>
      <c r="L389" s="19"/>
      <c r="M389" s="19" t="str">
        <f t="shared" ref="M389:M393" ca="1" si="56">IF(L389=0,"", DATEDIF(L389,TODAY(),"y"))</f>
        <v/>
      </c>
      <c r="N389" s="10" t="s">
        <v>120</v>
      </c>
      <c r="O389" s="10" t="s">
        <v>236</v>
      </c>
      <c r="P389" s="18" t="s">
        <v>124</v>
      </c>
      <c r="Q389" s="18" t="s">
        <v>128</v>
      </c>
      <c r="R389" s="10" t="s">
        <v>133</v>
      </c>
      <c r="S389" s="10" t="s">
        <v>1250</v>
      </c>
      <c r="T389" s="10" t="s">
        <v>136</v>
      </c>
      <c r="U389" s="10">
        <v>3014843725</v>
      </c>
      <c r="V389" s="19"/>
      <c r="W389" s="10" t="s">
        <v>1251</v>
      </c>
      <c r="X389" s="10" t="s">
        <v>136</v>
      </c>
      <c r="Y389" s="10" t="s">
        <v>206</v>
      </c>
      <c r="Z389" s="10" t="s">
        <v>170</v>
      </c>
      <c r="AA389" s="24"/>
      <c r="AB389" s="24"/>
      <c r="AC389" s="13">
        <v>45362</v>
      </c>
      <c r="AD389" s="10" t="s">
        <v>209</v>
      </c>
    </row>
    <row r="390" spans="1:30" ht="15.75" customHeight="1" x14ac:dyDescent="0.25">
      <c r="A390" s="10" t="s">
        <v>77</v>
      </c>
      <c r="B390" s="10" t="s">
        <v>86</v>
      </c>
      <c r="C390" s="10" t="s">
        <v>91</v>
      </c>
      <c r="D390" s="10" t="s">
        <v>92</v>
      </c>
      <c r="E390" s="10">
        <v>8766733</v>
      </c>
      <c r="F390" s="23" t="s">
        <v>94</v>
      </c>
      <c r="G390" s="10" t="s">
        <v>11</v>
      </c>
      <c r="H390" s="10" t="s">
        <v>2999</v>
      </c>
      <c r="I390" s="13">
        <v>44843</v>
      </c>
      <c r="J390" s="10" t="str">
        <f t="shared" ca="1" si="37"/>
        <v xml:space="preserve">3  Años, 10  Mes, 17 Dias </v>
      </c>
      <c r="K390" s="10" t="s">
        <v>113</v>
      </c>
      <c r="L390" s="19"/>
      <c r="M390" s="19" t="str">
        <f t="shared" ca="1" si="56"/>
        <v/>
      </c>
      <c r="N390" s="10" t="s">
        <v>120</v>
      </c>
      <c r="O390" s="10" t="s">
        <v>122</v>
      </c>
      <c r="P390" s="18" t="s">
        <v>142</v>
      </c>
      <c r="Q390" s="18" t="s">
        <v>128</v>
      </c>
      <c r="R390" s="10" t="s">
        <v>133</v>
      </c>
      <c r="S390" s="10" t="s">
        <v>3000</v>
      </c>
      <c r="T390" s="10" t="s">
        <v>136</v>
      </c>
      <c r="U390" s="10">
        <v>3122185728</v>
      </c>
      <c r="V390" s="19"/>
      <c r="W390" s="10" t="s">
        <v>845</v>
      </c>
      <c r="X390" s="10" t="s">
        <v>136</v>
      </c>
      <c r="Y390" s="10" t="s">
        <v>206</v>
      </c>
      <c r="Z390" s="10" t="s">
        <v>216</v>
      </c>
      <c r="AA390" s="24"/>
      <c r="AB390" s="24"/>
      <c r="AC390" s="13">
        <v>45830</v>
      </c>
      <c r="AD390" s="10" t="s">
        <v>209</v>
      </c>
    </row>
    <row r="391" spans="1:30" ht="15.75" customHeight="1" x14ac:dyDescent="0.25">
      <c r="A391" s="10" t="s">
        <v>77</v>
      </c>
      <c r="B391" s="10" t="s">
        <v>86</v>
      </c>
      <c r="C391" s="10" t="s">
        <v>91</v>
      </c>
      <c r="D391" s="10" t="s">
        <v>92</v>
      </c>
      <c r="E391" s="10">
        <v>72205039</v>
      </c>
      <c r="F391" s="23" t="s">
        <v>378</v>
      </c>
      <c r="G391" s="10" t="s">
        <v>11</v>
      </c>
      <c r="H391" s="10" t="s">
        <v>3001</v>
      </c>
      <c r="I391" s="13">
        <v>44843</v>
      </c>
      <c r="J391" s="10" t="str">
        <f t="shared" ca="1" si="37"/>
        <v xml:space="preserve">3  Años, 10  Mes, 17 Dias </v>
      </c>
      <c r="K391" s="10" t="s">
        <v>113</v>
      </c>
      <c r="L391" s="19"/>
      <c r="M391" s="19" t="str">
        <f t="shared" ca="1" si="56"/>
        <v/>
      </c>
      <c r="N391" s="10" t="s">
        <v>120</v>
      </c>
      <c r="O391" s="10" t="s">
        <v>122</v>
      </c>
      <c r="P391" s="18" t="s">
        <v>142</v>
      </c>
      <c r="Q391" s="18" t="s">
        <v>128</v>
      </c>
      <c r="R391" s="10" t="s">
        <v>133</v>
      </c>
      <c r="S391" s="10" t="s">
        <v>3002</v>
      </c>
      <c r="T391" s="10" t="s">
        <v>136</v>
      </c>
      <c r="U391" s="10">
        <v>3024388437</v>
      </c>
      <c r="V391" s="19"/>
      <c r="W391" s="10" t="s">
        <v>845</v>
      </c>
      <c r="X391" s="10" t="s">
        <v>136</v>
      </c>
      <c r="Y391" s="10" t="s">
        <v>203</v>
      </c>
      <c r="Z391" s="10" t="s">
        <v>216</v>
      </c>
      <c r="AA391" s="33"/>
      <c r="AB391" s="33"/>
      <c r="AC391" s="35">
        <v>44896</v>
      </c>
      <c r="AD391" s="24"/>
    </row>
    <row r="392" spans="1:30" ht="15.75" customHeight="1" x14ac:dyDescent="0.25">
      <c r="A392" s="10" t="s">
        <v>77</v>
      </c>
      <c r="B392" s="10" t="s">
        <v>86</v>
      </c>
      <c r="C392" s="10" t="s">
        <v>91</v>
      </c>
      <c r="D392" s="10" t="s">
        <v>92</v>
      </c>
      <c r="E392" s="12">
        <v>1043021559</v>
      </c>
      <c r="F392" s="15" t="s">
        <v>517</v>
      </c>
      <c r="G392" s="10" t="s">
        <v>26</v>
      </c>
      <c r="H392" s="19"/>
      <c r="I392" s="16">
        <v>45883</v>
      </c>
      <c r="J392" s="10" t="str">
        <f t="shared" ca="1" si="37"/>
        <v xml:space="preserve">1  Años, 0  Mes, 12 Dias </v>
      </c>
      <c r="K392" s="12" t="s">
        <v>113</v>
      </c>
      <c r="L392" s="16">
        <v>35227</v>
      </c>
      <c r="M392" s="10">
        <f t="shared" ca="1" si="56"/>
        <v>30</v>
      </c>
      <c r="N392" s="10" t="s">
        <v>120</v>
      </c>
      <c r="O392" s="10" t="s">
        <v>277</v>
      </c>
      <c r="P392" s="5"/>
      <c r="Q392" s="18" t="s">
        <v>128</v>
      </c>
      <c r="R392" s="10" t="s">
        <v>133</v>
      </c>
      <c r="S392" s="5"/>
      <c r="T392" s="12" t="s">
        <v>195</v>
      </c>
      <c r="U392" s="12">
        <v>3232924546</v>
      </c>
      <c r="V392" s="5"/>
      <c r="W392" s="5"/>
      <c r="X392" s="10" t="s">
        <v>136</v>
      </c>
      <c r="Y392" s="5"/>
      <c r="Z392" s="5"/>
      <c r="AA392" s="47"/>
      <c r="AB392" s="5"/>
      <c r="AC392" s="16">
        <v>45885</v>
      </c>
      <c r="AD392" s="10" t="s">
        <v>209</v>
      </c>
    </row>
    <row r="393" spans="1:30" ht="15.75" customHeight="1" x14ac:dyDescent="0.25">
      <c r="A393" s="10" t="s">
        <v>160</v>
      </c>
      <c r="B393" s="10" t="s">
        <v>86</v>
      </c>
      <c r="C393" s="10" t="s">
        <v>91</v>
      </c>
      <c r="D393" s="10" t="s">
        <v>92</v>
      </c>
      <c r="E393" s="10">
        <v>1140859513</v>
      </c>
      <c r="F393" s="23" t="s">
        <v>3003</v>
      </c>
      <c r="G393" s="10" t="s">
        <v>754</v>
      </c>
      <c r="H393" s="10" t="s">
        <v>3004</v>
      </c>
      <c r="I393" s="30">
        <v>45253</v>
      </c>
      <c r="J393" s="10" t="str">
        <f t="shared" ca="1" si="37"/>
        <v xml:space="preserve">2  Años, 9  Mes, 3 Dias </v>
      </c>
      <c r="K393" s="10" t="s">
        <v>113</v>
      </c>
      <c r="L393" s="108"/>
      <c r="M393" s="19" t="str">
        <f t="shared" ca="1" si="56"/>
        <v/>
      </c>
      <c r="N393" s="10" t="s">
        <v>320</v>
      </c>
      <c r="O393" s="10" t="s">
        <v>122</v>
      </c>
      <c r="P393" s="18" t="s">
        <v>142</v>
      </c>
      <c r="Q393" s="18" t="s">
        <v>128</v>
      </c>
      <c r="R393" s="10" t="s">
        <v>133</v>
      </c>
      <c r="S393" s="10" t="s">
        <v>3005</v>
      </c>
      <c r="T393" s="10" t="s">
        <v>136</v>
      </c>
      <c r="U393" s="10">
        <v>3004724537</v>
      </c>
      <c r="V393" s="19"/>
      <c r="W393" s="10" t="s">
        <v>3006</v>
      </c>
      <c r="X393" s="10" t="s">
        <v>136</v>
      </c>
      <c r="Y393" s="10" t="s">
        <v>253</v>
      </c>
      <c r="Z393" s="10" t="s">
        <v>170</v>
      </c>
      <c r="AA393" s="63"/>
      <c r="AB393" s="63"/>
      <c r="AC393" s="30">
        <v>45657</v>
      </c>
      <c r="AD393" s="63"/>
    </row>
    <row r="394" spans="1:30" ht="15.75" customHeight="1" x14ac:dyDescent="0.25">
      <c r="A394" s="10" t="s">
        <v>77</v>
      </c>
      <c r="B394" s="10" t="s">
        <v>90</v>
      </c>
      <c r="C394" s="10" t="s">
        <v>175</v>
      </c>
      <c r="D394" s="10" t="s">
        <v>92</v>
      </c>
      <c r="E394" s="10">
        <v>72225853</v>
      </c>
      <c r="F394" s="23" t="s">
        <v>1077</v>
      </c>
      <c r="G394" s="10" t="s">
        <v>26</v>
      </c>
      <c r="H394" s="10" t="s">
        <v>1078</v>
      </c>
      <c r="I394" s="13">
        <v>45831</v>
      </c>
      <c r="J394" s="10" t="str">
        <f t="shared" ca="1" si="37"/>
        <v xml:space="preserve">1  Años, 2  Mes, 3 Dias </v>
      </c>
      <c r="K394" s="10" t="s">
        <v>113</v>
      </c>
      <c r="L394" s="19"/>
      <c r="M394" s="19"/>
      <c r="N394" s="10" t="s">
        <v>120</v>
      </c>
      <c r="O394" s="10" t="s">
        <v>122</v>
      </c>
      <c r="P394" s="18" t="s">
        <v>124</v>
      </c>
      <c r="Q394" s="18" t="s">
        <v>128</v>
      </c>
      <c r="R394" s="10" t="s">
        <v>133</v>
      </c>
      <c r="S394" s="10" t="s">
        <v>1083</v>
      </c>
      <c r="T394" s="10" t="s">
        <v>136</v>
      </c>
      <c r="U394" s="10">
        <v>3233940448</v>
      </c>
      <c r="V394" s="19"/>
      <c r="W394" s="40" t="s">
        <v>1084</v>
      </c>
      <c r="X394" s="10" t="s">
        <v>136</v>
      </c>
      <c r="Y394" s="10" t="s">
        <v>605</v>
      </c>
      <c r="Z394" s="10" t="s">
        <v>288</v>
      </c>
      <c r="AA394" s="63"/>
      <c r="AB394" s="63"/>
      <c r="AC394" s="63"/>
      <c r="AD394" s="30" t="s">
        <v>209</v>
      </c>
    </row>
    <row r="395" spans="1:30" ht="15.75" customHeight="1" x14ac:dyDescent="0.25">
      <c r="A395" s="10" t="s">
        <v>77</v>
      </c>
      <c r="B395" s="10" t="s">
        <v>90</v>
      </c>
      <c r="C395" s="10" t="s">
        <v>175</v>
      </c>
      <c r="D395" s="10" t="s">
        <v>92</v>
      </c>
      <c r="E395" s="12">
        <v>72205039</v>
      </c>
      <c r="F395" s="15" t="s">
        <v>378</v>
      </c>
      <c r="G395" s="10" t="s">
        <v>11</v>
      </c>
      <c r="H395" s="19"/>
      <c r="I395" s="16">
        <v>45876</v>
      </c>
      <c r="J395" s="10" t="str">
        <f t="shared" ca="1" si="37"/>
        <v xml:space="preserve">1  Años, 0  Mes, 19 Dias </v>
      </c>
      <c r="K395" s="12" t="s">
        <v>113</v>
      </c>
      <c r="L395" s="16">
        <v>27048</v>
      </c>
      <c r="M395" s="10">
        <f t="shared" ref="M395:M399" ca="1" si="57">IF(L395=0,"", DATEDIF(L395,TODAY(),"y"))</f>
        <v>52</v>
      </c>
      <c r="N395" s="10" t="s">
        <v>120</v>
      </c>
      <c r="O395" s="10" t="s">
        <v>122</v>
      </c>
      <c r="P395" s="5"/>
      <c r="Q395" s="18" t="s">
        <v>128</v>
      </c>
      <c r="R395" s="10" t="s">
        <v>133</v>
      </c>
      <c r="S395" s="12" t="s">
        <v>1260</v>
      </c>
      <c r="T395" s="12" t="s">
        <v>136</v>
      </c>
      <c r="U395" s="12">
        <v>3018131553</v>
      </c>
      <c r="V395" s="5"/>
      <c r="W395" s="5"/>
      <c r="X395" s="10" t="s">
        <v>136</v>
      </c>
      <c r="Y395" s="5"/>
      <c r="Z395" s="5"/>
      <c r="AA395" s="31"/>
      <c r="AB395" s="31"/>
      <c r="AC395" s="31"/>
      <c r="AD395" s="10" t="s">
        <v>209</v>
      </c>
    </row>
    <row r="396" spans="1:30" ht="15.75" customHeight="1" x14ac:dyDescent="0.25">
      <c r="A396" s="10" t="s">
        <v>77</v>
      </c>
      <c r="B396" s="10" t="s">
        <v>86</v>
      </c>
      <c r="C396" s="10" t="s">
        <v>91</v>
      </c>
      <c r="D396" s="10" t="s">
        <v>92</v>
      </c>
      <c r="E396" s="10">
        <v>5054057</v>
      </c>
      <c r="F396" s="23" t="s">
        <v>413</v>
      </c>
      <c r="G396" s="10" t="s">
        <v>11</v>
      </c>
      <c r="H396" s="10" t="s">
        <v>3007</v>
      </c>
      <c r="I396" s="13">
        <v>45142</v>
      </c>
      <c r="J396" s="10" t="str">
        <f t="shared" ca="1" si="37"/>
        <v xml:space="preserve">3  Años, 0  Mes, 22 Dias </v>
      </c>
      <c r="K396" s="10" t="s">
        <v>113</v>
      </c>
      <c r="L396" s="19"/>
      <c r="M396" s="19" t="str">
        <f t="shared" ca="1" si="57"/>
        <v/>
      </c>
      <c r="N396" s="10" t="s">
        <v>120</v>
      </c>
      <c r="O396" s="10" t="s">
        <v>122</v>
      </c>
      <c r="P396" s="18" t="s">
        <v>124</v>
      </c>
      <c r="Q396" s="18" t="s">
        <v>128</v>
      </c>
      <c r="R396" s="10" t="s">
        <v>133</v>
      </c>
      <c r="S396" s="10" t="s">
        <v>3008</v>
      </c>
      <c r="T396" s="10" t="s">
        <v>151</v>
      </c>
      <c r="U396" s="10">
        <v>304231907</v>
      </c>
      <c r="V396" s="10">
        <v>3042312907</v>
      </c>
      <c r="W396" s="10" t="s">
        <v>3009</v>
      </c>
      <c r="X396" s="10" t="s">
        <v>136</v>
      </c>
      <c r="Y396" s="10" t="s">
        <v>203</v>
      </c>
      <c r="Z396" s="10" t="s">
        <v>170</v>
      </c>
      <c r="AA396" s="24"/>
      <c r="AB396" s="24"/>
      <c r="AC396" s="13">
        <v>45362</v>
      </c>
      <c r="AD396" s="24"/>
    </row>
    <row r="397" spans="1:30" ht="15.75" customHeight="1" x14ac:dyDescent="0.25">
      <c r="A397" s="10" t="s">
        <v>77</v>
      </c>
      <c r="B397" s="10" t="s">
        <v>90</v>
      </c>
      <c r="C397" s="10" t="s">
        <v>175</v>
      </c>
      <c r="D397" s="10" t="s">
        <v>92</v>
      </c>
      <c r="E397" s="10">
        <v>8769783</v>
      </c>
      <c r="F397" s="23" t="s">
        <v>589</v>
      </c>
      <c r="G397" s="10" t="s">
        <v>11</v>
      </c>
      <c r="H397" s="10" t="s">
        <v>1267</v>
      </c>
      <c r="I397" s="13">
        <v>45831</v>
      </c>
      <c r="J397" s="10" t="str">
        <f t="shared" ca="1" si="37"/>
        <v xml:space="preserve">1  Años, 2  Mes, 3 Dias </v>
      </c>
      <c r="K397" s="10" t="s">
        <v>113</v>
      </c>
      <c r="L397" s="19"/>
      <c r="M397" s="19" t="str">
        <f t="shared" ca="1" si="57"/>
        <v/>
      </c>
      <c r="N397" s="10" t="s">
        <v>120</v>
      </c>
      <c r="O397" s="10" t="s">
        <v>730</v>
      </c>
      <c r="P397" s="18" t="s">
        <v>124</v>
      </c>
      <c r="Q397" s="18" t="s">
        <v>128</v>
      </c>
      <c r="R397" s="10" t="s">
        <v>133</v>
      </c>
      <c r="S397" s="10" t="s">
        <v>1268</v>
      </c>
      <c r="T397" s="10" t="s">
        <v>136</v>
      </c>
      <c r="U397" s="10">
        <v>3023157061</v>
      </c>
      <c r="V397" s="19"/>
      <c r="W397" s="10" t="s">
        <v>1270</v>
      </c>
      <c r="X397" s="10" t="s">
        <v>136</v>
      </c>
      <c r="Y397" s="10" t="s">
        <v>206</v>
      </c>
      <c r="Z397" s="10" t="s">
        <v>216</v>
      </c>
      <c r="AA397" s="24"/>
      <c r="AB397" s="24"/>
      <c r="AC397" s="24"/>
      <c r="AD397" s="10" t="s">
        <v>209</v>
      </c>
    </row>
    <row r="398" spans="1:30" ht="15.75" customHeight="1" x14ac:dyDescent="0.25">
      <c r="A398" s="10" t="s">
        <v>77</v>
      </c>
      <c r="B398" s="10" t="s">
        <v>90</v>
      </c>
      <c r="C398" s="10" t="s">
        <v>175</v>
      </c>
      <c r="D398" s="10" t="s">
        <v>92</v>
      </c>
      <c r="E398" s="10">
        <v>73268263</v>
      </c>
      <c r="F398" s="43" t="s">
        <v>300</v>
      </c>
      <c r="G398" s="10" t="s">
        <v>11</v>
      </c>
      <c r="H398" s="10" t="s">
        <v>1274</v>
      </c>
      <c r="I398" s="13">
        <v>45831</v>
      </c>
      <c r="J398" s="10" t="str">
        <f t="shared" ca="1" si="37"/>
        <v xml:space="preserve">1  Años, 2  Mes, 3 Dias </v>
      </c>
      <c r="K398" s="10" t="s">
        <v>113</v>
      </c>
      <c r="L398" s="19"/>
      <c r="M398" s="19" t="str">
        <f t="shared" ca="1" si="57"/>
        <v/>
      </c>
      <c r="N398" s="10" t="s">
        <v>120</v>
      </c>
      <c r="O398" s="10" t="s">
        <v>122</v>
      </c>
      <c r="P398" s="18" t="s">
        <v>124</v>
      </c>
      <c r="Q398" s="18" t="s">
        <v>128</v>
      </c>
      <c r="R398" s="10" t="s">
        <v>133</v>
      </c>
      <c r="S398" s="10" t="s">
        <v>1277</v>
      </c>
      <c r="T398" s="10" t="s">
        <v>136</v>
      </c>
      <c r="U398" s="10">
        <v>3229119456</v>
      </c>
      <c r="V398" s="19"/>
      <c r="W398" s="10" t="s">
        <v>1279</v>
      </c>
      <c r="X398" s="10" t="s">
        <v>136</v>
      </c>
      <c r="Y398" s="10" t="s">
        <v>206</v>
      </c>
      <c r="Z398" s="10" t="s">
        <v>216</v>
      </c>
      <c r="AA398" s="24"/>
      <c r="AB398" s="24"/>
      <c r="AC398" s="24"/>
      <c r="AD398" s="10" t="s">
        <v>209</v>
      </c>
    </row>
    <row r="399" spans="1:30" ht="15.75" customHeight="1" x14ac:dyDescent="0.25">
      <c r="A399" s="10" t="s">
        <v>77</v>
      </c>
      <c r="B399" s="10" t="s">
        <v>86</v>
      </c>
      <c r="C399" s="10" t="s">
        <v>91</v>
      </c>
      <c r="D399" s="10" t="s">
        <v>92</v>
      </c>
      <c r="E399" s="10">
        <v>72015908</v>
      </c>
      <c r="F399" s="23" t="s">
        <v>3010</v>
      </c>
      <c r="G399" s="10" t="s">
        <v>11</v>
      </c>
      <c r="H399" s="10" t="s">
        <v>3011</v>
      </c>
      <c r="I399" s="13">
        <v>45302</v>
      </c>
      <c r="J399" s="10" t="str">
        <f t="shared" ca="1" si="37"/>
        <v xml:space="preserve">2  Años, 7  Mes, 15 Dias </v>
      </c>
      <c r="K399" s="10" t="s">
        <v>113</v>
      </c>
      <c r="L399" s="52">
        <v>24925</v>
      </c>
      <c r="M399" s="10">
        <f t="shared" ca="1" si="57"/>
        <v>58</v>
      </c>
      <c r="N399" s="10" t="s">
        <v>120</v>
      </c>
      <c r="O399" s="10" t="s">
        <v>277</v>
      </c>
      <c r="P399" s="18" t="s">
        <v>142</v>
      </c>
      <c r="Q399" s="18" t="s">
        <v>128</v>
      </c>
      <c r="R399" s="10" t="s">
        <v>133</v>
      </c>
      <c r="S399" s="10" t="s">
        <v>3012</v>
      </c>
      <c r="T399" s="10" t="s">
        <v>899</v>
      </c>
      <c r="U399" s="10">
        <v>3014708865</v>
      </c>
      <c r="V399" s="19"/>
      <c r="W399" s="10" t="s">
        <v>3013</v>
      </c>
      <c r="X399" s="10" t="s">
        <v>136</v>
      </c>
      <c r="Y399" s="10" t="s">
        <v>673</v>
      </c>
      <c r="Z399" s="10" t="s">
        <v>170</v>
      </c>
      <c r="AA399" s="24"/>
      <c r="AB399" s="24"/>
      <c r="AC399" s="13">
        <v>45708</v>
      </c>
      <c r="AD399" s="10" t="s">
        <v>1515</v>
      </c>
    </row>
    <row r="400" spans="1:30" ht="15.75" customHeight="1" x14ac:dyDescent="0.25">
      <c r="A400" s="10" t="s">
        <v>160</v>
      </c>
      <c r="B400" s="10" t="s">
        <v>86</v>
      </c>
      <c r="C400" s="10" t="s">
        <v>91</v>
      </c>
      <c r="D400" s="10" t="s">
        <v>92</v>
      </c>
      <c r="E400" s="12">
        <v>114089832</v>
      </c>
      <c r="F400" s="15" t="s">
        <v>3014</v>
      </c>
      <c r="G400" s="12" t="s">
        <v>503</v>
      </c>
      <c r="H400" s="5"/>
      <c r="I400" s="53">
        <v>45614</v>
      </c>
      <c r="J400" s="10" t="str">
        <f t="shared" ca="1" si="37"/>
        <v xml:space="preserve">1  Años, 9  Mes, 8 Dias </v>
      </c>
      <c r="K400" s="10" t="s">
        <v>113</v>
      </c>
      <c r="L400" s="5"/>
      <c r="M400" s="12">
        <v>26</v>
      </c>
      <c r="N400" s="10" t="s">
        <v>320</v>
      </c>
      <c r="O400" s="10" t="s">
        <v>236</v>
      </c>
      <c r="P400" s="18" t="s">
        <v>210</v>
      </c>
      <c r="Q400" s="18" t="s">
        <v>128</v>
      </c>
      <c r="R400" s="12" t="s">
        <v>133</v>
      </c>
      <c r="S400" s="12" t="s">
        <v>3015</v>
      </c>
      <c r="T400" s="12" t="s">
        <v>136</v>
      </c>
      <c r="U400" s="12">
        <v>3005101214</v>
      </c>
      <c r="V400" s="5"/>
      <c r="W400" s="62" t="s">
        <v>3016</v>
      </c>
      <c r="X400" s="12" t="s">
        <v>136</v>
      </c>
      <c r="Y400" s="12" t="s">
        <v>1333</v>
      </c>
      <c r="Z400" s="12" t="s">
        <v>170</v>
      </c>
      <c r="AA400" s="31"/>
      <c r="AB400" s="31"/>
      <c r="AC400" s="53">
        <v>45621</v>
      </c>
      <c r="AD400" s="31"/>
    </row>
    <row r="401" spans="1:30" ht="15.75" customHeight="1" x14ac:dyDescent="0.25">
      <c r="A401" s="10" t="s">
        <v>77</v>
      </c>
      <c r="B401" s="10" t="s">
        <v>86</v>
      </c>
      <c r="C401" s="10" t="s">
        <v>91</v>
      </c>
      <c r="D401" s="10" t="s">
        <v>92</v>
      </c>
      <c r="E401" s="37">
        <v>73317504</v>
      </c>
      <c r="F401" s="38" t="s">
        <v>3017</v>
      </c>
      <c r="G401" s="10" t="s">
        <v>26</v>
      </c>
      <c r="H401" s="10" t="s">
        <v>3018</v>
      </c>
      <c r="I401" s="13">
        <v>45348</v>
      </c>
      <c r="J401" s="10" t="str">
        <f t="shared" ca="1" si="37"/>
        <v xml:space="preserve">2  Años, 6  Mes, 0 Dias </v>
      </c>
      <c r="K401" s="10" t="s">
        <v>113</v>
      </c>
      <c r="L401" s="36">
        <v>29873</v>
      </c>
      <c r="M401" s="10">
        <f t="shared" ref="M401:M402" ca="1" si="58">IF(L401=0,"", DATEDIF(L401,TODAY(),"y"))</f>
        <v>44</v>
      </c>
      <c r="N401" s="10" t="s">
        <v>120</v>
      </c>
      <c r="O401" s="10" t="s">
        <v>122</v>
      </c>
      <c r="P401" s="18" t="s">
        <v>1569</v>
      </c>
      <c r="Q401" s="18" t="s">
        <v>128</v>
      </c>
      <c r="R401" s="10" t="s">
        <v>133</v>
      </c>
      <c r="S401" s="37" t="s">
        <v>3019</v>
      </c>
      <c r="T401" s="10" t="s">
        <v>801</v>
      </c>
      <c r="U401" s="37">
        <v>3145751473</v>
      </c>
      <c r="V401" s="19"/>
      <c r="W401" s="109" t="s">
        <v>3020</v>
      </c>
      <c r="X401" s="10" t="s">
        <v>136</v>
      </c>
      <c r="Y401" s="37" t="s">
        <v>155</v>
      </c>
      <c r="Z401" s="10" t="s">
        <v>170</v>
      </c>
      <c r="AA401" s="33"/>
      <c r="AB401" s="33"/>
      <c r="AC401" s="35">
        <v>45656</v>
      </c>
      <c r="AD401" s="24"/>
    </row>
    <row r="402" spans="1:30" ht="15.75" customHeight="1" x14ac:dyDescent="0.25">
      <c r="A402" s="10" t="s">
        <v>77</v>
      </c>
      <c r="B402" s="10" t="s">
        <v>86</v>
      </c>
      <c r="C402" s="10" t="s">
        <v>91</v>
      </c>
      <c r="D402" s="10" t="s">
        <v>92</v>
      </c>
      <c r="E402" s="10">
        <v>92099726</v>
      </c>
      <c r="F402" s="23" t="s">
        <v>298</v>
      </c>
      <c r="G402" s="10" t="s">
        <v>11</v>
      </c>
      <c r="H402" s="10" t="s">
        <v>3021</v>
      </c>
      <c r="I402" s="13">
        <v>44843</v>
      </c>
      <c r="J402" s="10" t="str">
        <f t="shared" ca="1" si="37"/>
        <v xml:space="preserve">3  Años, 10  Mes, 17 Dias </v>
      </c>
      <c r="K402" s="10" t="s">
        <v>113</v>
      </c>
      <c r="L402" s="19"/>
      <c r="M402" s="19" t="str">
        <f t="shared" ca="1" si="58"/>
        <v/>
      </c>
      <c r="N402" s="10" t="s">
        <v>120</v>
      </c>
      <c r="O402" s="10" t="s">
        <v>122</v>
      </c>
      <c r="P402" s="18" t="s">
        <v>142</v>
      </c>
      <c r="Q402" s="18" t="s">
        <v>128</v>
      </c>
      <c r="R402" s="10" t="s">
        <v>133</v>
      </c>
      <c r="S402" s="10" t="s">
        <v>3022</v>
      </c>
      <c r="T402" s="10" t="s">
        <v>136</v>
      </c>
      <c r="U402" s="10">
        <v>3243406681</v>
      </c>
      <c r="V402" s="19"/>
      <c r="W402" s="10" t="s">
        <v>845</v>
      </c>
      <c r="X402" s="10" t="s">
        <v>136</v>
      </c>
      <c r="Y402" s="10" t="s">
        <v>206</v>
      </c>
      <c r="Z402" s="10" t="s">
        <v>216</v>
      </c>
      <c r="AA402" s="24"/>
      <c r="AB402" s="24"/>
      <c r="AC402" s="13">
        <v>45387</v>
      </c>
      <c r="AD402" s="24"/>
    </row>
    <row r="403" spans="1:30" ht="15.75" customHeight="1" x14ac:dyDescent="0.25">
      <c r="A403" s="10" t="s">
        <v>77</v>
      </c>
      <c r="B403" s="10" t="s">
        <v>86</v>
      </c>
      <c r="C403" s="10" t="s">
        <v>91</v>
      </c>
      <c r="D403" s="10" t="s">
        <v>92</v>
      </c>
      <c r="E403" s="10">
        <v>1001877524</v>
      </c>
      <c r="F403" s="23" t="s">
        <v>3023</v>
      </c>
      <c r="G403" s="10" t="s">
        <v>26</v>
      </c>
      <c r="H403" s="54" t="s">
        <v>3024</v>
      </c>
      <c r="I403" s="13">
        <v>45451</v>
      </c>
      <c r="J403" s="10" t="str">
        <f t="shared" ca="1" si="37"/>
        <v xml:space="preserve">2  Años, 2  Mes, 18 Dias </v>
      </c>
      <c r="K403" s="10" t="s">
        <v>113</v>
      </c>
      <c r="L403" s="19"/>
      <c r="M403" s="19"/>
      <c r="N403" s="10" t="s">
        <v>120</v>
      </c>
      <c r="O403" s="10" t="s">
        <v>122</v>
      </c>
      <c r="P403" s="18" t="s">
        <v>142</v>
      </c>
      <c r="Q403" s="18" t="s">
        <v>128</v>
      </c>
      <c r="R403" s="10" t="s">
        <v>133</v>
      </c>
      <c r="S403" s="10" t="s">
        <v>3025</v>
      </c>
      <c r="T403" s="10" t="s">
        <v>195</v>
      </c>
      <c r="U403" s="10">
        <v>3226861261</v>
      </c>
      <c r="V403" s="19"/>
      <c r="W403" s="40" t="s">
        <v>3026</v>
      </c>
      <c r="X403" s="10" t="s">
        <v>136</v>
      </c>
      <c r="Y403" s="10" t="s">
        <v>1401</v>
      </c>
      <c r="Z403" s="10" t="s">
        <v>170</v>
      </c>
      <c r="AA403" s="24"/>
      <c r="AB403" s="24"/>
      <c r="AC403" s="13">
        <v>45679</v>
      </c>
      <c r="AD403" s="10" t="s">
        <v>1515</v>
      </c>
    </row>
    <row r="404" spans="1:30" ht="15.75" customHeight="1" x14ac:dyDescent="0.25">
      <c r="A404" s="10" t="s">
        <v>77</v>
      </c>
      <c r="B404" s="10" t="s">
        <v>86</v>
      </c>
      <c r="C404" s="10" t="s">
        <v>91</v>
      </c>
      <c r="D404" s="10" t="s">
        <v>92</v>
      </c>
      <c r="E404" s="10">
        <v>72168191</v>
      </c>
      <c r="F404" s="23" t="s">
        <v>296</v>
      </c>
      <c r="G404" s="10" t="s">
        <v>11</v>
      </c>
      <c r="H404" s="10" t="s">
        <v>3027</v>
      </c>
      <c r="I404" s="13">
        <v>44843</v>
      </c>
      <c r="J404" s="10" t="str">
        <f t="shared" ca="1" si="37"/>
        <v xml:space="preserve">3  Años, 10  Mes, 17 Dias </v>
      </c>
      <c r="K404" s="10" t="s">
        <v>113</v>
      </c>
      <c r="L404" s="19"/>
      <c r="M404" s="19" t="str">
        <f t="shared" ref="M404:M408" ca="1" si="59">IF(L404=0,"", DATEDIF(L404,TODAY(),"y"))</f>
        <v/>
      </c>
      <c r="N404" s="10" t="s">
        <v>120</v>
      </c>
      <c r="O404" s="10" t="s">
        <v>122</v>
      </c>
      <c r="P404" s="18" t="s">
        <v>142</v>
      </c>
      <c r="Q404" s="18" t="s">
        <v>648</v>
      </c>
      <c r="R404" s="10" t="s">
        <v>133</v>
      </c>
      <c r="S404" s="10" t="s">
        <v>3028</v>
      </c>
      <c r="T404" s="10" t="s">
        <v>136</v>
      </c>
      <c r="U404" s="10">
        <v>3016033011</v>
      </c>
      <c r="V404" s="19"/>
      <c r="W404" s="10" t="s">
        <v>3029</v>
      </c>
      <c r="X404" s="10" t="s">
        <v>136</v>
      </c>
      <c r="Y404" s="10" t="s">
        <v>203</v>
      </c>
      <c r="Z404" s="10" t="s">
        <v>373</v>
      </c>
      <c r="AA404" s="24"/>
      <c r="AB404" s="24"/>
      <c r="AC404" s="13">
        <v>45731</v>
      </c>
      <c r="AD404" s="13" t="s">
        <v>1515</v>
      </c>
    </row>
    <row r="405" spans="1:30" ht="15.75" customHeight="1" x14ac:dyDescent="0.25">
      <c r="A405" s="10" t="s">
        <v>160</v>
      </c>
      <c r="B405" s="10" t="s">
        <v>86</v>
      </c>
      <c r="C405" s="10" t="s">
        <v>91</v>
      </c>
      <c r="D405" s="10" t="s">
        <v>92</v>
      </c>
      <c r="E405" s="12">
        <v>1044618264</v>
      </c>
      <c r="F405" s="15" t="s">
        <v>3030</v>
      </c>
      <c r="G405" s="12" t="s">
        <v>688</v>
      </c>
      <c r="H405" s="12" t="s">
        <v>3031</v>
      </c>
      <c r="I405" s="16">
        <v>45779</v>
      </c>
      <c r="J405" s="10" t="str">
        <f t="shared" ca="1" si="37"/>
        <v xml:space="preserve">1  Años, 3  Mes, 24 Dias </v>
      </c>
      <c r="K405" s="12" t="s">
        <v>113</v>
      </c>
      <c r="L405" s="16">
        <v>37760</v>
      </c>
      <c r="M405" s="10">
        <f t="shared" ca="1" si="59"/>
        <v>23</v>
      </c>
      <c r="N405" s="10" t="s">
        <v>320</v>
      </c>
      <c r="O405" s="10" t="s">
        <v>236</v>
      </c>
      <c r="P405" s="18" t="s">
        <v>210</v>
      </c>
      <c r="Q405" s="18" t="s">
        <v>128</v>
      </c>
      <c r="R405" s="10" t="s">
        <v>133</v>
      </c>
      <c r="S405" s="12" t="s">
        <v>3032</v>
      </c>
      <c r="T405" s="12" t="s">
        <v>1836</v>
      </c>
      <c r="U405" s="12">
        <v>3246731272</v>
      </c>
      <c r="V405" s="5"/>
      <c r="W405" s="12" t="s">
        <v>3033</v>
      </c>
      <c r="X405" s="12" t="s">
        <v>136</v>
      </c>
      <c r="Y405" s="12" t="s">
        <v>169</v>
      </c>
      <c r="Z405" s="12" t="s">
        <v>1875</v>
      </c>
      <c r="AA405" s="20"/>
      <c r="AB405" s="20"/>
      <c r="AC405" s="20"/>
      <c r="AD405" s="10" t="s">
        <v>209</v>
      </c>
    </row>
    <row r="406" spans="1:30" ht="15.75" customHeight="1" x14ac:dyDescent="0.25">
      <c r="A406" s="10" t="s">
        <v>77</v>
      </c>
      <c r="B406" s="10" t="s">
        <v>86</v>
      </c>
      <c r="C406" s="10" t="s">
        <v>91</v>
      </c>
      <c r="D406" s="10" t="s">
        <v>92</v>
      </c>
      <c r="E406" s="10">
        <v>17859587</v>
      </c>
      <c r="F406" s="23" t="s">
        <v>294</v>
      </c>
      <c r="G406" s="10" t="s">
        <v>11</v>
      </c>
      <c r="H406" s="10" t="s">
        <v>3034</v>
      </c>
      <c r="I406" s="13">
        <v>44843</v>
      </c>
      <c r="J406" s="10" t="str">
        <f t="shared" ca="1" si="37"/>
        <v xml:space="preserve">3  Años, 10  Mes, 17 Dias </v>
      </c>
      <c r="K406" s="10" t="s">
        <v>113</v>
      </c>
      <c r="L406" s="19"/>
      <c r="M406" s="19" t="str">
        <f t="shared" ca="1" si="59"/>
        <v/>
      </c>
      <c r="N406" s="10" t="s">
        <v>120</v>
      </c>
      <c r="O406" s="10" t="s">
        <v>122</v>
      </c>
      <c r="P406" s="18" t="s">
        <v>142</v>
      </c>
      <c r="Q406" s="18" t="s">
        <v>128</v>
      </c>
      <c r="R406" s="10" t="s">
        <v>133</v>
      </c>
      <c r="S406" s="10" t="s">
        <v>3035</v>
      </c>
      <c r="T406" s="10" t="s">
        <v>136</v>
      </c>
      <c r="U406" s="10">
        <v>3007051220</v>
      </c>
      <c r="V406" s="19"/>
      <c r="W406" s="10" t="s">
        <v>3036</v>
      </c>
      <c r="X406" s="10" t="s">
        <v>136</v>
      </c>
      <c r="Y406" s="10" t="s">
        <v>169</v>
      </c>
      <c r="Z406" s="10" t="s">
        <v>170</v>
      </c>
      <c r="AA406" s="33"/>
      <c r="AB406" s="33"/>
      <c r="AC406" s="35">
        <v>44896</v>
      </c>
      <c r="AD406" s="19"/>
    </row>
    <row r="407" spans="1:30" ht="15.75" customHeight="1" x14ac:dyDescent="0.25">
      <c r="A407" s="10" t="s">
        <v>77</v>
      </c>
      <c r="B407" s="10" t="s">
        <v>86</v>
      </c>
      <c r="C407" s="10" t="s">
        <v>91</v>
      </c>
      <c r="D407" s="10" t="s">
        <v>92</v>
      </c>
      <c r="E407" s="10">
        <v>8980796</v>
      </c>
      <c r="F407" s="23" t="s">
        <v>292</v>
      </c>
      <c r="G407" s="10" t="s">
        <v>26</v>
      </c>
      <c r="H407" s="10" t="s">
        <v>3037</v>
      </c>
      <c r="I407" s="13">
        <v>44843</v>
      </c>
      <c r="J407" s="10" t="str">
        <f t="shared" ca="1" si="37"/>
        <v xml:space="preserve">3  Años, 10  Mes, 17 Dias </v>
      </c>
      <c r="K407" s="10" t="s">
        <v>113</v>
      </c>
      <c r="L407" s="108"/>
      <c r="M407" s="19" t="str">
        <f t="shared" ca="1" si="59"/>
        <v/>
      </c>
      <c r="N407" s="10" t="s">
        <v>120</v>
      </c>
      <c r="O407" s="10" t="s">
        <v>122</v>
      </c>
      <c r="P407" s="18" t="s">
        <v>142</v>
      </c>
      <c r="Q407" s="18" t="s">
        <v>128</v>
      </c>
      <c r="R407" s="10" t="s">
        <v>133</v>
      </c>
      <c r="S407" s="10" t="s">
        <v>3038</v>
      </c>
      <c r="T407" s="10" t="s">
        <v>136</v>
      </c>
      <c r="U407" s="10">
        <v>3235330210</v>
      </c>
      <c r="V407" s="19"/>
      <c r="W407" s="10" t="s">
        <v>845</v>
      </c>
      <c r="X407" s="10" t="s">
        <v>136</v>
      </c>
      <c r="Y407" s="10" t="s">
        <v>169</v>
      </c>
      <c r="Z407" s="10" t="s">
        <v>216</v>
      </c>
      <c r="AA407" s="24"/>
      <c r="AB407" s="24"/>
      <c r="AC407" s="13">
        <v>45343</v>
      </c>
      <c r="AD407" s="24"/>
    </row>
    <row r="408" spans="1:30" ht="15.75" customHeight="1" x14ac:dyDescent="0.25">
      <c r="A408" s="10" t="s">
        <v>77</v>
      </c>
      <c r="B408" s="10" t="s">
        <v>90</v>
      </c>
      <c r="C408" s="10" t="s">
        <v>175</v>
      </c>
      <c r="D408" s="10" t="s">
        <v>92</v>
      </c>
      <c r="E408" s="10">
        <v>5054057</v>
      </c>
      <c r="F408" s="23" t="s">
        <v>413</v>
      </c>
      <c r="G408" s="10" t="s">
        <v>11</v>
      </c>
      <c r="H408" s="10" t="s">
        <v>1787</v>
      </c>
      <c r="I408" s="13">
        <v>45847</v>
      </c>
      <c r="J408" s="10" t="str">
        <f t="shared" ca="1" si="37"/>
        <v xml:space="preserve">1  Años, 1  Mes, 17 Dias </v>
      </c>
      <c r="K408" s="10" t="s">
        <v>113</v>
      </c>
      <c r="L408" s="13">
        <v>30140</v>
      </c>
      <c r="M408" s="10">
        <f t="shared" ca="1" si="59"/>
        <v>44</v>
      </c>
      <c r="N408" s="10" t="s">
        <v>120</v>
      </c>
      <c r="O408" s="10" t="s">
        <v>122</v>
      </c>
      <c r="P408" s="18" t="s">
        <v>124</v>
      </c>
      <c r="Q408" s="18" t="s">
        <v>128</v>
      </c>
      <c r="R408" s="10" t="s">
        <v>133</v>
      </c>
      <c r="S408" s="10" t="s">
        <v>893</v>
      </c>
      <c r="T408" s="10" t="s">
        <v>151</v>
      </c>
      <c r="U408" s="10">
        <v>3102508885</v>
      </c>
      <c r="V408" s="19"/>
      <c r="W408" s="19"/>
      <c r="X408" s="10" t="s">
        <v>136</v>
      </c>
      <c r="Y408" s="19"/>
      <c r="Z408" s="19"/>
      <c r="AA408" s="28" t="s">
        <v>1795</v>
      </c>
      <c r="AB408" s="10" t="s">
        <v>393</v>
      </c>
      <c r="AC408" s="24"/>
      <c r="AD408" s="10" t="s">
        <v>209</v>
      </c>
    </row>
    <row r="409" spans="1:30" ht="15.75" customHeight="1" x14ac:dyDescent="0.25">
      <c r="A409" s="10" t="s">
        <v>160</v>
      </c>
      <c r="B409" s="10" t="s">
        <v>86</v>
      </c>
      <c r="C409" s="10" t="s">
        <v>91</v>
      </c>
      <c r="D409" s="10" t="s">
        <v>92</v>
      </c>
      <c r="E409" s="12">
        <v>1044603340</v>
      </c>
      <c r="F409" s="15" t="s">
        <v>3039</v>
      </c>
      <c r="G409" s="12" t="s">
        <v>688</v>
      </c>
      <c r="H409" s="12" t="s">
        <v>3040</v>
      </c>
      <c r="I409" s="16">
        <v>45731</v>
      </c>
      <c r="J409" s="10" t="str">
        <f t="shared" ca="1" si="37"/>
        <v xml:space="preserve">1  Años, 5  Mes, 11 Dias </v>
      </c>
      <c r="K409" s="12" t="s">
        <v>113</v>
      </c>
      <c r="L409" s="5"/>
      <c r="M409" s="12">
        <v>20</v>
      </c>
      <c r="N409" s="10" t="s">
        <v>120</v>
      </c>
      <c r="O409" s="10" t="s">
        <v>236</v>
      </c>
      <c r="P409" s="18" t="s">
        <v>142</v>
      </c>
      <c r="Q409" s="18" t="s">
        <v>128</v>
      </c>
      <c r="R409" s="10" t="s">
        <v>133</v>
      </c>
      <c r="S409" s="12" t="s">
        <v>3041</v>
      </c>
      <c r="T409" s="12" t="s">
        <v>136</v>
      </c>
      <c r="U409" s="12">
        <v>3042550826</v>
      </c>
      <c r="V409" s="5"/>
      <c r="W409" s="5"/>
      <c r="X409" s="12" t="s">
        <v>136</v>
      </c>
      <c r="Y409" s="5"/>
      <c r="Z409" s="5"/>
      <c r="AA409" s="31"/>
      <c r="AB409" s="31"/>
      <c r="AC409" s="31"/>
      <c r="AD409" s="10" t="s">
        <v>209</v>
      </c>
    </row>
    <row r="410" spans="1:30" ht="15.75" customHeight="1" x14ac:dyDescent="0.25">
      <c r="A410" s="10" t="s">
        <v>77</v>
      </c>
      <c r="B410" s="10" t="s">
        <v>86</v>
      </c>
      <c r="C410" s="10" t="s">
        <v>91</v>
      </c>
      <c r="D410" s="10" t="s">
        <v>92</v>
      </c>
      <c r="E410" s="10">
        <v>1045717155</v>
      </c>
      <c r="F410" s="23" t="s">
        <v>286</v>
      </c>
      <c r="G410" s="10" t="s">
        <v>11</v>
      </c>
      <c r="H410" s="10" t="s">
        <v>3042</v>
      </c>
      <c r="I410" s="13">
        <v>45235</v>
      </c>
      <c r="J410" s="10" t="str">
        <f t="shared" ca="1" si="37"/>
        <v xml:space="preserve">2  Años, 9  Mes, 21 Dias </v>
      </c>
      <c r="K410" s="10" t="s">
        <v>113</v>
      </c>
      <c r="L410" s="19"/>
      <c r="M410" s="19" t="str">
        <f t="shared" ref="M410:M414" ca="1" si="60">IF(L410=0,"", DATEDIF(L410,TODAY(),"y"))</f>
        <v/>
      </c>
      <c r="N410" s="10" t="s">
        <v>120</v>
      </c>
      <c r="O410" s="10" t="s">
        <v>236</v>
      </c>
      <c r="P410" s="18" t="s">
        <v>124</v>
      </c>
      <c r="Q410" s="18" t="s">
        <v>128</v>
      </c>
      <c r="R410" s="10" t="s">
        <v>133</v>
      </c>
      <c r="S410" s="10" t="s">
        <v>3043</v>
      </c>
      <c r="T410" s="10" t="s">
        <v>2536</v>
      </c>
      <c r="U410" s="10">
        <v>3001798119</v>
      </c>
      <c r="V410" s="10">
        <v>3155245744</v>
      </c>
      <c r="W410" s="10" t="s">
        <v>3044</v>
      </c>
      <c r="X410" s="10" t="s">
        <v>136</v>
      </c>
      <c r="Y410" s="10" t="s">
        <v>206</v>
      </c>
      <c r="Z410" s="10" t="s">
        <v>170</v>
      </c>
      <c r="AA410" s="24"/>
      <c r="AB410" s="24"/>
      <c r="AC410" s="13">
        <v>45366</v>
      </c>
      <c r="AD410" s="24"/>
    </row>
    <row r="411" spans="1:30" ht="15.75" customHeight="1" x14ac:dyDescent="0.25">
      <c r="A411" s="10" t="s">
        <v>77</v>
      </c>
      <c r="B411" s="10" t="s">
        <v>86</v>
      </c>
      <c r="C411" s="10" t="s">
        <v>91</v>
      </c>
      <c r="D411" s="10" t="s">
        <v>92</v>
      </c>
      <c r="E411" s="10">
        <v>8498805</v>
      </c>
      <c r="F411" s="23" t="s">
        <v>284</v>
      </c>
      <c r="G411" s="10" t="s">
        <v>26</v>
      </c>
      <c r="H411" s="10" t="s">
        <v>3045</v>
      </c>
      <c r="I411" s="13">
        <v>45234</v>
      </c>
      <c r="J411" s="10" t="str">
        <f t="shared" ca="1" si="37"/>
        <v xml:space="preserve">2  Años, 9  Mes, 22 Dias </v>
      </c>
      <c r="K411" s="10" t="s">
        <v>113</v>
      </c>
      <c r="L411" s="19"/>
      <c r="M411" s="19" t="str">
        <f t="shared" ca="1" si="60"/>
        <v/>
      </c>
      <c r="N411" s="10" t="s">
        <v>120</v>
      </c>
      <c r="O411" s="10" t="s">
        <v>122</v>
      </c>
      <c r="P411" s="18" t="s">
        <v>142</v>
      </c>
      <c r="Q411" s="18" t="s">
        <v>128</v>
      </c>
      <c r="R411" s="10" t="s">
        <v>133</v>
      </c>
      <c r="S411" s="10" t="s">
        <v>3046</v>
      </c>
      <c r="T411" s="10" t="s">
        <v>3047</v>
      </c>
      <c r="U411" s="10">
        <v>3009481950</v>
      </c>
      <c r="V411" s="10">
        <v>3009481950</v>
      </c>
      <c r="W411" s="10" t="s">
        <v>3048</v>
      </c>
      <c r="X411" s="10" t="s">
        <v>136</v>
      </c>
      <c r="Y411" s="10" t="s">
        <v>253</v>
      </c>
      <c r="Z411" s="102" t="s">
        <v>216</v>
      </c>
      <c r="AA411" s="126"/>
      <c r="AB411" s="126"/>
      <c r="AC411" s="13">
        <v>45678</v>
      </c>
      <c r="AD411" s="102" t="s">
        <v>1515</v>
      </c>
    </row>
    <row r="412" spans="1:30" ht="15.75" customHeight="1" x14ac:dyDescent="0.25">
      <c r="A412" s="10" t="s">
        <v>77</v>
      </c>
      <c r="B412" s="10" t="s">
        <v>90</v>
      </c>
      <c r="C412" s="10" t="s">
        <v>175</v>
      </c>
      <c r="D412" s="10" t="s">
        <v>92</v>
      </c>
      <c r="E412" s="67">
        <v>1143432688</v>
      </c>
      <c r="F412" s="127" t="s">
        <v>1753</v>
      </c>
      <c r="G412" s="69" t="s">
        <v>11</v>
      </c>
      <c r="H412" s="10" t="s">
        <v>1755</v>
      </c>
      <c r="I412" s="128">
        <v>45883</v>
      </c>
      <c r="J412" s="10" t="str">
        <f t="shared" ca="1" si="37"/>
        <v xml:space="preserve">1  Años, 0  Mes, 12 Dias </v>
      </c>
      <c r="K412" s="12" t="s">
        <v>113</v>
      </c>
      <c r="L412" s="16">
        <v>35682</v>
      </c>
      <c r="M412" s="10">
        <f t="shared" ca="1" si="60"/>
        <v>28</v>
      </c>
      <c r="N412" s="10" t="s">
        <v>120</v>
      </c>
      <c r="O412" s="10" t="s">
        <v>236</v>
      </c>
      <c r="P412" s="129"/>
      <c r="Q412" s="18" t="s">
        <v>128</v>
      </c>
      <c r="R412" s="10" t="s">
        <v>133</v>
      </c>
      <c r="S412" s="67" t="s">
        <v>1758</v>
      </c>
      <c r="T412" s="12" t="s">
        <v>136</v>
      </c>
      <c r="U412" s="67">
        <v>3011575548</v>
      </c>
      <c r="V412" s="5"/>
      <c r="W412" s="129"/>
      <c r="X412" s="10" t="s">
        <v>136</v>
      </c>
      <c r="Y412" s="129"/>
      <c r="Z412" s="130"/>
      <c r="AA412" s="131"/>
      <c r="AB412" s="131"/>
      <c r="AC412" s="20"/>
      <c r="AD412" s="74" t="s">
        <v>209</v>
      </c>
    </row>
    <row r="413" spans="1:30" ht="15.75" customHeight="1" x14ac:dyDescent="0.25">
      <c r="A413" s="10" t="s">
        <v>77</v>
      </c>
      <c r="B413" s="10" t="s">
        <v>86</v>
      </c>
      <c r="C413" s="10" t="s">
        <v>91</v>
      </c>
      <c r="D413" s="10" t="s">
        <v>92</v>
      </c>
      <c r="E413" s="69">
        <v>1045749296</v>
      </c>
      <c r="F413" s="132" t="s">
        <v>3049</v>
      </c>
      <c r="G413" s="69" t="s">
        <v>11</v>
      </c>
      <c r="H413" s="10" t="s">
        <v>3050</v>
      </c>
      <c r="I413" s="70">
        <v>45497</v>
      </c>
      <c r="J413" s="10" t="str">
        <f t="shared" ca="1" si="37"/>
        <v xml:space="preserve">2  Años, 1  Mes, 2 Dias </v>
      </c>
      <c r="K413" s="10" t="s">
        <v>113</v>
      </c>
      <c r="L413" s="52">
        <v>35570</v>
      </c>
      <c r="M413" s="10">
        <f t="shared" ca="1" si="60"/>
        <v>29</v>
      </c>
      <c r="N413" s="10" t="s">
        <v>120</v>
      </c>
      <c r="O413" s="10" t="s">
        <v>122</v>
      </c>
      <c r="P413" s="133" t="s">
        <v>142</v>
      </c>
      <c r="Q413" s="18" t="s">
        <v>128</v>
      </c>
      <c r="R413" s="10" t="s">
        <v>133</v>
      </c>
      <c r="S413" s="69" t="s">
        <v>3051</v>
      </c>
      <c r="T413" s="10" t="s">
        <v>136</v>
      </c>
      <c r="U413" s="69">
        <v>3005694361</v>
      </c>
      <c r="V413" s="19"/>
      <c r="W413" s="69" t="s">
        <v>2071</v>
      </c>
      <c r="X413" s="10" t="s">
        <v>136</v>
      </c>
      <c r="Y413" s="69" t="s">
        <v>155</v>
      </c>
      <c r="Z413" s="74" t="s">
        <v>170</v>
      </c>
      <c r="AA413" s="134"/>
      <c r="AB413" s="134"/>
      <c r="AC413" s="13">
        <v>45694</v>
      </c>
      <c r="AD413" s="135" t="s">
        <v>148</v>
      </c>
    </row>
    <row r="414" spans="1:30" ht="15.75" customHeight="1" x14ac:dyDescent="0.25">
      <c r="A414" s="10" t="s">
        <v>77</v>
      </c>
      <c r="B414" s="10" t="s">
        <v>90</v>
      </c>
      <c r="C414" s="10" t="s">
        <v>175</v>
      </c>
      <c r="D414" s="10" t="s">
        <v>92</v>
      </c>
      <c r="E414" s="69">
        <v>8794703</v>
      </c>
      <c r="F414" s="132" t="s">
        <v>290</v>
      </c>
      <c r="G414" s="69" t="s">
        <v>26</v>
      </c>
      <c r="H414" s="10" t="s">
        <v>1560</v>
      </c>
      <c r="I414" s="70">
        <v>45831</v>
      </c>
      <c r="J414" s="10" t="str">
        <f t="shared" ca="1" si="37"/>
        <v xml:space="preserve">1  Años, 2  Mes, 3 Dias </v>
      </c>
      <c r="K414" s="10" t="s">
        <v>113</v>
      </c>
      <c r="L414" s="19"/>
      <c r="M414" s="19" t="str">
        <f t="shared" ca="1" si="60"/>
        <v/>
      </c>
      <c r="N414" s="10" t="s">
        <v>120</v>
      </c>
      <c r="O414" s="10" t="s">
        <v>122</v>
      </c>
      <c r="P414" s="133" t="s">
        <v>142</v>
      </c>
      <c r="Q414" s="18" t="s">
        <v>648</v>
      </c>
      <c r="R414" s="10" t="s">
        <v>133</v>
      </c>
      <c r="S414" s="69" t="s">
        <v>1564</v>
      </c>
      <c r="T414" s="10" t="s">
        <v>801</v>
      </c>
      <c r="U414" s="69">
        <v>3002482666</v>
      </c>
      <c r="V414" s="10">
        <v>3984895</v>
      </c>
      <c r="W414" s="69" t="s">
        <v>1565</v>
      </c>
      <c r="X414" s="10" t="s">
        <v>136</v>
      </c>
      <c r="Y414" s="69" t="s">
        <v>206</v>
      </c>
      <c r="Z414" s="74" t="s">
        <v>170</v>
      </c>
      <c r="AA414" s="134"/>
      <c r="AB414" s="134"/>
      <c r="AC414" s="24"/>
      <c r="AD414" s="74" t="s">
        <v>209</v>
      </c>
    </row>
    <row r="415" spans="1:30" ht="15.75" customHeight="1" x14ac:dyDescent="0.25">
      <c r="A415" s="10" t="s">
        <v>77</v>
      </c>
      <c r="B415" s="10" t="s">
        <v>86</v>
      </c>
      <c r="C415" s="10" t="s">
        <v>91</v>
      </c>
      <c r="D415" s="10" t="s">
        <v>92</v>
      </c>
      <c r="E415" s="10">
        <v>1048290389</v>
      </c>
      <c r="F415" s="23" t="s">
        <v>3052</v>
      </c>
      <c r="G415" s="10" t="s">
        <v>18</v>
      </c>
      <c r="H415" s="10" t="s">
        <v>3053</v>
      </c>
      <c r="I415" s="13">
        <v>45437</v>
      </c>
      <c r="J415" s="10" t="str">
        <f t="shared" ca="1" si="37"/>
        <v xml:space="preserve">2  Años, 3  Mes, 1 Dias </v>
      </c>
      <c r="K415" s="10" t="s">
        <v>113</v>
      </c>
      <c r="L415" s="19"/>
      <c r="M415" s="19"/>
      <c r="N415" s="10" t="s">
        <v>120</v>
      </c>
      <c r="O415" s="10" t="s">
        <v>122</v>
      </c>
      <c r="P415" s="18" t="s">
        <v>142</v>
      </c>
      <c r="Q415" s="18" t="s">
        <v>128</v>
      </c>
      <c r="R415" s="10" t="s">
        <v>133</v>
      </c>
      <c r="S415" s="10" t="s">
        <v>3054</v>
      </c>
      <c r="T415" s="10" t="s">
        <v>151</v>
      </c>
      <c r="U415" s="10">
        <v>3128212085</v>
      </c>
      <c r="V415" s="19"/>
      <c r="W415" s="40" t="s">
        <v>3055</v>
      </c>
      <c r="X415" s="10" t="s">
        <v>136</v>
      </c>
      <c r="Y415" s="10" t="s">
        <v>155</v>
      </c>
      <c r="Z415" s="10" t="s">
        <v>170</v>
      </c>
      <c r="AA415" s="33"/>
      <c r="AB415" s="33"/>
      <c r="AC415" s="35">
        <v>45656</v>
      </c>
      <c r="AD415" s="24"/>
    </row>
    <row r="416" spans="1:30" ht="15.75" customHeight="1" x14ac:dyDescent="0.25">
      <c r="A416" s="10" t="s">
        <v>77</v>
      </c>
      <c r="B416" s="10" t="s">
        <v>86</v>
      </c>
      <c r="C416" s="10" t="s">
        <v>91</v>
      </c>
      <c r="D416" s="10" t="s">
        <v>92</v>
      </c>
      <c r="E416" s="10">
        <v>8732600</v>
      </c>
      <c r="F416" s="136" t="s">
        <v>278</v>
      </c>
      <c r="G416" s="102" t="s">
        <v>32</v>
      </c>
      <c r="H416" s="10" t="s">
        <v>3056</v>
      </c>
      <c r="I416" s="13">
        <v>44843</v>
      </c>
      <c r="J416" s="10" t="str">
        <f t="shared" ca="1" si="37"/>
        <v xml:space="preserve">3  Años, 10  Mes, 17 Dias </v>
      </c>
      <c r="K416" s="10" t="s">
        <v>113</v>
      </c>
      <c r="L416" s="19"/>
      <c r="M416" s="19" t="str">
        <f t="shared" ref="M416:M423" ca="1" si="61">IF(L416=0,"", DATEDIF(L416,TODAY(),"y"))</f>
        <v/>
      </c>
      <c r="N416" s="10" t="s">
        <v>120</v>
      </c>
      <c r="O416" s="10" t="s">
        <v>122</v>
      </c>
      <c r="P416" s="18" t="s">
        <v>142</v>
      </c>
      <c r="Q416" s="18" t="s">
        <v>128</v>
      </c>
      <c r="R416" s="10" t="s">
        <v>133</v>
      </c>
      <c r="S416" s="10" t="s">
        <v>3057</v>
      </c>
      <c r="T416" s="10" t="s">
        <v>136</v>
      </c>
      <c r="U416" s="10">
        <v>3243165372</v>
      </c>
      <c r="V416" s="19"/>
      <c r="W416" s="10" t="s">
        <v>3058</v>
      </c>
      <c r="X416" s="10" t="s">
        <v>136</v>
      </c>
      <c r="Y416" s="10" t="s">
        <v>253</v>
      </c>
      <c r="Z416" s="10" t="s">
        <v>216</v>
      </c>
      <c r="AA416" s="24"/>
      <c r="AB416" s="24"/>
      <c r="AC416" s="13">
        <v>45830</v>
      </c>
      <c r="AD416" s="10" t="s">
        <v>209</v>
      </c>
    </row>
    <row r="417" spans="1:30" ht="15.75" customHeight="1" x14ac:dyDescent="0.25">
      <c r="A417" s="10" t="s">
        <v>77</v>
      </c>
      <c r="B417" s="10" t="s">
        <v>86</v>
      </c>
      <c r="C417" s="10" t="s">
        <v>91</v>
      </c>
      <c r="D417" s="10" t="s">
        <v>92</v>
      </c>
      <c r="E417" s="10">
        <v>1001919835</v>
      </c>
      <c r="F417" s="23" t="s">
        <v>276</v>
      </c>
      <c r="G417" s="10" t="s">
        <v>18</v>
      </c>
      <c r="H417" s="10" t="s">
        <v>3059</v>
      </c>
      <c r="I417" s="30">
        <v>44877</v>
      </c>
      <c r="J417" s="10" t="str">
        <f t="shared" ca="1" si="37"/>
        <v xml:space="preserve">3  Años, 9  Mes, 14 Dias </v>
      </c>
      <c r="K417" s="10" t="s">
        <v>113</v>
      </c>
      <c r="L417" s="19"/>
      <c r="M417" s="19" t="str">
        <f t="shared" ca="1" si="61"/>
        <v/>
      </c>
      <c r="N417" s="10" t="s">
        <v>120</v>
      </c>
      <c r="O417" s="10" t="s">
        <v>122</v>
      </c>
      <c r="P417" s="18" t="s">
        <v>142</v>
      </c>
      <c r="Q417" s="18" t="s">
        <v>128</v>
      </c>
      <c r="R417" s="10" t="s">
        <v>133</v>
      </c>
      <c r="S417" s="10" t="s">
        <v>3060</v>
      </c>
      <c r="T417" s="10" t="s">
        <v>136</v>
      </c>
      <c r="U417" s="10">
        <v>3012926529</v>
      </c>
      <c r="V417" s="19"/>
      <c r="W417" s="10" t="s">
        <v>3061</v>
      </c>
      <c r="X417" s="10" t="s">
        <v>136</v>
      </c>
      <c r="Y417" s="10" t="s">
        <v>206</v>
      </c>
      <c r="Z417" s="10" t="s">
        <v>170</v>
      </c>
      <c r="AA417" s="24"/>
      <c r="AB417" s="24"/>
      <c r="AC417" s="13">
        <v>45678</v>
      </c>
      <c r="AD417" s="13" t="s">
        <v>1515</v>
      </c>
    </row>
    <row r="418" spans="1:30" ht="15.75" customHeight="1" x14ac:dyDescent="0.25">
      <c r="A418" s="10" t="s">
        <v>77</v>
      </c>
      <c r="B418" s="10" t="s">
        <v>86</v>
      </c>
      <c r="C418" s="10" t="s">
        <v>91</v>
      </c>
      <c r="D418" s="10" t="s">
        <v>92</v>
      </c>
      <c r="E418" s="10">
        <v>1045724478</v>
      </c>
      <c r="F418" s="23" t="s">
        <v>275</v>
      </c>
      <c r="G418" s="10" t="s">
        <v>18</v>
      </c>
      <c r="H418" s="10" t="s">
        <v>3062</v>
      </c>
      <c r="I418" s="13">
        <v>45467</v>
      </c>
      <c r="J418" s="10" t="str">
        <f t="shared" ca="1" si="37"/>
        <v xml:space="preserve">2  Años, 2  Mes, 2 Dias </v>
      </c>
      <c r="K418" s="10" t="s">
        <v>113</v>
      </c>
      <c r="L418" s="19"/>
      <c r="M418" s="19" t="str">
        <f t="shared" ca="1" si="61"/>
        <v/>
      </c>
      <c r="N418" s="10" t="s">
        <v>120</v>
      </c>
      <c r="O418" s="10" t="s">
        <v>122</v>
      </c>
      <c r="P418" s="133" t="s">
        <v>142</v>
      </c>
      <c r="Q418" s="18" t="s">
        <v>128</v>
      </c>
      <c r="R418" s="10" t="s">
        <v>133</v>
      </c>
      <c r="S418" s="10" t="s">
        <v>3063</v>
      </c>
      <c r="T418" s="10" t="s">
        <v>136</v>
      </c>
      <c r="U418" s="10">
        <v>3144329537</v>
      </c>
      <c r="V418" s="19"/>
      <c r="W418" s="10" t="s">
        <v>845</v>
      </c>
      <c r="X418" s="10" t="s">
        <v>136</v>
      </c>
      <c r="Y418" s="10" t="s">
        <v>206</v>
      </c>
      <c r="Z418" s="10" t="s">
        <v>216</v>
      </c>
      <c r="AA418" s="24"/>
      <c r="AB418" s="24"/>
      <c r="AC418" s="13">
        <v>45731</v>
      </c>
      <c r="AD418" s="10" t="s">
        <v>1515</v>
      </c>
    </row>
    <row r="419" spans="1:30" ht="15.75" customHeight="1" x14ac:dyDescent="0.25">
      <c r="A419" s="10" t="s">
        <v>77</v>
      </c>
      <c r="B419" s="10" t="s">
        <v>86</v>
      </c>
      <c r="C419" s="10" t="s">
        <v>91</v>
      </c>
      <c r="D419" s="10" t="s">
        <v>92</v>
      </c>
      <c r="E419" s="69">
        <v>1129580197</v>
      </c>
      <c r="F419" s="132" t="s">
        <v>153</v>
      </c>
      <c r="G419" s="10" t="s">
        <v>26</v>
      </c>
      <c r="H419" s="10" t="s">
        <v>3064</v>
      </c>
      <c r="I419" s="70">
        <v>45063</v>
      </c>
      <c r="J419" s="10" t="str">
        <f t="shared" ca="1" si="37"/>
        <v xml:space="preserve">3  Años, 3  Mes, 9 Dias </v>
      </c>
      <c r="K419" s="10" t="s">
        <v>113</v>
      </c>
      <c r="L419" s="24"/>
      <c r="M419" s="19" t="str">
        <f t="shared" ca="1" si="61"/>
        <v/>
      </c>
      <c r="N419" s="10" t="s">
        <v>120</v>
      </c>
      <c r="O419" s="10" t="s">
        <v>277</v>
      </c>
      <c r="P419" s="18" t="s">
        <v>142</v>
      </c>
      <c r="Q419" s="18" t="s">
        <v>128</v>
      </c>
      <c r="R419" s="10" t="s">
        <v>133</v>
      </c>
      <c r="S419" s="69" t="s">
        <v>3065</v>
      </c>
      <c r="T419" s="10" t="s">
        <v>151</v>
      </c>
      <c r="U419" s="69">
        <v>3002337315</v>
      </c>
      <c r="V419" s="10">
        <v>3002337315</v>
      </c>
      <c r="W419" s="69" t="s">
        <v>3066</v>
      </c>
      <c r="X419" s="10" t="s">
        <v>136</v>
      </c>
      <c r="Y419" s="69" t="s">
        <v>1299</v>
      </c>
      <c r="Z419" s="69" t="s">
        <v>170</v>
      </c>
      <c r="AA419" s="137"/>
      <c r="AB419" s="137"/>
      <c r="AC419" s="13">
        <v>45428</v>
      </c>
      <c r="AD419" s="137"/>
    </row>
    <row r="420" spans="1:30" ht="15.75" customHeight="1" x14ac:dyDescent="0.25">
      <c r="A420" s="10" t="s">
        <v>77</v>
      </c>
      <c r="B420" s="10" t="s">
        <v>86</v>
      </c>
      <c r="C420" s="10" t="s">
        <v>91</v>
      </c>
      <c r="D420" s="10" t="s">
        <v>92</v>
      </c>
      <c r="E420" s="10">
        <v>85081925</v>
      </c>
      <c r="F420" s="23" t="s">
        <v>268</v>
      </c>
      <c r="G420" s="10" t="s">
        <v>26</v>
      </c>
      <c r="H420" s="10" t="s">
        <v>3067</v>
      </c>
      <c r="I420" s="13">
        <v>44843</v>
      </c>
      <c r="J420" s="10" t="str">
        <f t="shared" ca="1" si="37"/>
        <v xml:space="preserve">3  Años, 10  Mes, 17 Dias </v>
      </c>
      <c r="K420" s="10" t="s">
        <v>113</v>
      </c>
      <c r="L420" s="19"/>
      <c r="M420" s="19" t="str">
        <f t="shared" ca="1" si="61"/>
        <v/>
      </c>
      <c r="N420" s="10" t="s">
        <v>120</v>
      </c>
      <c r="O420" s="10" t="s">
        <v>122</v>
      </c>
      <c r="P420" s="18" t="s">
        <v>142</v>
      </c>
      <c r="Q420" s="18" t="s">
        <v>128</v>
      </c>
      <c r="R420" s="10" t="s">
        <v>133</v>
      </c>
      <c r="S420" s="10" t="s">
        <v>3068</v>
      </c>
      <c r="T420" s="10" t="s">
        <v>136</v>
      </c>
      <c r="U420" s="10">
        <v>3126623807</v>
      </c>
      <c r="V420" s="19"/>
      <c r="W420" s="10" t="s">
        <v>3069</v>
      </c>
      <c r="X420" s="10" t="s">
        <v>136</v>
      </c>
      <c r="Y420" s="10" t="s">
        <v>206</v>
      </c>
      <c r="Z420" s="10" t="s">
        <v>216</v>
      </c>
      <c r="AA420" s="24"/>
      <c r="AB420" s="24"/>
      <c r="AC420" s="13">
        <v>45830</v>
      </c>
      <c r="AD420" s="10" t="s">
        <v>209</v>
      </c>
    </row>
    <row r="421" spans="1:30" ht="15.75" customHeight="1" x14ac:dyDescent="0.25">
      <c r="A421" s="10" t="s">
        <v>77</v>
      </c>
      <c r="B421" s="10" t="s">
        <v>86</v>
      </c>
      <c r="C421" s="10" t="s">
        <v>91</v>
      </c>
      <c r="D421" s="10" t="s">
        <v>92</v>
      </c>
      <c r="E421" s="10">
        <v>1045670838</v>
      </c>
      <c r="F421" s="23" t="s">
        <v>266</v>
      </c>
      <c r="G421" s="10" t="s">
        <v>26</v>
      </c>
      <c r="H421" s="10" t="s">
        <v>3070</v>
      </c>
      <c r="I421" s="30">
        <v>45274</v>
      </c>
      <c r="J421" s="10" t="str">
        <f t="shared" ca="1" si="37"/>
        <v xml:space="preserve">2  Años, 8  Mes, 12 Dias </v>
      </c>
      <c r="K421" s="10" t="s">
        <v>113</v>
      </c>
      <c r="L421" s="19"/>
      <c r="M421" s="19" t="str">
        <f t="shared" ca="1" si="61"/>
        <v/>
      </c>
      <c r="N421" s="10" t="s">
        <v>120</v>
      </c>
      <c r="O421" s="10" t="s">
        <v>277</v>
      </c>
      <c r="P421" s="133" t="s">
        <v>124</v>
      </c>
      <c r="Q421" s="18" t="s">
        <v>128</v>
      </c>
      <c r="R421" s="10" t="s">
        <v>133</v>
      </c>
      <c r="S421" s="10" t="s">
        <v>3071</v>
      </c>
      <c r="T421" s="10" t="s">
        <v>136</v>
      </c>
      <c r="U421" s="10">
        <v>3002462972</v>
      </c>
      <c r="V421" s="10">
        <v>3002462972</v>
      </c>
      <c r="W421" s="10" t="s">
        <v>3072</v>
      </c>
      <c r="X421" s="10" t="s">
        <v>136</v>
      </c>
      <c r="Y421" s="10" t="s">
        <v>1299</v>
      </c>
      <c r="Z421" s="10" t="s">
        <v>216</v>
      </c>
      <c r="AA421" s="24"/>
      <c r="AB421" s="24"/>
      <c r="AC421" s="13">
        <v>45338</v>
      </c>
      <c r="AD421" s="24"/>
    </row>
    <row r="422" spans="1:30" ht="15.75" customHeight="1" x14ac:dyDescent="0.25">
      <c r="A422" s="10" t="s">
        <v>77</v>
      </c>
      <c r="B422" s="10" t="s">
        <v>86</v>
      </c>
      <c r="C422" s="10" t="s">
        <v>91</v>
      </c>
      <c r="D422" s="10" t="s">
        <v>92</v>
      </c>
      <c r="E422" s="69">
        <v>1121041511</v>
      </c>
      <c r="F422" s="132" t="s">
        <v>263</v>
      </c>
      <c r="G422" s="69" t="s">
        <v>18</v>
      </c>
      <c r="H422" s="10" t="s">
        <v>3073</v>
      </c>
      <c r="I422" s="13">
        <v>45071</v>
      </c>
      <c r="J422" s="10" t="str">
        <f t="shared" ca="1" si="37"/>
        <v xml:space="preserve">3  Años, 3  Mes, 1 Dias </v>
      </c>
      <c r="K422" s="10" t="s">
        <v>113</v>
      </c>
      <c r="L422" s="19"/>
      <c r="M422" s="19" t="str">
        <f t="shared" ca="1" si="61"/>
        <v/>
      </c>
      <c r="N422" s="10" t="s">
        <v>120</v>
      </c>
      <c r="O422" s="10" t="s">
        <v>122</v>
      </c>
      <c r="P422" s="133" t="s">
        <v>142</v>
      </c>
      <c r="Q422" s="18" t="s">
        <v>128</v>
      </c>
      <c r="R422" s="10" t="s">
        <v>133</v>
      </c>
      <c r="S422" s="69" t="s">
        <v>3074</v>
      </c>
      <c r="T422" s="10" t="s">
        <v>136</v>
      </c>
      <c r="U422" s="69">
        <v>3508100041</v>
      </c>
      <c r="V422" s="19"/>
      <c r="W422" s="69" t="s">
        <v>3075</v>
      </c>
      <c r="X422" s="10" t="s">
        <v>136</v>
      </c>
      <c r="Y422" s="69" t="s">
        <v>203</v>
      </c>
      <c r="Z422" s="69" t="s">
        <v>170</v>
      </c>
      <c r="AA422" s="137"/>
      <c r="AB422" s="137"/>
      <c r="AC422" s="13">
        <v>45678</v>
      </c>
      <c r="AD422" s="10" t="s">
        <v>1515</v>
      </c>
    </row>
    <row r="423" spans="1:30" ht="15.75" customHeight="1" x14ac:dyDescent="0.25">
      <c r="A423" s="10" t="s">
        <v>77</v>
      </c>
      <c r="B423" s="10" t="s">
        <v>86</v>
      </c>
      <c r="C423" s="10" t="s">
        <v>91</v>
      </c>
      <c r="D423" s="10" t="s">
        <v>92</v>
      </c>
      <c r="E423" s="69">
        <v>72268557</v>
      </c>
      <c r="F423" s="132" t="s">
        <v>259</v>
      </c>
      <c r="G423" s="69" t="s">
        <v>11</v>
      </c>
      <c r="H423" s="10" t="s">
        <v>3076</v>
      </c>
      <c r="I423" s="70">
        <v>44898</v>
      </c>
      <c r="J423" s="10" t="str">
        <f t="shared" ca="1" si="37"/>
        <v xml:space="preserve">3  Años, 8  Mes, 23 Dias </v>
      </c>
      <c r="K423" s="10" t="s">
        <v>113</v>
      </c>
      <c r="L423" s="24"/>
      <c r="M423" s="19" t="str">
        <f t="shared" ca="1" si="61"/>
        <v/>
      </c>
      <c r="N423" s="10" t="s">
        <v>120</v>
      </c>
      <c r="O423" s="10" t="s">
        <v>122</v>
      </c>
      <c r="P423" s="18" t="s">
        <v>142</v>
      </c>
      <c r="Q423" s="18" t="s">
        <v>128</v>
      </c>
      <c r="R423" s="10" t="s">
        <v>133</v>
      </c>
      <c r="S423" s="69" t="s">
        <v>3077</v>
      </c>
      <c r="T423" s="10" t="s">
        <v>136</v>
      </c>
      <c r="U423" s="69">
        <v>3246228195</v>
      </c>
      <c r="V423" s="19"/>
      <c r="W423" s="69" t="s">
        <v>3078</v>
      </c>
      <c r="X423" s="10" t="s">
        <v>136</v>
      </c>
      <c r="Y423" s="69" t="s">
        <v>253</v>
      </c>
      <c r="Z423" s="69" t="s">
        <v>170</v>
      </c>
      <c r="AA423" s="137"/>
      <c r="AB423" s="137"/>
      <c r="AC423" s="13">
        <v>45476</v>
      </c>
      <c r="AD423" s="24"/>
    </row>
    <row r="424" spans="1:30" ht="15.75" customHeight="1" x14ac:dyDescent="0.25">
      <c r="A424" s="10" t="s">
        <v>160</v>
      </c>
      <c r="B424" s="10" t="s">
        <v>86</v>
      </c>
      <c r="C424" s="10" t="s">
        <v>91</v>
      </c>
      <c r="D424" s="10" t="s">
        <v>92</v>
      </c>
      <c r="E424" s="133">
        <v>1045687114</v>
      </c>
      <c r="F424" s="127" t="s">
        <v>3079</v>
      </c>
      <c r="G424" s="67" t="s">
        <v>754</v>
      </c>
      <c r="H424" s="5"/>
      <c r="I424" s="138">
        <v>45584</v>
      </c>
      <c r="J424" s="5"/>
      <c r="K424" s="12" t="s">
        <v>113</v>
      </c>
      <c r="L424" s="5"/>
      <c r="M424" s="5"/>
      <c r="N424" s="10" t="s">
        <v>120</v>
      </c>
      <c r="O424" s="10" t="s">
        <v>122</v>
      </c>
      <c r="P424" s="18" t="s">
        <v>142</v>
      </c>
      <c r="Q424" s="18" t="s">
        <v>128</v>
      </c>
      <c r="R424" s="12" t="s">
        <v>133</v>
      </c>
      <c r="S424" s="67" t="s">
        <v>3080</v>
      </c>
      <c r="T424" s="10" t="s">
        <v>136</v>
      </c>
      <c r="U424" s="69" t="s">
        <v>3081</v>
      </c>
      <c r="V424" s="5"/>
      <c r="W424" s="139" t="s">
        <v>3082</v>
      </c>
      <c r="X424" s="10" t="s">
        <v>136</v>
      </c>
      <c r="Y424" s="67" t="s">
        <v>155</v>
      </c>
      <c r="Z424" s="67" t="s">
        <v>170</v>
      </c>
      <c r="AA424" s="140"/>
      <c r="AB424" s="140"/>
      <c r="AC424" s="35">
        <v>45656</v>
      </c>
      <c r="AD424" s="129"/>
    </row>
    <row r="425" spans="1:30" ht="15.75" customHeight="1" x14ac:dyDescent="0.25">
      <c r="A425" s="10" t="s">
        <v>77</v>
      </c>
      <c r="B425" s="10" t="s">
        <v>86</v>
      </c>
      <c r="C425" s="10" t="s">
        <v>91</v>
      </c>
      <c r="D425" s="10" t="s">
        <v>92</v>
      </c>
      <c r="E425" s="10">
        <v>1007199949</v>
      </c>
      <c r="F425" s="23" t="s">
        <v>3083</v>
      </c>
      <c r="G425" s="10" t="s">
        <v>11</v>
      </c>
      <c r="H425" s="10" t="s">
        <v>3084</v>
      </c>
      <c r="I425" s="13">
        <v>45309</v>
      </c>
      <c r="J425" s="10" t="str">
        <f t="shared" ref="J425:J426" ca="1" si="62">DATEDIF(I425,TODAY(),"Y")&amp;"  Años, "&amp;DATEDIF(I425,TODAY(),"Ym")&amp;"  Mes, "&amp;DATEDIF(I425,TODAY(),"MD")&amp;" Dias "</f>
        <v xml:space="preserve">2  Años, 7  Mes, 8 Dias </v>
      </c>
      <c r="K425" s="10" t="s">
        <v>113</v>
      </c>
      <c r="L425" s="13">
        <v>37569</v>
      </c>
      <c r="M425" s="10">
        <f t="shared" ref="M425:M426" ca="1" si="63">IF(L425=0,"", DATEDIF(L425,TODAY(),"y"))</f>
        <v>23</v>
      </c>
      <c r="N425" s="10" t="s">
        <v>120</v>
      </c>
      <c r="O425" s="10" t="s">
        <v>236</v>
      </c>
      <c r="P425" s="18" t="s">
        <v>142</v>
      </c>
      <c r="Q425" s="18" t="s">
        <v>128</v>
      </c>
      <c r="R425" s="10" t="s">
        <v>133</v>
      </c>
      <c r="S425" s="10" t="s">
        <v>3085</v>
      </c>
      <c r="T425" s="10" t="s">
        <v>801</v>
      </c>
      <c r="U425" s="10">
        <v>3005165345</v>
      </c>
      <c r="V425" s="19"/>
      <c r="W425" s="40" t="s">
        <v>3086</v>
      </c>
      <c r="X425" s="10" t="s">
        <v>136</v>
      </c>
      <c r="Y425" s="10" t="s">
        <v>155</v>
      </c>
      <c r="Z425" s="10" t="s">
        <v>170</v>
      </c>
      <c r="AA425" s="24"/>
      <c r="AB425" s="24"/>
      <c r="AC425" s="13">
        <v>45362</v>
      </c>
      <c r="AD425" s="24"/>
    </row>
    <row r="426" spans="1:30" ht="15.75" customHeight="1" x14ac:dyDescent="0.25">
      <c r="A426" s="10" t="s">
        <v>77</v>
      </c>
      <c r="B426" s="10" t="s">
        <v>90</v>
      </c>
      <c r="C426" s="10" t="s">
        <v>175</v>
      </c>
      <c r="D426" s="10" t="s">
        <v>92</v>
      </c>
      <c r="E426" s="10">
        <v>1143157527</v>
      </c>
      <c r="F426" s="23" t="s">
        <v>230</v>
      </c>
      <c r="G426" s="10" t="s">
        <v>741</v>
      </c>
      <c r="H426" s="10" t="s">
        <v>1696</v>
      </c>
      <c r="I426" s="13">
        <v>45831</v>
      </c>
      <c r="J426" s="10" t="str">
        <f t="shared" ca="1" si="62"/>
        <v xml:space="preserve">1  Años, 2  Mes, 3 Dias </v>
      </c>
      <c r="K426" s="10" t="s">
        <v>113</v>
      </c>
      <c r="L426" s="19"/>
      <c r="M426" s="19" t="str">
        <f t="shared" ca="1" si="63"/>
        <v/>
      </c>
      <c r="N426" s="10" t="s">
        <v>120</v>
      </c>
      <c r="O426" s="10" t="s">
        <v>122</v>
      </c>
      <c r="P426" s="10" t="s">
        <v>142</v>
      </c>
      <c r="Q426" s="10" t="s">
        <v>128</v>
      </c>
      <c r="R426" s="10" t="s">
        <v>133</v>
      </c>
      <c r="S426" s="10" t="s">
        <v>1704</v>
      </c>
      <c r="T426" s="10" t="s">
        <v>136</v>
      </c>
      <c r="U426" s="10">
        <v>3043420399</v>
      </c>
      <c r="V426" s="19"/>
      <c r="W426" s="10" t="s">
        <v>1705</v>
      </c>
      <c r="X426" s="10" t="s">
        <v>136</v>
      </c>
      <c r="Y426" s="10" t="s">
        <v>791</v>
      </c>
      <c r="Z426" s="10" t="s">
        <v>255</v>
      </c>
      <c r="AA426" s="24"/>
      <c r="AB426" s="24"/>
      <c r="AC426" s="24"/>
      <c r="AD426" s="13" t="s">
        <v>209</v>
      </c>
    </row>
    <row r="427" spans="1:30" ht="15.75" customHeight="1" x14ac:dyDescent="0.25">
      <c r="A427" s="10" t="s">
        <v>160</v>
      </c>
      <c r="B427" s="10" t="s">
        <v>86</v>
      </c>
      <c r="C427" s="10" t="s">
        <v>91</v>
      </c>
      <c r="D427" s="12" t="s">
        <v>92</v>
      </c>
      <c r="E427" s="10">
        <v>114311424</v>
      </c>
      <c r="F427" s="23" t="s">
        <v>3087</v>
      </c>
      <c r="G427" s="12" t="s">
        <v>688</v>
      </c>
      <c r="H427" s="12" t="s">
        <v>3088</v>
      </c>
      <c r="I427" s="53">
        <v>45597</v>
      </c>
      <c r="J427" s="5"/>
      <c r="K427" s="12" t="s">
        <v>113</v>
      </c>
      <c r="L427" s="5"/>
      <c r="M427" s="5"/>
      <c r="N427" s="10" t="s">
        <v>120</v>
      </c>
      <c r="O427" s="12" t="s">
        <v>236</v>
      </c>
      <c r="P427" s="18" t="s">
        <v>3089</v>
      </c>
      <c r="Q427" s="18" t="s">
        <v>128</v>
      </c>
      <c r="R427" s="12" t="s">
        <v>133</v>
      </c>
      <c r="S427" s="5"/>
      <c r="T427" s="12" t="s">
        <v>801</v>
      </c>
      <c r="U427" s="12">
        <v>3244623681</v>
      </c>
      <c r="V427" s="5"/>
      <c r="W427" s="5"/>
      <c r="X427" s="12" t="s">
        <v>136</v>
      </c>
      <c r="Y427" s="5"/>
      <c r="Z427" s="5"/>
      <c r="AA427" s="31"/>
      <c r="AB427" s="31"/>
      <c r="AC427" s="53">
        <v>45626</v>
      </c>
      <c r="AD427" s="31"/>
    </row>
    <row r="428" spans="1:30" ht="15.75" customHeight="1" x14ac:dyDescent="0.25">
      <c r="A428" s="10" t="s">
        <v>77</v>
      </c>
      <c r="B428" s="10" t="s">
        <v>90</v>
      </c>
      <c r="C428" s="10" t="s">
        <v>175</v>
      </c>
      <c r="D428" s="10" t="s">
        <v>92</v>
      </c>
      <c r="E428" s="10">
        <v>1079914028</v>
      </c>
      <c r="F428" s="23" t="s">
        <v>2066</v>
      </c>
      <c r="G428" s="141" t="s">
        <v>18</v>
      </c>
      <c r="H428" s="54" t="s">
        <v>2067</v>
      </c>
      <c r="I428" s="13">
        <v>45831</v>
      </c>
      <c r="J428" s="10" t="str">
        <f t="shared" ref="J428:J564" ca="1" si="64">DATEDIF(I428,TODAY(),"Y")&amp;"  Años, "&amp;DATEDIF(I428,TODAY(),"Ym")&amp;"  Mes, "&amp;DATEDIF(I428,TODAY(),"MD")&amp;" Dias "</f>
        <v xml:space="preserve">1  Años, 2  Mes, 3 Dias </v>
      </c>
      <c r="K428" s="10" t="s">
        <v>113</v>
      </c>
      <c r="L428" s="19"/>
      <c r="M428" s="19"/>
      <c r="N428" s="10" t="s">
        <v>120</v>
      </c>
      <c r="O428" s="10" t="s">
        <v>122</v>
      </c>
      <c r="P428" s="18" t="s">
        <v>142</v>
      </c>
      <c r="Q428" s="18" t="s">
        <v>128</v>
      </c>
      <c r="R428" s="10" t="s">
        <v>133</v>
      </c>
      <c r="S428" s="10" t="s">
        <v>2069</v>
      </c>
      <c r="T428" s="10" t="s">
        <v>136</v>
      </c>
      <c r="U428" s="10">
        <v>3243165372</v>
      </c>
      <c r="V428" s="19"/>
      <c r="W428" s="40" t="s">
        <v>2071</v>
      </c>
      <c r="X428" s="10" t="s">
        <v>136</v>
      </c>
      <c r="Y428" s="10" t="s">
        <v>539</v>
      </c>
      <c r="Z428" s="10" t="s">
        <v>170</v>
      </c>
      <c r="AA428" s="24"/>
      <c r="AB428" s="24"/>
      <c r="AC428" s="24"/>
      <c r="AD428" s="10" t="s">
        <v>209</v>
      </c>
    </row>
    <row r="429" spans="1:30" ht="15.75" customHeight="1" x14ac:dyDescent="0.25">
      <c r="A429" s="10" t="s">
        <v>77</v>
      </c>
      <c r="B429" s="10" t="s">
        <v>90</v>
      </c>
      <c r="C429" s="10" t="s">
        <v>175</v>
      </c>
      <c r="D429" s="10" t="s">
        <v>92</v>
      </c>
      <c r="E429" s="10">
        <v>1042422861</v>
      </c>
      <c r="F429" s="23" t="s">
        <v>470</v>
      </c>
      <c r="G429" s="10" t="s">
        <v>741</v>
      </c>
      <c r="H429" s="10" t="s">
        <v>1286</v>
      </c>
      <c r="I429" s="13">
        <v>45831</v>
      </c>
      <c r="J429" s="10" t="str">
        <f t="shared" ca="1" si="64"/>
        <v xml:space="preserve">1  Años, 2  Mes, 3 Dias </v>
      </c>
      <c r="K429" s="10" t="s">
        <v>113</v>
      </c>
      <c r="L429" s="19"/>
      <c r="M429" s="19" t="str">
        <f t="shared" ref="M429:M432" ca="1" si="65">IF(L429=0,"", DATEDIF(L429,TODAY(),"y"))</f>
        <v/>
      </c>
      <c r="N429" s="10" t="s">
        <v>120</v>
      </c>
      <c r="O429" s="10" t="s">
        <v>122</v>
      </c>
      <c r="P429" s="18" t="s">
        <v>142</v>
      </c>
      <c r="Q429" s="18" t="s">
        <v>648</v>
      </c>
      <c r="R429" s="10" t="s">
        <v>133</v>
      </c>
      <c r="S429" s="10" t="s">
        <v>1289</v>
      </c>
      <c r="T429" s="10" t="s">
        <v>136</v>
      </c>
      <c r="U429" s="10">
        <v>3046182964</v>
      </c>
      <c r="V429" s="19"/>
      <c r="W429" s="10" t="s">
        <v>1291</v>
      </c>
      <c r="X429" s="10" t="s">
        <v>136</v>
      </c>
      <c r="Y429" s="10" t="s">
        <v>206</v>
      </c>
      <c r="Z429" s="10" t="s">
        <v>216</v>
      </c>
      <c r="AA429" s="24"/>
      <c r="AB429" s="24"/>
      <c r="AC429" s="13">
        <v>45336</v>
      </c>
      <c r="AD429" s="10" t="s">
        <v>209</v>
      </c>
    </row>
    <row r="430" spans="1:30" ht="15.75" customHeight="1" x14ac:dyDescent="0.25">
      <c r="A430" s="10" t="s">
        <v>77</v>
      </c>
      <c r="B430" s="10" t="s">
        <v>90</v>
      </c>
      <c r="C430" s="10" t="s">
        <v>175</v>
      </c>
      <c r="D430" s="10" t="s">
        <v>92</v>
      </c>
      <c r="E430" s="29">
        <v>19603283</v>
      </c>
      <c r="F430" s="23" t="s">
        <v>251</v>
      </c>
      <c r="G430" s="10" t="s">
        <v>18</v>
      </c>
      <c r="H430" s="10" t="s">
        <v>1297</v>
      </c>
      <c r="I430" s="13">
        <v>45831</v>
      </c>
      <c r="J430" s="10" t="str">
        <f t="shared" ca="1" si="64"/>
        <v xml:space="preserve">1  Años, 2  Mes, 3 Dias </v>
      </c>
      <c r="K430" s="10" t="s">
        <v>113</v>
      </c>
      <c r="L430" s="19"/>
      <c r="M430" s="19" t="str">
        <f t="shared" ca="1" si="65"/>
        <v/>
      </c>
      <c r="N430" s="10" t="s">
        <v>120</v>
      </c>
      <c r="O430" s="10" t="s">
        <v>122</v>
      </c>
      <c r="P430" s="18" t="s">
        <v>210</v>
      </c>
      <c r="Q430" s="18" t="s">
        <v>128</v>
      </c>
      <c r="R430" s="10" t="s">
        <v>133</v>
      </c>
      <c r="S430" s="29" t="s">
        <v>1302</v>
      </c>
      <c r="T430" s="10" t="s">
        <v>136</v>
      </c>
      <c r="U430" s="29">
        <v>3108403470</v>
      </c>
      <c r="V430" s="19"/>
      <c r="W430" s="10" t="s">
        <v>1303</v>
      </c>
      <c r="X430" s="10" t="s">
        <v>136</v>
      </c>
      <c r="Y430" s="10" t="s">
        <v>791</v>
      </c>
      <c r="Z430" s="29" t="s">
        <v>170</v>
      </c>
      <c r="AA430" s="107"/>
      <c r="AB430" s="107"/>
      <c r="AC430" s="24"/>
      <c r="AD430" s="29" t="s">
        <v>209</v>
      </c>
    </row>
    <row r="431" spans="1:30" ht="15.75" customHeight="1" x14ac:dyDescent="0.25">
      <c r="A431" s="10" t="s">
        <v>77</v>
      </c>
      <c r="B431" s="10" t="s">
        <v>86</v>
      </c>
      <c r="C431" s="10" t="s">
        <v>91</v>
      </c>
      <c r="D431" s="10" t="s">
        <v>92</v>
      </c>
      <c r="E431" s="10">
        <v>1042449925</v>
      </c>
      <c r="F431" s="23" t="s">
        <v>245</v>
      </c>
      <c r="G431" s="10" t="s">
        <v>11</v>
      </c>
      <c r="H431" s="10" t="s">
        <v>3090</v>
      </c>
      <c r="I431" s="13">
        <v>45059</v>
      </c>
      <c r="J431" s="10" t="str">
        <f t="shared" ca="1" si="64"/>
        <v xml:space="preserve">3  Años, 3  Mes, 13 Dias </v>
      </c>
      <c r="K431" s="10" t="s">
        <v>113</v>
      </c>
      <c r="L431" s="63"/>
      <c r="M431" s="19" t="str">
        <f t="shared" ca="1" si="65"/>
        <v/>
      </c>
      <c r="N431" s="10" t="s">
        <v>120</v>
      </c>
      <c r="O431" s="10" t="s">
        <v>122</v>
      </c>
      <c r="P431" s="10" t="s">
        <v>142</v>
      </c>
      <c r="Q431" s="18" t="s">
        <v>128</v>
      </c>
      <c r="R431" s="10" t="s">
        <v>133</v>
      </c>
      <c r="S431" s="10" t="s">
        <v>3091</v>
      </c>
      <c r="T431" s="10" t="s">
        <v>136</v>
      </c>
      <c r="U431" s="10">
        <v>3043968113</v>
      </c>
      <c r="V431" s="10">
        <v>3043968113</v>
      </c>
      <c r="W431" s="10" t="s">
        <v>3092</v>
      </c>
      <c r="X431" s="10" t="s">
        <v>136</v>
      </c>
      <c r="Y431" s="10" t="s">
        <v>203</v>
      </c>
      <c r="Z431" s="10" t="s">
        <v>170</v>
      </c>
      <c r="AA431" s="24"/>
      <c r="AB431" s="24"/>
      <c r="AC431" s="13">
        <v>45329</v>
      </c>
      <c r="AD431" s="24"/>
    </row>
    <row r="432" spans="1:30" ht="15.75" customHeight="1" x14ac:dyDescent="0.25">
      <c r="A432" s="10" t="s">
        <v>77</v>
      </c>
      <c r="B432" s="10" t="s">
        <v>86</v>
      </c>
      <c r="C432" s="10" t="s">
        <v>91</v>
      </c>
      <c r="D432" s="10" t="s">
        <v>92</v>
      </c>
      <c r="E432" s="74">
        <v>1001889408</v>
      </c>
      <c r="F432" s="23" t="s">
        <v>242</v>
      </c>
      <c r="G432" s="10" t="s">
        <v>11</v>
      </c>
      <c r="H432" s="10" t="s">
        <v>3093</v>
      </c>
      <c r="I432" s="13">
        <v>45133</v>
      </c>
      <c r="J432" s="10" t="str">
        <f t="shared" ca="1" si="64"/>
        <v xml:space="preserve">3  Años, 1  Mes, 0 Dias </v>
      </c>
      <c r="K432" s="10" t="s">
        <v>113</v>
      </c>
      <c r="L432" s="24"/>
      <c r="M432" s="19" t="str">
        <f t="shared" ca="1" si="65"/>
        <v/>
      </c>
      <c r="N432" s="10" t="s">
        <v>120</v>
      </c>
      <c r="O432" s="10" t="s">
        <v>236</v>
      </c>
      <c r="P432" s="69" t="s">
        <v>142</v>
      </c>
      <c r="Q432" s="18" t="s">
        <v>128</v>
      </c>
      <c r="R432" s="10" t="s">
        <v>133</v>
      </c>
      <c r="S432" s="69" t="s">
        <v>3094</v>
      </c>
      <c r="T432" s="10" t="s">
        <v>136</v>
      </c>
      <c r="U432" s="69">
        <v>3008933201</v>
      </c>
      <c r="V432" s="69">
        <v>3232207468</v>
      </c>
      <c r="W432" s="69" t="s">
        <v>3095</v>
      </c>
      <c r="X432" s="10" t="s">
        <v>136</v>
      </c>
      <c r="Y432" s="69" t="s">
        <v>206</v>
      </c>
      <c r="Z432" s="10" t="s">
        <v>216</v>
      </c>
      <c r="AA432" s="24"/>
      <c r="AB432" s="24"/>
      <c r="AC432" s="13">
        <v>45451</v>
      </c>
      <c r="AD432" s="24"/>
    </row>
    <row r="433" spans="1:30" ht="15.75" customHeight="1" x14ac:dyDescent="0.25">
      <c r="A433" s="10" t="s">
        <v>77</v>
      </c>
      <c r="B433" s="10" t="s">
        <v>86</v>
      </c>
      <c r="C433" s="10" t="s">
        <v>91</v>
      </c>
      <c r="D433" s="10" t="s">
        <v>92</v>
      </c>
      <c r="E433" s="72">
        <v>72020658</v>
      </c>
      <c r="F433" s="15" t="s">
        <v>3096</v>
      </c>
      <c r="G433" s="10" t="s">
        <v>26</v>
      </c>
      <c r="H433" s="10" t="s">
        <v>3097</v>
      </c>
      <c r="I433" s="53">
        <v>45615</v>
      </c>
      <c r="J433" s="10" t="str">
        <f t="shared" ca="1" si="64"/>
        <v xml:space="preserve">1  Años, 9  Mes, 7 Dias </v>
      </c>
      <c r="K433" s="10" t="s">
        <v>113</v>
      </c>
      <c r="L433" s="20"/>
      <c r="M433" s="5"/>
      <c r="N433" s="10" t="s">
        <v>120</v>
      </c>
      <c r="O433" s="10" t="s">
        <v>236</v>
      </c>
      <c r="P433" s="67" t="s">
        <v>210</v>
      </c>
      <c r="Q433" s="18" t="s">
        <v>128</v>
      </c>
      <c r="R433" s="12" t="s">
        <v>133</v>
      </c>
      <c r="S433" s="67" t="s">
        <v>3098</v>
      </c>
      <c r="T433" s="12" t="s">
        <v>136</v>
      </c>
      <c r="U433" s="67">
        <v>3004443546</v>
      </c>
      <c r="V433" s="67">
        <v>3004443546</v>
      </c>
      <c r="W433" s="139" t="s">
        <v>3099</v>
      </c>
      <c r="X433" s="12" t="s">
        <v>136</v>
      </c>
      <c r="Y433" s="67" t="s">
        <v>203</v>
      </c>
      <c r="Z433" s="12" t="s">
        <v>288</v>
      </c>
      <c r="AA433" s="20"/>
      <c r="AB433" s="20"/>
      <c r="AC433" s="16">
        <v>45719</v>
      </c>
      <c r="AD433" s="10" t="s">
        <v>148</v>
      </c>
    </row>
    <row r="434" spans="1:30" ht="15.75" customHeight="1" x14ac:dyDescent="0.25">
      <c r="A434" s="10" t="s">
        <v>77</v>
      </c>
      <c r="B434" s="10" t="s">
        <v>86</v>
      </c>
      <c r="C434" s="10" t="s">
        <v>91</v>
      </c>
      <c r="D434" s="10" t="s">
        <v>92</v>
      </c>
      <c r="E434" s="74">
        <v>72045160</v>
      </c>
      <c r="F434" s="23" t="s">
        <v>237</v>
      </c>
      <c r="G434" s="10" t="s">
        <v>32</v>
      </c>
      <c r="H434" s="10" t="s">
        <v>3100</v>
      </c>
      <c r="I434" s="13">
        <v>44843</v>
      </c>
      <c r="J434" s="10" t="str">
        <f t="shared" ca="1" si="64"/>
        <v xml:space="preserve">3  Años, 10  Mes, 17 Dias </v>
      </c>
      <c r="K434" s="10" t="s">
        <v>113</v>
      </c>
      <c r="L434" s="19"/>
      <c r="M434" s="19" t="str">
        <f t="shared" ref="M434:M439" ca="1" si="66">IF(L434=0,"", DATEDIF(L434,TODAY(),"y"))</f>
        <v/>
      </c>
      <c r="N434" s="10" t="s">
        <v>120</v>
      </c>
      <c r="O434" s="10" t="s">
        <v>122</v>
      </c>
      <c r="P434" s="10" t="s">
        <v>142</v>
      </c>
      <c r="Q434" s="18" t="s">
        <v>128</v>
      </c>
      <c r="R434" s="10" t="s">
        <v>133</v>
      </c>
      <c r="S434" s="10" t="s">
        <v>3101</v>
      </c>
      <c r="T434" s="10" t="s">
        <v>136</v>
      </c>
      <c r="U434" s="10">
        <v>3005995768</v>
      </c>
      <c r="V434" s="19"/>
      <c r="W434" s="10" t="s">
        <v>3102</v>
      </c>
      <c r="X434" s="10" t="s">
        <v>136</v>
      </c>
      <c r="Y434" s="10" t="s">
        <v>206</v>
      </c>
      <c r="Z434" s="10" t="s">
        <v>170</v>
      </c>
      <c r="AA434" s="24"/>
      <c r="AB434" s="24"/>
      <c r="AC434" s="13">
        <v>45830</v>
      </c>
      <c r="AD434" s="10" t="s">
        <v>209</v>
      </c>
    </row>
    <row r="435" spans="1:30" ht="15.75" customHeight="1" x14ac:dyDescent="0.25">
      <c r="A435" s="10" t="s">
        <v>77</v>
      </c>
      <c r="B435" s="10" t="s">
        <v>90</v>
      </c>
      <c r="C435" s="10" t="s">
        <v>175</v>
      </c>
      <c r="D435" s="29" t="s">
        <v>92</v>
      </c>
      <c r="E435" s="74">
        <v>1044920594</v>
      </c>
      <c r="F435" s="23" t="s">
        <v>740</v>
      </c>
      <c r="G435" s="10" t="s">
        <v>26</v>
      </c>
      <c r="H435" s="29" t="s">
        <v>742</v>
      </c>
      <c r="I435" s="13">
        <v>45863</v>
      </c>
      <c r="J435" s="29" t="str">
        <f t="shared" ca="1" si="64"/>
        <v xml:space="preserve">1  Años, 1  Mes, 1 Dias </v>
      </c>
      <c r="K435" s="29" t="s">
        <v>113</v>
      </c>
      <c r="L435" s="39">
        <v>33497</v>
      </c>
      <c r="M435" s="29">
        <f t="shared" ca="1" si="66"/>
        <v>34</v>
      </c>
      <c r="N435" s="10" t="s">
        <v>120</v>
      </c>
      <c r="O435" s="29" t="s">
        <v>122</v>
      </c>
      <c r="P435" s="10" t="s">
        <v>142</v>
      </c>
      <c r="Q435" s="18" t="s">
        <v>128</v>
      </c>
      <c r="R435" s="10" t="s">
        <v>133</v>
      </c>
      <c r="S435" s="10" t="s">
        <v>747</v>
      </c>
      <c r="T435" s="10" t="s">
        <v>151</v>
      </c>
      <c r="U435" s="10">
        <v>3012719424</v>
      </c>
      <c r="V435" s="19"/>
      <c r="W435" s="10" t="s">
        <v>748</v>
      </c>
      <c r="X435" s="10" t="s">
        <v>136</v>
      </c>
      <c r="Y435" s="19"/>
      <c r="Z435" s="19"/>
      <c r="AA435" s="24"/>
      <c r="AB435" s="24"/>
      <c r="AC435" s="24"/>
      <c r="AD435" s="10" t="s">
        <v>209</v>
      </c>
    </row>
    <row r="436" spans="1:30" ht="15.75" customHeight="1" x14ac:dyDescent="0.25">
      <c r="A436" s="10" t="s">
        <v>77</v>
      </c>
      <c r="B436" s="10" t="s">
        <v>86</v>
      </c>
      <c r="C436" s="10" t="s">
        <v>91</v>
      </c>
      <c r="D436" s="10" t="s">
        <v>92</v>
      </c>
      <c r="E436" s="10">
        <v>92191638</v>
      </c>
      <c r="F436" s="23" t="s">
        <v>375</v>
      </c>
      <c r="G436" s="10" t="s">
        <v>11</v>
      </c>
      <c r="H436" s="10" t="s">
        <v>3103</v>
      </c>
      <c r="I436" s="13">
        <v>44843</v>
      </c>
      <c r="J436" s="10" t="str">
        <f t="shared" ca="1" si="64"/>
        <v xml:space="preserve">3  Años, 10  Mes, 17 Dias </v>
      </c>
      <c r="K436" s="10" t="s">
        <v>113</v>
      </c>
      <c r="L436" s="19"/>
      <c r="M436" s="19" t="str">
        <f t="shared" ca="1" si="66"/>
        <v/>
      </c>
      <c r="N436" s="10" t="s">
        <v>120</v>
      </c>
      <c r="O436" s="10" t="s">
        <v>122</v>
      </c>
      <c r="P436" s="10" t="s">
        <v>124</v>
      </c>
      <c r="Q436" s="18" t="s">
        <v>128</v>
      </c>
      <c r="R436" s="10" t="s">
        <v>133</v>
      </c>
      <c r="S436" s="10" t="s">
        <v>3104</v>
      </c>
      <c r="T436" s="10" t="s">
        <v>136</v>
      </c>
      <c r="U436" s="10">
        <v>3005128199</v>
      </c>
      <c r="V436" s="19"/>
      <c r="W436" s="10" t="s">
        <v>845</v>
      </c>
      <c r="X436" s="10" t="s">
        <v>136</v>
      </c>
      <c r="Y436" s="10" t="s">
        <v>206</v>
      </c>
      <c r="Z436" s="10" t="s">
        <v>170</v>
      </c>
      <c r="AA436" s="24"/>
      <c r="AB436" s="24"/>
      <c r="AC436" s="13">
        <v>45830</v>
      </c>
      <c r="AD436" s="10" t="s">
        <v>209</v>
      </c>
    </row>
    <row r="437" spans="1:30" ht="15.75" customHeight="1" x14ac:dyDescent="0.25">
      <c r="A437" s="10" t="s">
        <v>77</v>
      </c>
      <c r="B437" s="10" t="s">
        <v>90</v>
      </c>
      <c r="C437" s="10" t="s">
        <v>175</v>
      </c>
      <c r="D437" s="10" t="s">
        <v>92</v>
      </c>
      <c r="E437" s="10">
        <v>72241146</v>
      </c>
      <c r="F437" s="23" t="s">
        <v>247</v>
      </c>
      <c r="G437" s="10" t="s">
        <v>26</v>
      </c>
      <c r="H437" s="10" t="s">
        <v>1585</v>
      </c>
      <c r="I437" s="13">
        <v>45870</v>
      </c>
      <c r="J437" s="10" t="str">
        <f t="shared" ca="1" si="64"/>
        <v xml:space="preserve">1  Años, 0  Mes, 25 Dias </v>
      </c>
      <c r="K437" s="10" t="s">
        <v>113</v>
      </c>
      <c r="L437" s="30">
        <v>28806</v>
      </c>
      <c r="M437" s="10">
        <f t="shared" ca="1" si="66"/>
        <v>47</v>
      </c>
      <c r="N437" s="10" t="s">
        <v>120</v>
      </c>
      <c r="O437" s="10" t="s">
        <v>122</v>
      </c>
      <c r="P437" s="10" t="s">
        <v>142</v>
      </c>
      <c r="Q437" s="18" t="s">
        <v>128</v>
      </c>
      <c r="R437" s="10" t="s">
        <v>133</v>
      </c>
      <c r="S437" s="10" t="s">
        <v>1590</v>
      </c>
      <c r="T437" s="10" t="s">
        <v>151</v>
      </c>
      <c r="U437" s="10">
        <v>3013656552</v>
      </c>
      <c r="V437" s="19"/>
      <c r="W437" s="10" t="s">
        <v>1593</v>
      </c>
      <c r="X437" s="10" t="s">
        <v>136</v>
      </c>
      <c r="Y437" s="10" t="s">
        <v>791</v>
      </c>
      <c r="Z437" s="10" t="s">
        <v>216</v>
      </c>
      <c r="AA437" s="24"/>
      <c r="AB437" s="24"/>
      <c r="AC437" s="24"/>
      <c r="AD437" s="10" t="s">
        <v>209</v>
      </c>
    </row>
    <row r="438" spans="1:30" ht="15.75" customHeight="1" x14ac:dyDescent="0.25">
      <c r="A438" s="10" t="s">
        <v>77</v>
      </c>
      <c r="B438" s="10" t="s">
        <v>90</v>
      </c>
      <c r="C438" s="10" t="s">
        <v>175</v>
      </c>
      <c r="D438" s="10" t="s">
        <v>92</v>
      </c>
      <c r="E438" s="10">
        <v>1001855031</v>
      </c>
      <c r="F438" s="23" t="s">
        <v>234</v>
      </c>
      <c r="G438" s="10" t="s">
        <v>26</v>
      </c>
      <c r="H438" s="10" t="s">
        <v>1626</v>
      </c>
      <c r="I438" s="13">
        <v>45831</v>
      </c>
      <c r="J438" s="10" t="str">
        <f t="shared" ca="1" si="64"/>
        <v xml:space="preserve">1  Años, 2  Mes, 3 Dias </v>
      </c>
      <c r="K438" s="10" t="s">
        <v>113</v>
      </c>
      <c r="L438" s="19"/>
      <c r="M438" s="19" t="str">
        <f t="shared" ca="1" si="66"/>
        <v/>
      </c>
      <c r="N438" s="10" t="s">
        <v>120</v>
      </c>
      <c r="O438" s="10" t="s">
        <v>122</v>
      </c>
      <c r="P438" s="10" t="s">
        <v>142</v>
      </c>
      <c r="Q438" s="18" t="s">
        <v>128</v>
      </c>
      <c r="R438" s="10" t="s">
        <v>133</v>
      </c>
      <c r="S438" s="10" t="s">
        <v>1630</v>
      </c>
      <c r="T438" s="10" t="s">
        <v>136</v>
      </c>
      <c r="U438" s="10">
        <v>3012896096</v>
      </c>
      <c r="V438" s="10">
        <v>3012896096</v>
      </c>
      <c r="W438" s="74" t="s">
        <v>1632</v>
      </c>
      <c r="X438" s="10" t="s">
        <v>136</v>
      </c>
      <c r="Y438" s="10" t="s">
        <v>253</v>
      </c>
      <c r="Z438" s="10" t="s">
        <v>170</v>
      </c>
      <c r="AA438" s="63"/>
      <c r="AB438" s="63"/>
      <c r="AC438" s="63"/>
      <c r="AD438" s="10" t="s">
        <v>209</v>
      </c>
    </row>
    <row r="439" spans="1:30" ht="15.75" customHeight="1" x14ac:dyDescent="0.25">
      <c r="A439" s="10" t="s">
        <v>77</v>
      </c>
      <c r="B439" s="10" t="s">
        <v>90</v>
      </c>
      <c r="C439" s="10" t="s">
        <v>175</v>
      </c>
      <c r="D439" s="10" t="s">
        <v>92</v>
      </c>
      <c r="E439" s="12">
        <v>1001891036</v>
      </c>
      <c r="F439" s="15" t="s">
        <v>1345</v>
      </c>
      <c r="G439" s="10" t="s">
        <v>11</v>
      </c>
      <c r="H439" s="10" t="s">
        <v>1346</v>
      </c>
      <c r="I439" s="16">
        <v>45870</v>
      </c>
      <c r="J439" s="10" t="str">
        <f t="shared" ca="1" si="64"/>
        <v xml:space="preserve">1  Años, 0  Mes, 25 Dias </v>
      </c>
      <c r="K439" s="12" t="s">
        <v>113</v>
      </c>
      <c r="L439" s="16">
        <v>37924</v>
      </c>
      <c r="M439" s="10">
        <f t="shared" ca="1" si="66"/>
        <v>22</v>
      </c>
      <c r="N439" s="10" t="s">
        <v>120</v>
      </c>
      <c r="O439" s="10" t="s">
        <v>236</v>
      </c>
      <c r="P439" s="5"/>
      <c r="Q439" s="18" t="s">
        <v>128</v>
      </c>
      <c r="R439" s="10" t="s">
        <v>133</v>
      </c>
      <c r="S439" s="12" t="s">
        <v>1350</v>
      </c>
      <c r="T439" s="12" t="s">
        <v>136</v>
      </c>
      <c r="U439" s="12">
        <v>3014661149</v>
      </c>
      <c r="V439" s="5"/>
      <c r="W439" s="5"/>
      <c r="X439" s="10" t="s">
        <v>136</v>
      </c>
      <c r="Y439" s="5"/>
      <c r="Z439" s="5"/>
      <c r="AA439" s="20"/>
      <c r="AB439" s="20"/>
      <c r="AC439" s="20"/>
      <c r="AD439" s="10" t="s">
        <v>209</v>
      </c>
    </row>
    <row r="440" spans="1:30" ht="15.75" customHeight="1" x14ac:dyDescent="0.25">
      <c r="A440" s="10" t="s">
        <v>77</v>
      </c>
      <c r="B440" s="10" t="s">
        <v>86</v>
      </c>
      <c r="C440" s="10" t="s">
        <v>91</v>
      </c>
      <c r="D440" s="10" t="s">
        <v>92</v>
      </c>
      <c r="E440" s="10">
        <v>19563134</v>
      </c>
      <c r="F440" s="23" t="s">
        <v>3105</v>
      </c>
      <c r="G440" s="10" t="s">
        <v>18</v>
      </c>
      <c r="H440" s="10" t="s">
        <v>3106</v>
      </c>
      <c r="I440" s="30">
        <v>45467</v>
      </c>
      <c r="J440" s="10" t="str">
        <f t="shared" ca="1" si="64"/>
        <v xml:space="preserve">2  Años, 2  Mes, 2 Dias </v>
      </c>
      <c r="K440" s="10" t="s">
        <v>113</v>
      </c>
      <c r="L440" s="19"/>
      <c r="M440" s="19"/>
      <c r="N440" s="10" t="s">
        <v>120</v>
      </c>
      <c r="O440" s="10" t="s">
        <v>122</v>
      </c>
      <c r="P440" s="10" t="s">
        <v>210</v>
      </c>
      <c r="Q440" s="18" t="s">
        <v>128</v>
      </c>
      <c r="R440" s="10" t="s">
        <v>133</v>
      </c>
      <c r="S440" s="10" t="s">
        <v>3107</v>
      </c>
      <c r="T440" s="10" t="s">
        <v>151</v>
      </c>
      <c r="U440" s="10">
        <v>3106698106</v>
      </c>
      <c r="V440" s="10">
        <v>3106692106</v>
      </c>
      <c r="W440" s="59" t="s">
        <v>3108</v>
      </c>
      <c r="X440" s="10" t="s">
        <v>136</v>
      </c>
      <c r="Y440" s="10" t="s">
        <v>206</v>
      </c>
      <c r="Z440" s="10" t="s">
        <v>170</v>
      </c>
      <c r="AA440" s="24"/>
      <c r="AB440" s="24"/>
      <c r="AC440" s="13">
        <v>45830</v>
      </c>
      <c r="AD440" s="10" t="s">
        <v>209</v>
      </c>
    </row>
    <row r="441" spans="1:30" ht="15.75" customHeight="1" x14ac:dyDescent="0.25">
      <c r="A441" s="10" t="s">
        <v>77</v>
      </c>
      <c r="B441" s="10" t="s">
        <v>90</v>
      </c>
      <c r="C441" s="10" t="s">
        <v>175</v>
      </c>
      <c r="D441" s="10" t="s">
        <v>92</v>
      </c>
      <c r="E441" s="72">
        <v>1001879232</v>
      </c>
      <c r="F441" s="142" t="s">
        <v>829</v>
      </c>
      <c r="G441" s="74" t="s">
        <v>11</v>
      </c>
      <c r="H441" s="10" t="s">
        <v>830</v>
      </c>
      <c r="I441" s="16">
        <v>45876</v>
      </c>
      <c r="J441" s="10" t="str">
        <f t="shared" ca="1" si="64"/>
        <v xml:space="preserve">1  Años, 0  Mes, 19 Dias </v>
      </c>
      <c r="K441" s="12" t="s">
        <v>113</v>
      </c>
      <c r="L441" s="53">
        <v>37253</v>
      </c>
      <c r="M441" s="10">
        <f ca="1">IF(L441=0,"", DATEDIF(L441,TODAY(),"y"))</f>
        <v>24</v>
      </c>
      <c r="N441" s="10" t="s">
        <v>120</v>
      </c>
      <c r="O441" s="10" t="s">
        <v>277</v>
      </c>
      <c r="P441" s="5"/>
      <c r="Q441" s="18" t="s">
        <v>128</v>
      </c>
      <c r="R441" s="10" t="s">
        <v>133</v>
      </c>
      <c r="S441" s="12" t="s">
        <v>834</v>
      </c>
      <c r="T441" s="12" t="s">
        <v>151</v>
      </c>
      <c r="U441" s="12">
        <v>3234773994</v>
      </c>
      <c r="V441" s="5"/>
      <c r="W441" s="5"/>
      <c r="X441" s="10" t="s">
        <v>136</v>
      </c>
      <c r="Y441" s="5"/>
      <c r="Z441" s="5"/>
      <c r="AA441" s="20"/>
      <c r="AB441" s="20"/>
      <c r="AC441" s="20"/>
      <c r="AD441" s="10" t="s">
        <v>209</v>
      </c>
    </row>
    <row r="442" spans="1:30" ht="15.75" customHeight="1" x14ac:dyDescent="0.25">
      <c r="A442" s="10" t="s">
        <v>77</v>
      </c>
      <c r="B442" s="10" t="s">
        <v>86</v>
      </c>
      <c r="C442" s="10" t="s">
        <v>91</v>
      </c>
      <c r="D442" s="10" t="s">
        <v>92</v>
      </c>
      <c r="E442" s="10">
        <v>84083891</v>
      </c>
      <c r="F442" s="143" t="s">
        <v>3109</v>
      </c>
      <c r="G442" s="10" t="s">
        <v>26</v>
      </c>
      <c r="H442" s="10" t="s">
        <v>3110</v>
      </c>
      <c r="I442" s="13">
        <v>45451</v>
      </c>
      <c r="J442" s="10" t="str">
        <f t="shared" ca="1" si="64"/>
        <v xml:space="preserve">2  Años, 2  Mes, 18 Dias </v>
      </c>
      <c r="K442" s="10" t="s">
        <v>113</v>
      </c>
      <c r="L442" s="19"/>
      <c r="M442" s="19"/>
      <c r="N442" s="10" t="s">
        <v>120</v>
      </c>
      <c r="O442" s="10" t="s">
        <v>122</v>
      </c>
      <c r="P442" s="10" t="s">
        <v>124</v>
      </c>
      <c r="Q442" s="18" t="s">
        <v>128</v>
      </c>
      <c r="R442" s="10" t="s">
        <v>133</v>
      </c>
      <c r="S442" s="10" t="s">
        <v>3111</v>
      </c>
      <c r="T442" s="10" t="s">
        <v>136</v>
      </c>
      <c r="U442" s="10">
        <v>3248684077</v>
      </c>
      <c r="V442" s="19"/>
      <c r="W442" s="40" t="s">
        <v>3112</v>
      </c>
      <c r="X442" s="10" t="s">
        <v>136</v>
      </c>
      <c r="Y442" s="10" t="s">
        <v>155</v>
      </c>
      <c r="Z442" s="10" t="s">
        <v>170</v>
      </c>
      <c r="AA442" s="24"/>
      <c r="AB442" s="24"/>
      <c r="AC442" s="13">
        <v>45708</v>
      </c>
      <c r="AD442" s="10" t="s">
        <v>1515</v>
      </c>
    </row>
    <row r="443" spans="1:30" ht="15.75" customHeight="1" x14ac:dyDescent="0.25">
      <c r="A443" s="10" t="s">
        <v>77</v>
      </c>
      <c r="B443" s="10" t="s">
        <v>90</v>
      </c>
      <c r="C443" s="10" t="s">
        <v>175</v>
      </c>
      <c r="D443" s="10" t="s">
        <v>92</v>
      </c>
      <c r="E443" s="10">
        <v>1129519956</v>
      </c>
      <c r="F443" s="136" t="s">
        <v>1248</v>
      </c>
      <c r="G443" s="10" t="s">
        <v>11</v>
      </c>
      <c r="H443" s="10" t="s">
        <v>1249</v>
      </c>
      <c r="I443" s="13">
        <v>45853</v>
      </c>
      <c r="J443" s="10" t="str">
        <f t="shared" ca="1" si="64"/>
        <v xml:space="preserve">1  Años, 1  Mes, 11 Dias </v>
      </c>
      <c r="K443" s="10" t="s">
        <v>113</v>
      </c>
      <c r="L443" s="13">
        <v>31831</v>
      </c>
      <c r="M443" s="10">
        <f t="shared" ref="M443:M445" ca="1" si="67">IF(L443=0,"", DATEDIF(L443,TODAY(),"y"))</f>
        <v>39</v>
      </c>
      <c r="N443" s="10" t="s">
        <v>120</v>
      </c>
      <c r="O443" s="10" t="s">
        <v>122</v>
      </c>
      <c r="P443" s="10" t="s">
        <v>124</v>
      </c>
      <c r="Q443" s="18" t="s">
        <v>648</v>
      </c>
      <c r="R443" s="10" t="s">
        <v>133</v>
      </c>
      <c r="S443" s="10" t="s">
        <v>1252</v>
      </c>
      <c r="T443" s="10" t="s">
        <v>136</v>
      </c>
      <c r="U443" s="10">
        <v>3001652969</v>
      </c>
      <c r="V443" s="19"/>
      <c r="W443" s="19"/>
      <c r="X443" s="10" t="s">
        <v>136</v>
      </c>
      <c r="Y443" s="19"/>
      <c r="Z443" s="19"/>
      <c r="AA443" s="10">
        <v>3113011450</v>
      </c>
      <c r="AB443" s="10" t="s">
        <v>293</v>
      </c>
      <c r="AC443" s="24"/>
      <c r="AD443" s="10" t="s">
        <v>209</v>
      </c>
    </row>
    <row r="444" spans="1:30" ht="15.75" customHeight="1" x14ac:dyDescent="0.25">
      <c r="A444" s="10" t="s">
        <v>77</v>
      </c>
      <c r="B444" s="10" t="s">
        <v>86</v>
      </c>
      <c r="C444" s="10" t="s">
        <v>91</v>
      </c>
      <c r="D444" s="10" t="s">
        <v>92</v>
      </c>
      <c r="E444" s="10">
        <v>1046873210</v>
      </c>
      <c r="F444" s="144" t="s">
        <v>1368</v>
      </c>
      <c r="G444" s="10" t="s">
        <v>18</v>
      </c>
      <c r="H444" s="10" t="s">
        <v>3113</v>
      </c>
      <c r="I444" s="13">
        <v>44843</v>
      </c>
      <c r="J444" s="10" t="str">
        <f t="shared" ca="1" si="64"/>
        <v xml:space="preserve">3  Años, 10  Mes, 17 Dias </v>
      </c>
      <c r="K444" s="10" t="s">
        <v>113</v>
      </c>
      <c r="L444" s="19"/>
      <c r="M444" s="19" t="str">
        <f t="shared" ca="1" si="67"/>
        <v/>
      </c>
      <c r="N444" s="10" t="s">
        <v>120</v>
      </c>
      <c r="O444" s="10" t="s">
        <v>122</v>
      </c>
      <c r="P444" s="10" t="s">
        <v>142</v>
      </c>
      <c r="Q444" s="18" t="s">
        <v>128</v>
      </c>
      <c r="R444" s="10" t="s">
        <v>133</v>
      </c>
      <c r="S444" s="10" t="s">
        <v>3114</v>
      </c>
      <c r="T444" s="10" t="s">
        <v>136</v>
      </c>
      <c r="U444" s="10">
        <v>3024135767</v>
      </c>
      <c r="V444" s="19"/>
      <c r="W444" s="10" t="s">
        <v>3115</v>
      </c>
      <c r="X444" s="10" t="s">
        <v>136</v>
      </c>
      <c r="Y444" s="10" t="s">
        <v>203</v>
      </c>
      <c r="Z444" s="10" t="s">
        <v>216</v>
      </c>
      <c r="AA444" s="33"/>
      <c r="AB444" s="33"/>
      <c r="AC444" s="35">
        <v>44896</v>
      </c>
      <c r="AD444" s="10" t="s">
        <v>209</v>
      </c>
    </row>
    <row r="445" spans="1:30" ht="15.75" customHeight="1" x14ac:dyDescent="0.25">
      <c r="A445" s="10" t="s">
        <v>160</v>
      </c>
      <c r="B445" s="10" t="s">
        <v>90</v>
      </c>
      <c r="C445" s="10" t="s">
        <v>175</v>
      </c>
      <c r="D445" s="10" t="s">
        <v>92</v>
      </c>
      <c r="E445" s="12">
        <v>1045697704</v>
      </c>
      <c r="F445" s="15" t="s">
        <v>2389</v>
      </c>
      <c r="G445" s="10" t="s">
        <v>404</v>
      </c>
      <c r="H445" s="10" t="s">
        <v>2390</v>
      </c>
      <c r="I445" s="16">
        <v>45875</v>
      </c>
      <c r="J445" s="10" t="str">
        <f t="shared" ca="1" si="64"/>
        <v xml:space="preserve">1  Años, 0  Mes, 20 Dias </v>
      </c>
      <c r="K445" s="12" t="s">
        <v>113</v>
      </c>
      <c r="L445" s="16">
        <v>33365</v>
      </c>
      <c r="M445" s="10">
        <f t="shared" ca="1" si="67"/>
        <v>35</v>
      </c>
      <c r="N445" s="10" t="s">
        <v>120</v>
      </c>
      <c r="O445" s="10" t="s">
        <v>236</v>
      </c>
      <c r="P445" s="5"/>
      <c r="Q445" s="18" t="s">
        <v>128</v>
      </c>
      <c r="R445" s="10" t="s">
        <v>133</v>
      </c>
      <c r="S445" s="12" t="s">
        <v>2394</v>
      </c>
      <c r="T445" s="12" t="s">
        <v>507</v>
      </c>
      <c r="U445" s="12">
        <v>3014852778</v>
      </c>
      <c r="V445" s="5"/>
      <c r="W445" s="5"/>
      <c r="X445" s="10" t="s">
        <v>136</v>
      </c>
      <c r="Y445" s="5"/>
      <c r="Z445" s="5"/>
      <c r="AA445" s="5"/>
      <c r="AB445" s="5"/>
      <c r="AC445" s="5"/>
      <c r="AD445" s="10" t="s">
        <v>209</v>
      </c>
    </row>
    <row r="446" spans="1:30" ht="15.75" customHeight="1" x14ac:dyDescent="0.25">
      <c r="A446" s="10" t="s">
        <v>77</v>
      </c>
      <c r="B446" s="10" t="s">
        <v>86</v>
      </c>
      <c r="C446" s="10" t="s">
        <v>91</v>
      </c>
      <c r="D446" s="10" t="s">
        <v>92</v>
      </c>
      <c r="E446" s="12">
        <v>72272807</v>
      </c>
      <c r="F446" s="15" t="s">
        <v>3116</v>
      </c>
      <c r="G446" s="10" t="s">
        <v>26</v>
      </c>
      <c r="H446" s="12" t="s">
        <v>3117</v>
      </c>
      <c r="I446" s="53">
        <v>45567</v>
      </c>
      <c r="J446" s="10" t="str">
        <f t="shared" ca="1" si="64"/>
        <v xml:space="preserve">1  Años, 10  Mes, 24 Dias </v>
      </c>
      <c r="K446" s="10" t="s">
        <v>113</v>
      </c>
      <c r="L446" s="20"/>
      <c r="M446" s="5"/>
      <c r="N446" s="10" t="s">
        <v>120</v>
      </c>
      <c r="O446" s="10" t="s">
        <v>122</v>
      </c>
      <c r="P446" s="12" t="s">
        <v>210</v>
      </c>
      <c r="Q446" s="18" t="s">
        <v>128</v>
      </c>
      <c r="R446" s="10" t="s">
        <v>133</v>
      </c>
      <c r="S446" s="12" t="s">
        <v>3118</v>
      </c>
      <c r="T446" s="10" t="s">
        <v>136</v>
      </c>
      <c r="U446" s="10" t="s">
        <v>3119</v>
      </c>
      <c r="V446" s="5"/>
      <c r="W446" s="10" t="s">
        <v>3120</v>
      </c>
      <c r="X446" s="10" t="s">
        <v>136</v>
      </c>
      <c r="Y446" s="12" t="s">
        <v>3121</v>
      </c>
      <c r="Z446" s="12" t="s">
        <v>170</v>
      </c>
      <c r="AA446" s="20"/>
      <c r="AB446" s="20"/>
      <c r="AC446" s="16">
        <v>45727</v>
      </c>
      <c r="AD446" s="10" t="s">
        <v>148</v>
      </c>
    </row>
    <row r="447" spans="1:30" ht="15.75" customHeight="1" x14ac:dyDescent="0.25">
      <c r="A447" s="10" t="s">
        <v>77</v>
      </c>
      <c r="B447" s="10" t="s">
        <v>86</v>
      </c>
      <c r="C447" s="10" t="s">
        <v>91</v>
      </c>
      <c r="D447" s="10" t="s">
        <v>92</v>
      </c>
      <c r="E447" s="10">
        <v>1151202276</v>
      </c>
      <c r="F447" s="23" t="s">
        <v>3122</v>
      </c>
      <c r="G447" s="10" t="s">
        <v>18</v>
      </c>
      <c r="H447" s="10" t="s">
        <v>3123</v>
      </c>
      <c r="I447" s="13">
        <v>45520</v>
      </c>
      <c r="J447" s="10" t="str">
        <f t="shared" ca="1" si="64"/>
        <v xml:space="preserve">2  Años, 0  Mes, 10 Dias </v>
      </c>
      <c r="K447" s="10" t="s">
        <v>113</v>
      </c>
      <c r="L447" s="13">
        <v>36028</v>
      </c>
      <c r="M447" s="10">
        <f t="shared" ref="M447:M449" ca="1" si="68">IF(L447=0,"", DATEDIF(L447,TODAY(),"y"))</f>
        <v>28</v>
      </c>
      <c r="N447" s="10" t="s">
        <v>120</v>
      </c>
      <c r="O447" s="10" t="s">
        <v>236</v>
      </c>
      <c r="P447" s="10" t="s">
        <v>142</v>
      </c>
      <c r="Q447" s="18" t="s">
        <v>128</v>
      </c>
      <c r="R447" s="10" t="s">
        <v>133</v>
      </c>
      <c r="S447" s="10" t="s">
        <v>1667</v>
      </c>
      <c r="T447" s="10" t="s">
        <v>136</v>
      </c>
      <c r="U447" s="10">
        <v>3126550234</v>
      </c>
      <c r="V447" s="19"/>
      <c r="W447" s="40" t="s">
        <v>3124</v>
      </c>
      <c r="X447" s="10" t="s">
        <v>136</v>
      </c>
      <c r="Y447" s="10" t="s">
        <v>155</v>
      </c>
      <c r="Z447" s="10" t="s">
        <v>170</v>
      </c>
      <c r="AA447" s="24"/>
      <c r="AB447" s="24"/>
      <c r="AC447" s="13">
        <v>45696</v>
      </c>
      <c r="AD447" s="10" t="s">
        <v>148</v>
      </c>
    </row>
    <row r="448" spans="1:30" ht="15.75" customHeight="1" x14ac:dyDescent="0.25">
      <c r="A448" s="10" t="s">
        <v>77</v>
      </c>
      <c r="B448" s="10" t="s">
        <v>86</v>
      </c>
      <c r="C448" s="10" t="s">
        <v>91</v>
      </c>
      <c r="D448" s="10" t="s">
        <v>92</v>
      </c>
      <c r="E448" s="10">
        <v>1047473769</v>
      </c>
      <c r="F448" s="23" t="s">
        <v>220</v>
      </c>
      <c r="G448" s="10" t="s">
        <v>18</v>
      </c>
      <c r="H448" s="10" t="s">
        <v>3125</v>
      </c>
      <c r="I448" s="30">
        <v>45282</v>
      </c>
      <c r="J448" s="10" t="str">
        <f t="shared" ca="1" si="64"/>
        <v xml:space="preserve">2  Años, 8  Mes, 4 Dias </v>
      </c>
      <c r="K448" s="10" t="s">
        <v>113</v>
      </c>
      <c r="L448" s="19"/>
      <c r="M448" s="19" t="str">
        <f t="shared" ca="1" si="68"/>
        <v/>
      </c>
      <c r="N448" s="10" t="s">
        <v>120</v>
      </c>
      <c r="O448" s="10" t="s">
        <v>122</v>
      </c>
      <c r="P448" s="10" t="s">
        <v>142</v>
      </c>
      <c r="Q448" s="18" t="s">
        <v>128</v>
      </c>
      <c r="R448" s="10" t="s">
        <v>133</v>
      </c>
      <c r="S448" s="10" t="s">
        <v>3126</v>
      </c>
      <c r="T448" s="10" t="s">
        <v>136</v>
      </c>
      <c r="U448" s="10">
        <v>3011854958</v>
      </c>
      <c r="V448" s="10">
        <v>3011854958</v>
      </c>
      <c r="W448" s="10" t="s">
        <v>3127</v>
      </c>
      <c r="X448" s="10" t="s">
        <v>136</v>
      </c>
      <c r="Y448" s="10" t="s">
        <v>206</v>
      </c>
      <c r="Z448" s="10" t="s">
        <v>170</v>
      </c>
      <c r="AA448" s="24"/>
      <c r="AB448" s="24"/>
      <c r="AC448" s="13">
        <v>45731</v>
      </c>
      <c r="AD448" s="10" t="s">
        <v>148</v>
      </c>
    </row>
    <row r="449" spans="1:30" ht="15.75" customHeight="1" x14ac:dyDescent="0.25">
      <c r="A449" s="10" t="s">
        <v>77</v>
      </c>
      <c r="B449" s="10" t="s">
        <v>86</v>
      </c>
      <c r="C449" s="10" t="s">
        <v>91</v>
      </c>
      <c r="D449" s="10" t="s">
        <v>92</v>
      </c>
      <c r="E449" s="12">
        <v>1047473769</v>
      </c>
      <c r="F449" s="136" t="s">
        <v>220</v>
      </c>
      <c r="G449" s="10" t="s">
        <v>18</v>
      </c>
      <c r="H449" s="22" t="s">
        <v>3128</v>
      </c>
      <c r="I449" s="13">
        <v>45831</v>
      </c>
      <c r="J449" s="10" t="str">
        <f t="shared" ca="1" si="64"/>
        <v xml:space="preserve">1  Años, 2  Mes, 3 Dias </v>
      </c>
      <c r="K449" s="12" t="s">
        <v>113</v>
      </c>
      <c r="L449" s="16">
        <v>34307</v>
      </c>
      <c r="M449" s="10">
        <f t="shared" ca="1" si="68"/>
        <v>32</v>
      </c>
      <c r="N449" s="10" t="s">
        <v>120</v>
      </c>
      <c r="O449" s="10" t="s">
        <v>236</v>
      </c>
      <c r="P449" s="12" t="s">
        <v>142</v>
      </c>
      <c r="Q449" s="18" t="s">
        <v>128</v>
      </c>
      <c r="R449" s="10" t="s">
        <v>133</v>
      </c>
      <c r="S449" s="5"/>
      <c r="T449" s="5"/>
      <c r="U449" s="12">
        <v>3183246302</v>
      </c>
      <c r="V449" s="5"/>
      <c r="W449" s="12" t="s">
        <v>3129</v>
      </c>
      <c r="X449" s="12" t="s">
        <v>136</v>
      </c>
      <c r="Y449" s="5"/>
      <c r="Z449" s="5"/>
      <c r="AA449" s="20"/>
      <c r="AB449" s="20"/>
      <c r="AC449" s="20"/>
      <c r="AD449" s="13" t="s">
        <v>209</v>
      </c>
    </row>
    <row r="450" spans="1:30" ht="15.75" customHeight="1" x14ac:dyDescent="0.25">
      <c r="A450" s="10" t="s">
        <v>77</v>
      </c>
      <c r="B450" s="10" t="s">
        <v>86</v>
      </c>
      <c r="C450" s="10" t="s">
        <v>91</v>
      </c>
      <c r="D450" s="10" t="s">
        <v>92</v>
      </c>
      <c r="E450" s="10">
        <v>1001972041</v>
      </c>
      <c r="F450" s="23" t="s">
        <v>3130</v>
      </c>
      <c r="G450" s="10" t="s">
        <v>18</v>
      </c>
      <c r="H450" s="10" t="s">
        <v>3131</v>
      </c>
      <c r="I450" s="13">
        <v>45517</v>
      </c>
      <c r="J450" s="10" t="str">
        <f t="shared" ca="1" si="64"/>
        <v xml:space="preserve">2  Años, 0  Mes, 13 Dias </v>
      </c>
      <c r="K450" s="10" t="s">
        <v>113</v>
      </c>
      <c r="L450" s="19"/>
      <c r="M450" s="19"/>
      <c r="N450" s="10" t="s">
        <v>120</v>
      </c>
      <c r="O450" s="10" t="s">
        <v>122</v>
      </c>
      <c r="P450" s="10" t="s">
        <v>142</v>
      </c>
      <c r="Q450" s="18" t="s">
        <v>128</v>
      </c>
      <c r="R450" s="10" t="s">
        <v>133</v>
      </c>
      <c r="S450" s="10" t="s">
        <v>3132</v>
      </c>
      <c r="T450" s="10" t="s">
        <v>136</v>
      </c>
      <c r="U450" s="10">
        <v>3227464436</v>
      </c>
      <c r="V450" s="19"/>
      <c r="W450" s="40" t="s">
        <v>3133</v>
      </c>
      <c r="X450" s="10" t="s">
        <v>136</v>
      </c>
      <c r="Y450" s="10" t="s">
        <v>155</v>
      </c>
      <c r="Z450" s="10" t="s">
        <v>170</v>
      </c>
      <c r="AA450" s="24"/>
      <c r="AB450" s="24"/>
      <c r="AC450" s="13">
        <v>45723</v>
      </c>
      <c r="AD450" s="10" t="s">
        <v>1114</v>
      </c>
    </row>
    <row r="451" spans="1:30" ht="15.75" customHeight="1" x14ac:dyDescent="0.25">
      <c r="A451" s="10" t="s">
        <v>77</v>
      </c>
      <c r="B451" s="10" t="s">
        <v>86</v>
      </c>
      <c r="C451" s="10" t="s">
        <v>91</v>
      </c>
      <c r="D451" s="10" t="s">
        <v>92</v>
      </c>
      <c r="E451" s="10">
        <v>1047418927</v>
      </c>
      <c r="F451" s="23" t="s">
        <v>218</v>
      </c>
      <c r="G451" s="10" t="s">
        <v>18</v>
      </c>
      <c r="H451" s="10" t="s">
        <v>3134</v>
      </c>
      <c r="I451" s="30">
        <v>45282</v>
      </c>
      <c r="J451" s="10" t="str">
        <f t="shared" ca="1" si="64"/>
        <v xml:space="preserve">2  Años, 8  Mes, 4 Dias </v>
      </c>
      <c r="K451" s="10" t="s">
        <v>113</v>
      </c>
      <c r="L451" s="24"/>
      <c r="M451" s="19" t="str">
        <f t="shared" ref="M451:M456" ca="1" si="69">IF(L451=0,"", DATEDIF(L451,TODAY(),"y"))</f>
        <v/>
      </c>
      <c r="N451" s="10" t="s">
        <v>120</v>
      </c>
      <c r="O451" s="10" t="s">
        <v>122</v>
      </c>
      <c r="P451" s="10" t="s">
        <v>142</v>
      </c>
      <c r="Q451" s="18" t="s">
        <v>128</v>
      </c>
      <c r="R451" s="10" t="s">
        <v>133</v>
      </c>
      <c r="S451" s="10" t="s">
        <v>3126</v>
      </c>
      <c r="T451" s="10" t="s">
        <v>136</v>
      </c>
      <c r="U451" s="10">
        <v>3233741883</v>
      </c>
      <c r="V451" s="10">
        <v>3233741883</v>
      </c>
      <c r="W451" s="10" t="s">
        <v>3135</v>
      </c>
      <c r="X451" s="10" t="s">
        <v>136</v>
      </c>
      <c r="Y451" s="10" t="s">
        <v>203</v>
      </c>
      <c r="Z451" s="10" t="s">
        <v>170</v>
      </c>
      <c r="AA451" s="19"/>
      <c r="AB451" s="19"/>
      <c r="AC451" s="19"/>
      <c r="AD451" s="10" t="s">
        <v>209</v>
      </c>
    </row>
    <row r="452" spans="1:30" ht="15.75" customHeight="1" x14ac:dyDescent="0.25">
      <c r="A452" s="10" t="s">
        <v>77</v>
      </c>
      <c r="B452" s="10" t="s">
        <v>86</v>
      </c>
      <c r="C452" s="10" t="s">
        <v>91</v>
      </c>
      <c r="D452" s="10" t="s">
        <v>92</v>
      </c>
      <c r="E452" s="12">
        <v>1143160321</v>
      </c>
      <c r="F452" s="15" t="s">
        <v>3136</v>
      </c>
      <c r="G452" s="12" t="s">
        <v>26</v>
      </c>
      <c r="H452" s="12" t="s">
        <v>3137</v>
      </c>
      <c r="I452" s="16">
        <v>45776</v>
      </c>
      <c r="J452" s="10" t="str">
        <f t="shared" ca="1" si="64"/>
        <v xml:space="preserve">1  Años, 3  Mes, 28 Dias </v>
      </c>
      <c r="K452" s="12" t="s">
        <v>113</v>
      </c>
      <c r="L452" s="16">
        <v>35492</v>
      </c>
      <c r="M452" s="10">
        <f t="shared" ca="1" si="69"/>
        <v>29</v>
      </c>
      <c r="N452" s="10" t="s">
        <v>120</v>
      </c>
      <c r="O452" s="10" t="s">
        <v>236</v>
      </c>
      <c r="P452" s="12" t="s">
        <v>142</v>
      </c>
      <c r="Q452" s="18" t="s">
        <v>128</v>
      </c>
      <c r="R452" s="10" t="s">
        <v>133</v>
      </c>
      <c r="S452" s="12" t="s">
        <v>3138</v>
      </c>
      <c r="T452" s="12" t="s">
        <v>136</v>
      </c>
      <c r="U452" s="12">
        <v>3044229489</v>
      </c>
      <c r="V452" s="5"/>
      <c r="W452" s="12" t="s">
        <v>3139</v>
      </c>
      <c r="X452" s="12" t="s">
        <v>136</v>
      </c>
      <c r="Y452" s="12" t="s">
        <v>539</v>
      </c>
      <c r="Z452" s="5"/>
      <c r="AA452" s="5"/>
      <c r="AB452" s="5"/>
      <c r="AC452" s="5"/>
      <c r="AD452" s="10" t="s">
        <v>209</v>
      </c>
    </row>
    <row r="453" spans="1:30" ht="15.75" customHeight="1" x14ac:dyDescent="0.25">
      <c r="A453" s="10" t="s">
        <v>77</v>
      </c>
      <c r="B453" s="10" t="s">
        <v>90</v>
      </c>
      <c r="C453" s="10" t="s">
        <v>175</v>
      </c>
      <c r="D453" s="10" t="s">
        <v>92</v>
      </c>
      <c r="E453" s="10">
        <v>84083891</v>
      </c>
      <c r="F453" s="23" t="s">
        <v>3109</v>
      </c>
      <c r="G453" s="10" t="s">
        <v>26</v>
      </c>
      <c r="H453" s="10" t="s">
        <v>1661</v>
      </c>
      <c r="I453" s="13">
        <v>45870</v>
      </c>
      <c r="J453" s="10" t="str">
        <f t="shared" ca="1" si="64"/>
        <v xml:space="preserve">1  Años, 0  Mes, 25 Dias </v>
      </c>
      <c r="K453" s="10" t="s">
        <v>113</v>
      </c>
      <c r="L453" s="13">
        <v>28350</v>
      </c>
      <c r="M453" s="10">
        <f t="shared" ca="1" si="69"/>
        <v>49</v>
      </c>
      <c r="N453" s="10" t="s">
        <v>120</v>
      </c>
      <c r="O453" s="10" t="s">
        <v>122</v>
      </c>
      <c r="P453" s="10" t="s">
        <v>124</v>
      </c>
      <c r="Q453" s="18" t="s">
        <v>128</v>
      </c>
      <c r="R453" s="10" t="s">
        <v>133</v>
      </c>
      <c r="S453" s="10" t="s">
        <v>1664</v>
      </c>
      <c r="T453" s="10" t="s">
        <v>151</v>
      </c>
      <c r="U453" s="10">
        <v>3125745762</v>
      </c>
      <c r="V453" s="19"/>
      <c r="W453" s="40" t="s">
        <v>1665</v>
      </c>
      <c r="X453" s="10" t="s">
        <v>136</v>
      </c>
      <c r="Y453" s="10" t="s">
        <v>155</v>
      </c>
      <c r="Z453" s="10" t="s">
        <v>288</v>
      </c>
      <c r="AA453" s="24"/>
      <c r="AB453" s="24"/>
      <c r="AC453" s="24"/>
      <c r="AD453" s="24"/>
    </row>
    <row r="454" spans="1:30" ht="15.75" customHeight="1" x14ac:dyDescent="0.25">
      <c r="A454" s="10" t="s">
        <v>77</v>
      </c>
      <c r="B454" s="10" t="s">
        <v>86</v>
      </c>
      <c r="C454" s="10" t="s">
        <v>91</v>
      </c>
      <c r="D454" s="10" t="s">
        <v>92</v>
      </c>
      <c r="E454" s="37">
        <v>1042464626</v>
      </c>
      <c r="F454" s="38" t="s">
        <v>3140</v>
      </c>
      <c r="G454" s="10" t="s">
        <v>11</v>
      </c>
      <c r="H454" s="10" t="s">
        <v>3141</v>
      </c>
      <c r="I454" s="13">
        <v>45419</v>
      </c>
      <c r="J454" s="10" t="str">
        <f t="shared" ca="1" si="64"/>
        <v xml:space="preserve">2  Años, 3  Mes, 19 Dias </v>
      </c>
      <c r="K454" s="10" t="s">
        <v>113</v>
      </c>
      <c r="L454" s="36">
        <v>29022</v>
      </c>
      <c r="M454" s="10">
        <f t="shared" ca="1" si="69"/>
        <v>47</v>
      </c>
      <c r="N454" s="10" t="s">
        <v>120</v>
      </c>
      <c r="O454" s="10" t="s">
        <v>122</v>
      </c>
      <c r="P454" s="10" t="s">
        <v>210</v>
      </c>
      <c r="Q454" s="18" t="s">
        <v>128</v>
      </c>
      <c r="R454" s="10" t="s">
        <v>133</v>
      </c>
      <c r="S454" s="37" t="s">
        <v>3142</v>
      </c>
      <c r="T454" s="10" t="s">
        <v>801</v>
      </c>
      <c r="U454" s="10">
        <v>3002631455</v>
      </c>
      <c r="V454" s="19"/>
      <c r="W454" s="109" t="s">
        <v>3143</v>
      </c>
      <c r="X454" s="10" t="s">
        <v>136</v>
      </c>
      <c r="Y454" s="37" t="s">
        <v>169</v>
      </c>
      <c r="Z454" s="10" t="s">
        <v>170</v>
      </c>
      <c r="AA454" s="33"/>
      <c r="AB454" s="33"/>
      <c r="AC454" s="35">
        <v>45656</v>
      </c>
      <c r="AD454" s="19"/>
    </row>
    <row r="455" spans="1:30" ht="15.75" customHeight="1" x14ac:dyDescent="0.25">
      <c r="A455" s="10" t="s">
        <v>77</v>
      </c>
      <c r="B455" s="10" t="s">
        <v>90</v>
      </c>
      <c r="C455" s="10" t="s">
        <v>175</v>
      </c>
      <c r="D455" s="10" t="s">
        <v>92</v>
      </c>
      <c r="E455" s="10">
        <v>1124009178</v>
      </c>
      <c r="F455" s="23" t="s">
        <v>1368</v>
      </c>
      <c r="G455" s="10" t="s">
        <v>18</v>
      </c>
      <c r="H455" s="10" t="s">
        <v>1369</v>
      </c>
      <c r="I455" s="13">
        <v>45831</v>
      </c>
      <c r="J455" s="10" t="str">
        <f t="shared" ca="1" si="64"/>
        <v xml:space="preserve">1  Años, 2  Mes, 3 Dias </v>
      </c>
      <c r="K455" s="10" t="s">
        <v>113</v>
      </c>
      <c r="L455" s="13">
        <v>32451</v>
      </c>
      <c r="M455" s="10">
        <f t="shared" ca="1" si="69"/>
        <v>37</v>
      </c>
      <c r="N455" s="10" t="s">
        <v>120</v>
      </c>
      <c r="O455" s="10" t="s">
        <v>122</v>
      </c>
      <c r="P455" s="10" t="s">
        <v>142</v>
      </c>
      <c r="Q455" s="18" t="s">
        <v>128</v>
      </c>
      <c r="R455" s="10" t="s">
        <v>133</v>
      </c>
      <c r="S455" s="10" t="s">
        <v>1370</v>
      </c>
      <c r="T455" s="10" t="s">
        <v>136</v>
      </c>
      <c r="U455" s="10">
        <v>3008041910</v>
      </c>
      <c r="V455" s="19"/>
      <c r="W455" s="40" t="s">
        <v>1371</v>
      </c>
      <c r="X455" s="10" t="s">
        <v>136</v>
      </c>
      <c r="Y455" s="10" t="s">
        <v>169</v>
      </c>
      <c r="Z455" s="10" t="s">
        <v>170</v>
      </c>
      <c r="AA455" s="24"/>
      <c r="AB455" s="24"/>
      <c r="AC455" s="24"/>
      <c r="AD455" s="10" t="s">
        <v>209</v>
      </c>
    </row>
    <row r="456" spans="1:30" ht="15.75" customHeight="1" x14ac:dyDescent="0.25">
      <c r="A456" s="10" t="s">
        <v>77</v>
      </c>
      <c r="B456" s="10" t="s">
        <v>86</v>
      </c>
      <c r="C456" s="10" t="s">
        <v>91</v>
      </c>
      <c r="D456" s="10" t="s">
        <v>92</v>
      </c>
      <c r="E456" s="10">
        <v>72054126</v>
      </c>
      <c r="F456" s="23" t="s">
        <v>3144</v>
      </c>
      <c r="G456" s="10" t="s">
        <v>26</v>
      </c>
      <c r="H456" s="10" t="s">
        <v>3145</v>
      </c>
      <c r="I456" s="13">
        <v>45302</v>
      </c>
      <c r="J456" s="10" t="str">
        <f t="shared" ca="1" si="64"/>
        <v xml:space="preserve">2  Años, 7  Mes, 15 Dias </v>
      </c>
      <c r="K456" s="10" t="s">
        <v>113</v>
      </c>
      <c r="L456" s="52">
        <v>30537</v>
      </c>
      <c r="M456" s="10">
        <f t="shared" ca="1" si="69"/>
        <v>43</v>
      </c>
      <c r="N456" s="10" t="s">
        <v>120</v>
      </c>
      <c r="O456" s="10" t="s">
        <v>122</v>
      </c>
      <c r="P456" s="10" t="s">
        <v>142</v>
      </c>
      <c r="Q456" s="18" t="s">
        <v>128</v>
      </c>
      <c r="R456" s="10" t="s">
        <v>133</v>
      </c>
      <c r="S456" s="10" t="s">
        <v>3146</v>
      </c>
      <c r="T456" s="10" t="s">
        <v>507</v>
      </c>
      <c r="U456" s="10">
        <v>3044282217</v>
      </c>
      <c r="V456" s="19"/>
      <c r="W456" s="10" t="s">
        <v>3147</v>
      </c>
      <c r="X456" s="10" t="s">
        <v>136</v>
      </c>
      <c r="Y456" s="10" t="s">
        <v>215</v>
      </c>
      <c r="Z456" s="10" t="s">
        <v>288</v>
      </c>
      <c r="AA456" s="24"/>
      <c r="AB456" s="24"/>
      <c r="AC456" s="13">
        <v>45317</v>
      </c>
      <c r="AD456" s="24"/>
    </row>
    <row r="457" spans="1:30" ht="15.75" customHeight="1" x14ac:dyDescent="0.25">
      <c r="A457" s="10" t="s">
        <v>77</v>
      </c>
      <c r="B457" s="10" t="s">
        <v>86</v>
      </c>
      <c r="C457" s="10" t="s">
        <v>91</v>
      </c>
      <c r="D457" s="10" t="s">
        <v>92</v>
      </c>
      <c r="E457" s="12">
        <v>72054126</v>
      </c>
      <c r="F457" s="15" t="s">
        <v>3148</v>
      </c>
      <c r="G457" s="10" t="s">
        <v>26</v>
      </c>
      <c r="H457" s="10" t="s">
        <v>3145</v>
      </c>
      <c r="I457" s="53">
        <v>45588</v>
      </c>
      <c r="J457" s="10" t="str">
        <f t="shared" ca="1" si="64"/>
        <v xml:space="preserve">1  Años, 10  Mes, 3 Dias </v>
      </c>
      <c r="K457" s="12" t="s">
        <v>113</v>
      </c>
      <c r="L457" s="5"/>
      <c r="M457" s="5"/>
      <c r="N457" s="10" t="s">
        <v>120</v>
      </c>
      <c r="O457" s="10" t="s">
        <v>122</v>
      </c>
      <c r="P457" s="12" t="s">
        <v>142</v>
      </c>
      <c r="Q457" s="18" t="s">
        <v>128</v>
      </c>
      <c r="R457" s="12" t="s">
        <v>133</v>
      </c>
      <c r="S457" s="10" t="s">
        <v>3149</v>
      </c>
      <c r="T457" s="10" t="s">
        <v>136</v>
      </c>
      <c r="U457" s="12" t="s">
        <v>3150</v>
      </c>
      <c r="V457" s="5"/>
      <c r="W457" s="12" t="s">
        <v>3147</v>
      </c>
      <c r="X457" s="10" t="s">
        <v>136</v>
      </c>
      <c r="Y457" s="10" t="s">
        <v>215</v>
      </c>
      <c r="Z457" s="5"/>
      <c r="AA457" s="20"/>
      <c r="AB457" s="20"/>
      <c r="AC457" s="16">
        <v>45752</v>
      </c>
      <c r="AD457" s="10" t="s">
        <v>148</v>
      </c>
    </row>
    <row r="458" spans="1:30" ht="15.75" customHeight="1" x14ac:dyDescent="0.25">
      <c r="A458" s="10" t="s">
        <v>77</v>
      </c>
      <c r="B458" s="10" t="s">
        <v>86</v>
      </c>
      <c r="C458" s="10" t="s">
        <v>91</v>
      </c>
      <c r="D458" s="10" t="s">
        <v>92</v>
      </c>
      <c r="E458" s="12">
        <v>1007162233</v>
      </c>
      <c r="F458" s="15" t="s">
        <v>3151</v>
      </c>
      <c r="G458" s="12" t="s">
        <v>26</v>
      </c>
      <c r="H458" s="12" t="s">
        <v>3152</v>
      </c>
      <c r="I458" s="16">
        <v>45776</v>
      </c>
      <c r="J458" s="10" t="str">
        <f t="shared" ca="1" si="64"/>
        <v xml:space="preserve">1  Años, 3  Mes, 28 Dias </v>
      </c>
      <c r="K458" s="12" t="s">
        <v>113</v>
      </c>
      <c r="L458" s="16">
        <v>35860</v>
      </c>
      <c r="M458" s="10">
        <f t="shared" ref="M458:M460" ca="1" si="70">IF(L458=0,"", DATEDIF(L458,TODAY(),"y"))</f>
        <v>28</v>
      </c>
      <c r="N458" s="10" t="s">
        <v>120</v>
      </c>
      <c r="O458" s="10" t="s">
        <v>236</v>
      </c>
      <c r="P458" s="12" t="s">
        <v>142</v>
      </c>
      <c r="Q458" s="18" t="s">
        <v>128</v>
      </c>
      <c r="R458" s="10" t="s">
        <v>133</v>
      </c>
      <c r="S458" s="12" t="s">
        <v>3153</v>
      </c>
      <c r="T458" s="12" t="s">
        <v>3154</v>
      </c>
      <c r="U458" s="12">
        <v>3216459399</v>
      </c>
      <c r="V458" s="5"/>
      <c r="W458" s="12" t="s">
        <v>3155</v>
      </c>
      <c r="X458" s="12" t="s">
        <v>136</v>
      </c>
      <c r="Y458" s="12" t="s">
        <v>1312</v>
      </c>
      <c r="Z458" s="12" t="s">
        <v>288</v>
      </c>
      <c r="AA458" s="20"/>
      <c r="AB458" s="20"/>
      <c r="AC458" s="20"/>
      <c r="AD458" s="13" t="s">
        <v>209</v>
      </c>
    </row>
    <row r="459" spans="1:30" ht="15.75" customHeight="1" x14ac:dyDescent="0.25">
      <c r="A459" s="10" t="s">
        <v>77</v>
      </c>
      <c r="B459" s="10" t="s">
        <v>90</v>
      </c>
      <c r="C459" s="10" t="s">
        <v>175</v>
      </c>
      <c r="D459" s="10" t="s">
        <v>92</v>
      </c>
      <c r="E459" s="12">
        <v>1043115094</v>
      </c>
      <c r="F459" s="15" t="s">
        <v>1209</v>
      </c>
      <c r="G459" s="10" t="s">
        <v>11</v>
      </c>
      <c r="H459" s="10" t="s">
        <v>1210</v>
      </c>
      <c r="I459" s="16">
        <v>45880</v>
      </c>
      <c r="J459" s="10" t="str">
        <f t="shared" ca="1" si="64"/>
        <v xml:space="preserve">1  Años, 0  Mes, 15 Dias </v>
      </c>
      <c r="K459" s="12" t="s">
        <v>113</v>
      </c>
      <c r="L459" s="53">
        <v>35751</v>
      </c>
      <c r="M459" s="10">
        <f t="shared" ca="1" si="70"/>
        <v>28</v>
      </c>
      <c r="N459" s="10" t="s">
        <v>120</v>
      </c>
      <c r="O459" s="10" t="s">
        <v>236</v>
      </c>
      <c r="P459" s="5"/>
      <c r="Q459" s="18" t="s">
        <v>128</v>
      </c>
      <c r="R459" s="10" t="s">
        <v>133</v>
      </c>
      <c r="S459" s="12" t="s">
        <v>1214</v>
      </c>
      <c r="T459" s="12" t="s">
        <v>151</v>
      </c>
      <c r="U459" s="12">
        <v>3001364043</v>
      </c>
      <c r="V459" s="5"/>
      <c r="W459" s="5"/>
      <c r="X459" s="10" t="s">
        <v>136</v>
      </c>
      <c r="Y459" s="5"/>
      <c r="Z459" s="5"/>
      <c r="AA459" s="20"/>
      <c r="AB459" s="20"/>
      <c r="AC459" s="20"/>
      <c r="AD459" s="13" t="s">
        <v>209</v>
      </c>
    </row>
    <row r="460" spans="1:30" ht="16.5" customHeight="1" x14ac:dyDescent="0.25">
      <c r="A460" s="10" t="s">
        <v>77</v>
      </c>
      <c r="B460" s="10" t="s">
        <v>86</v>
      </c>
      <c r="C460" s="10" t="s">
        <v>91</v>
      </c>
      <c r="D460" s="10" t="s">
        <v>92</v>
      </c>
      <c r="E460" s="10">
        <v>72209369</v>
      </c>
      <c r="F460" s="23" t="s">
        <v>213</v>
      </c>
      <c r="G460" s="10" t="s">
        <v>32</v>
      </c>
      <c r="H460" s="10" t="s">
        <v>3156</v>
      </c>
      <c r="I460" s="13">
        <v>44843</v>
      </c>
      <c r="J460" s="10" t="str">
        <f t="shared" ca="1" si="64"/>
        <v xml:space="preserve">3  Años, 10  Mes, 17 Dias </v>
      </c>
      <c r="K460" s="10" t="s">
        <v>113</v>
      </c>
      <c r="L460" s="19"/>
      <c r="M460" s="19" t="str">
        <f t="shared" ca="1" si="70"/>
        <v/>
      </c>
      <c r="N460" s="10" t="s">
        <v>120</v>
      </c>
      <c r="O460" s="10" t="s">
        <v>122</v>
      </c>
      <c r="P460" s="10" t="s">
        <v>142</v>
      </c>
      <c r="Q460" s="18" t="s">
        <v>128</v>
      </c>
      <c r="R460" s="10" t="s">
        <v>133</v>
      </c>
      <c r="S460" s="10" t="s">
        <v>3157</v>
      </c>
      <c r="T460" s="10" t="s">
        <v>136</v>
      </c>
      <c r="U460" s="10">
        <v>3246802280</v>
      </c>
      <c r="V460" s="19"/>
      <c r="W460" s="10" t="s">
        <v>3158</v>
      </c>
      <c r="X460" s="10" t="s">
        <v>136</v>
      </c>
      <c r="Y460" s="10" t="s">
        <v>1299</v>
      </c>
      <c r="Z460" s="10" t="s">
        <v>373</v>
      </c>
      <c r="AA460" s="24"/>
      <c r="AB460" s="24"/>
      <c r="AC460" s="13">
        <v>45830</v>
      </c>
      <c r="AD460" s="13" t="s">
        <v>209</v>
      </c>
    </row>
    <row r="461" spans="1:30" ht="16.5" customHeight="1" x14ac:dyDescent="0.25">
      <c r="A461" s="10" t="s">
        <v>77</v>
      </c>
      <c r="B461" s="10" t="s">
        <v>86</v>
      </c>
      <c r="C461" s="10" t="s">
        <v>91</v>
      </c>
      <c r="D461" s="10" t="s">
        <v>92</v>
      </c>
      <c r="E461" s="12">
        <v>1049452414</v>
      </c>
      <c r="F461" s="15" t="s">
        <v>3159</v>
      </c>
      <c r="G461" s="10" t="s">
        <v>26</v>
      </c>
      <c r="H461" s="12" t="s">
        <v>3160</v>
      </c>
      <c r="I461" s="16">
        <v>45660</v>
      </c>
      <c r="J461" s="10" t="str">
        <f t="shared" ca="1" si="64"/>
        <v xml:space="preserve">1  Años, 7  Mes, 23 Dias </v>
      </c>
      <c r="K461" s="12" t="s">
        <v>113</v>
      </c>
      <c r="L461" s="16" t="s">
        <v>3161</v>
      </c>
      <c r="M461" s="12">
        <v>37</v>
      </c>
      <c r="N461" s="10" t="s">
        <v>120</v>
      </c>
      <c r="O461" s="10" t="s">
        <v>122</v>
      </c>
      <c r="P461" s="12" t="s">
        <v>142</v>
      </c>
      <c r="Q461" s="18" t="s">
        <v>128</v>
      </c>
      <c r="R461" s="12" t="s">
        <v>133</v>
      </c>
      <c r="S461" s="12" t="s">
        <v>3162</v>
      </c>
      <c r="T461" s="12" t="s">
        <v>3163</v>
      </c>
      <c r="U461" s="12">
        <v>3016901056</v>
      </c>
      <c r="V461" s="12">
        <v>3016901056</v>
      </c>
      <c r="W461" s="12" t="s">
        <v>3164</v>
      </c>
      <c r="X461" s="12" t="s">
        <v>136</v>
      </c>
      <c r="Y461" s="12" t="s">
        <v>203</v>
      </c>
      <c r="Z461" s="12" t="s">
        <v>170</v>
      </c>
      <c r="AA461" s="20"/>
      <c r="AB461" s="20"/>
      <c r="AC461" s="16">
        <v>45674</v>
      </c>
      <c r="AD461" s="13" t="s">
        <v>148</v>
      </c>
    </row>
    <row r="462" spans="1:30" ht="15.75" customHeight="1" x14ac:dyDescent="0.25">
      <c r="A462" s="10" t="s">
        <v>160</v>
      </c>
      <c r="B462" s="10" t="s">
        <v>86</v>
      </c>
      <c r="C462" s="10" t="s">
        <v>91</v>
      </c>
      <c r="D462" s="10" t="s">
        <v>92</v>
      </c>
      <c r="E462" s="12">
        <v>1042460492</v>
      </c>
      <c r="F462" s="23" t="s">
        <v>3165</v>
      </c>
      <c r="G462" s="10" t="s">
        <v>404</v>
      </c>
      <c r="H462" s="12" t="s">
        <v>3166</v>
      </c>
      <c r="I462" s="13">
        <v>45831</v>
      </c>
      <c r="J462" s="10" t="str">
        <f t="shared" ca="1" si="64"/>
        <v xml:space="preserve">1  Años, 2  Mes, 3 Dias </v>
      </c>
      <c r="K462" s="12" t="s">
        <v>113</v>
      </c>
      <c r="L462" s="53">
        <v>36152</v>
      </c>
      <c r="M462" s="12">
        <v>25</v>
      </c>
      <c r="N462" s="10" t="s">
        <v>320</v>
      </c>
      <c r="O462" s="10" t="s">
        <v>236</v>
      </c>
      <c r="P462" s="12" t="s">
        <v>142</v>
      </c>
      <c r="Q462" s="18" t="s">
        <v>128</v>
      </c>
      <c r="R462" s="12" t="s">
        <v>133</v>
      </c>
      <c r="S462" s="12" t="s">
        <v>3167</v>
      </c>
      <c r="T462" s="12" t="s">
        <v>136</v>
      </c>
      <c r="U462" s="12">
        <v>3002478007</v>
      </c>
      <c r="V462" s="5"/>
      <c r="W462" s="12" t="s">
        <v>3168</v>
      </c>
      <c r="X462" s="12" t="s">
        <v>136</v>
      </c>
      <c r="Y462" s="12" t="s">
        <v>539</v>
      </c>
      <c r="Z462" s="12" t="s">
        <v>966</v>
      </c>
      <c r="AA462" s="20"/>
      <c r="AB462" s="20"/>
      <c r="AC462" s="16">
        <v>45882</v>
      </c>
      <c r="AD462" s="13" t="s">
        <v>209</v>
      </c>
    </row>
    <row r="463" spans="1:30" ht="15.75" customHeight="1" x14ac:dyDescent="0.25">
      <c r="A463" s="10" t="s">
        <v>77</v>
      </c>
      <c r="B463" s="10" t="s">
        <v>86</v>
      </c>
      <c r="C463" s="10" t="s">
        <v>91</v>
      </c>
      <c r="D463" s="10" t="s">
        <v>92</v>
      </c>
      <c r="E463" s="10">
        <v>72048464</v>
      </c>
      <c r="F463" s="23" t="s">
        <v>129</v>
      </c>
      <c r="G463" s="10" t="s">
        <v>11</v>
      </c>
      <c r="H463" s="10" t="s">
        <v>3169</v>
      </c>
      <c r="I463" s="13">
        <v>45442</v>
      </c>
      <c r="J463" s="10" t="str">
        <f t="shared" ca="1" si="64"/>
        <v xml:space="preserve">2  Años, 2  Mes, 27 Dias </v>
      </c>
      <c r="K463" s="10" t="s">
        <v>113</v>
      </c>
      <c r="L463" s="13">
        <v>28238</v>
      </c>
      <c r="M463" s="10">
        <v>37</v>
      </c>
      <c r="N463" s="10" t="s">
        <v>120</v>
      </c>
      <c r="O463" s="10" t="s">
        <v>122</v>
      </c>
      <c r="P463" s="10" t="s">
        <v>142</v>
      </c>
      <c r="Q463" s="18" t="s">
        <v>128</v>
      </c>
      <c r="R463" s="10" t="s">
        <v>133</v>
      </c>
      <c r="S463" s="10" t="s">
        <v>3170</v>
      </c>
      <c r="T463" s="10" t="s">
        <v>507</v>
      </c>
      <c r="U463" s="10" t="s">
        <v>3171</v>
      </c>
      <c r="V463" s="19"/>
      <c r="W463" s="40" t="s">
        <v>3172</v>
      </c>
      <c r="X463" s="10" t="s">
        <v>136</v>
      </c>
      <c r="Y463" s="10" t="s">
        <v>539</v>
      </c>
      <c r="Z463" s="10" t="s">
        <v>170</v>
      </c>
      <c r="AA463" s="24"/>
      <c r="AB463" s="24"/>
      <c r="AC463" s="13">
        <v>45731</v>
      </c>
      <c r="AD463" s="10" t="s">
        <v>1515</v>
      </c>
    </row>
    <row r="464" spans="1:30" ht="15.75" customHeight="1" x14ac:dyDescent="0.25">
      <c r="A464" s="10" t="s">
        <v>77</v>
      </c>
      <c r="B464" s="10" t="s">
        <v>86</v>
      </c>
      <c r="C464" s="10" t="s">
        <v>91</v>
      </c>
      <c r="D464" s="10" t="s">
        <v>92</v>
      </c>
      <c r="E464" s="29">
        <v>1129494235</v>
      </c>
      <c r="F464" s="23" t="s">
        <v>207</v>
      </c>
      <c r="G464" s="10" t="s">
        <v>11</v>
      </c>
      <c r="H464" s="10" t="s">
        <v>3173</v>
      </c>
      <c r="I464" s="39">
        <v>45070</v>
      </c>
      <c r="J464" s="10" t="str">
        <f t="shared" ca="1" si="64"/>
        <v xml:space="preserve">3  Años, 3  Mes, 2 Dias </v>
      </c>
      <c r="K464" s="29" t="s">
        <v>113</v>
      </c>
      <c r="L464" s="76"/>
      <c r="M464" s="76" t="str">
        <f t="shared" ref="M464:M472" ca="1" si="71">IF(L464=0,"", DATEDIF(L464,TODAY(),"y"))</f>
        <v/>
      </c>
      <c r="N464" s="10" t="s">
        <v>120</v>
      </c>
      <c r="O464" s="10" t="s">
        <v>122</v>
      </c>
      <c r="P464" s="29" t="s">
        <v>142</v>
      </c>
      <c r="Q464" s="18" t="s">
        <v>128</v>
      </c>
      <c r="R464" s="10" t="s">
        <v>133</v>
      </c>
      <c r="S464" s="10" t="s">
        <v>3174</v>
      </c>
      <c r="T464" s="10" t="s">
        <v>136</v>
      </c>
      <c r="U464" s="29">
        <v>3001862633</v>
      </c>
      <c r="V464" s="19"/>
      <c r="W464" s="29" t="s">
        <v>3175</v>
      </c>
      <c r="X464" s="10" t="s">
        <v>136</v>
      </c>
      <c r="Y464" s="10" t="s">
        <v>206</v>
      </c>
      <c r="Z464" s="10" t="s">
        <v>170</v>
      </c>
      <c r="AA464" s="24"/>
      <c r="AB464" s="24"/>
      <c r="AC464" s="13">
        <v>45731</v>
      </c>
      <c r="AD464" s="10" t="s">
        <v>1515</v>
      </c>
    </row>
    <row r="465" spans="1:30" ht="15.75" customHeight="1" x14ac:dyDescent="0.25">
      <c r="A465" s="10" t="s">
        <v>77</v>
      </c>
      <c r="B465" s="10" t="s">
        <v>86</v>
      </c>
      <c r="C465" s="10" t="s">
        <v>91</v>
      </c>
      <c r="D465" s="10" t="s">
        <v>92</v>
      </c>
      <c r="E465" s="10">
        <v>1048306515</v>
      </c>
      <c r="F465" s="23" t="s">
        <v>204</v>
      </c>
      <c r="G465" s="10" t="s">
        <v>11</v>
      </c>
      <c r="H465" s="10" t="s">
        <v>3176</v>
      </c>
      <c r="I465" s="13">
        <v>45073</v>
      </c>
      <c r="J465" s="10" t="str">
        <f t="shared" ca="1" si="64"/>
        <v xml:space="preserve">3  Años, 2  Mes, 30 Dias </v>
      </c>
      <c r="K465" s="10" t="s">
        <v>113</v>
      </c>
      <c r="L465" s="19"/>
      <c r="M465" s="19" t="str">
        <f t="shared" ca="1" si="71"/>
        <v/>
      </c>
      <c r="N465" s="10" t="s">
        <v>120</v>
      </c>
      <c r="O465" s="10" t="s">
        <v>122</v>
      </c>
      <c r="P465" s="10" t="s">
        <v>210</v>
      </c>
      <c r="Q465" s="18" t="s">
        <v>128</v>
      </c>
      <c r="R465" s="10" t="s">
        <v>133</v>
      </c>
      <c r="S465" s="10" t="s">
        <v>3177</v>
      </c>
      <c r="T465" s="10" t="s">
        <v>136</v>
      </c>
      <c r="U465" s="10">
        <v>3013663592</v>
      </c>
      <c r="V465" s="19"/>
      <c r="W465" s="145" t="s">
        <v>3178</v>
      </c>
      <c r="X465" s="10" t="s">
        <v>136</v>
      </c>
      <c r="Y465" s="10" t="s">
        <v>203</v>
      </c>
      <c r="Z465" s="10" t="s">
        <v>170</v>
      </c>
      <c r="AA465" s="24"/>
      <c r="AB465" s="24"/>
      <c r="AC465" s="13">
        <v>45378</v>
      </c>
      <c r="AD465" s="24"/>
    </row>
    <row r="466" spans="1:30" ht="15.75" customHeight="1" x14ac:dyDescent="0.25">
      <c r="A466" s="10" t="s">
        <v>77</v>
      </c>
      <c r="B466" s="10" t="s">
        <v>86</v>
      </c>
      <c r="C466" s="10" t="s">
        <v>91</v>
      </c>
      <c r="D466" s="10" t="s">
        <v>92</v>
      </c>
      <c r="E466" s="10">
        <v>1152943867</v>
      </c>
      <c r="F466" s="23" t="s">
        <v>197</v>
      </c>
      <c r="G466" s="10" t="s">
        <v>18</v>
      </c>
      <c r="H466" s="10" t="s">
        <v>755</v>
      </c>
      <c r="I466" s="13">
        <v>44843</v>
      </c>
      <c r="J466" s="10" t="str">
        <f t="shared" ca="1" si="64"/>
        <v xml:space="preserve">3  Años, 10  Mes, 17 Dias </v>
      </c>
      <c r="K466" s="10" t="s">
        <v>113</v>
      </c>
      <c r="L466" s="19"/>
      <c r="M466" s="19" t="str">
        <f t="shared" ca="1" si="71"/>
        <v/>
      </c>
      <c r="N466" s="10" t="s">
        <v>120</v>
      </c>
      <c r="O466" s="10" t="s">
        <v>122</v>
      </c>
      <c r="P466" s="10" t="s">
        <v>124</v>
      </c>
      <c r="Q466" s="18" t="s">
        <v>128</v>
      </c>
      <c r="R466" s="10" t="s">
        <v>133</v>
      </c>
      <c r="S466" s="10" t="s">
        <v>3179</v>
      </c>
      <c r="T466" s="10" t="s">
        <v>136</v>
      </c>
      <c r="U466" s="10">
        <v>3013956714</v>
      </c>
      <c r="V466" s="19"/>
      <c r="W466" s="10" t="s">
        <v>3180</v>
      </c>
      <c r="X466" s="10" t="s">
        <v>136</v>
      </c>
      <c r="Y466" s="10" t="s">
        <v>473</v>
      </c>
      <c r="Z466" s="10" t="s">
        <v>170</v>
      </c>
      <c r="AA466" s="24"/>
      <c r="AB466" s="24"/>
      <c r="AC466" s="13">
        <v>45311</v>
      </c>
      <c r="AD466" s="24"/>
    </row>
    <row r="467" spans="1:30" ht="15.75" customHeight="1" x14ac:dyDescent="0.25">
      <c r="A467" s="10" t="s">
        <v>77</v>
      </c>
      <c r="B467" s="10" t="s">
        <v>86</v>
      </c>
      <c r="C467" s="10" t="s">
        <v>91</v>
      </c>
      <c r="D467" s="10" t="s">
        <v>92</v>
      </c>
      <c r="E467" s="10">
        <v>1129522701</v>
      </c>
      <c r="F467" s="146" t="s">
        <v>192</v>
      </c>
      <c r="G467" s="10" t="s">
        <v>11</v>
      </c>
      <c r="H467" s="10" t="s">
        <v>755</v>
      </c>
      <c r="I467" s="13">
        <v>45297</v>
      </c>
      <c r="J467" s="10" t="str">
        <f t="shared" ca="1" si="64"/>
        <v xml:space="preserve">2  Años, 7  Mes, 20 Dias </v>
      </c>
      <c r="K467" s="10" t="s">
        <v>113</v>
      </c>
      <c r="L467" s="19"/>
      <c r="M467" s="19" t="str">
        <f t="shared" ca="1" si="71"/>
        <v/>
      </c>
      <c r="N467" s="10" t="s">
        <v>120</v>
      </c>
      <c r="O467" s="10" t="s">
        <v>122</v>
      </c>
      <c r="P467" s="10" t="s">
        <v>142</v>
      </c>
      <c r="Q467" s="18" t="s">
        <v>128</v>
      </c>
      <c r="R467" s="10" t="s">
        <v>133</v>
      </c>
      <c r="S467" s="10" t="s">
        <v>3181</v>
      </c>
      <c r="T467" s="10" t="s">
        <v>136</v>
      </c>
      <c r="U467" s="10">
        <v>3004789588</v>
      </c>
      <c r="V467" s="19"/>
      <c r="W467" s="59" t="s">
        <v>3182</v>
      </c>
      <c r="X467" s="10" t="s">
        <v>136</v>
      </c>
      <c r="Y467" s="10" t="s">
        <v>169</v>
      </c>
      <c r="Z467" s="10" t="s">
        <v>255</v>
      </c>
      <c r="AA467" s="24"/>
      <c r="AB467" s="24"/>
      <c r="AC467" s="13">
        <v>45301</v>
      </c>
      <c r="AD467" s="24"/>
    </row>
    <row r="468" spans="1:30" ht="15.75" customHeight="1" x14ac:dyDescent="0.25">
      <c r="A468" s="10" t="s">
        <v>77</v>
      </c>
      <c r="B468" s="10" t="s">
        <v>86</v>
      </c>
      <c r="C468" s="10" t="s">
        <v>91</v>
      </c>
      <c r="D468" s="10" t="s">
        <v>92</v>
      </c>
      <c r="E468" s="10">
        <v>1143154333</v>
      </c>
      <c r="F468" s="23" t="s">
        <v>189</v>
      </c>
      <c r="G468" s="10" t="s">
        <v>18</v>
      </c>
      <c r="H468" s="10" t="s">
        <v>3183</v>
      </c>
      <c r="I468" s="13">
        <v>44988</v>
      </c>
      <c r="J468" s="10" t="str">
        <f t="shared" ca="1" si="64"/>
        <v xml:space="preserve">3  Años, 5  Mes, 23 Dias </v>
      </c>
      <c r="K468" s="10" t="s">
        <v>113</v>
      </c>
      <c r="L468" s="19"/>
      <c r="M468" s="19" t="str">
        <f t="shared" ca="1" si="71"/>
        <v/>
      </c>
      <c r="N468" s="10" t="s">
        <v>120</v>
      </c>
      <c r="O468" s="10" t="s">
        <v>122</v>
      </c>
      <c r="P468" s="10" t="s">
        <v>124</v>
      </c>
      <c r="Q468" s="18" t="s">
        <v>128</v>
      </c>
      <c r="R468" s="10" t="s">
        <v>133</v>
      </c>
      <c r="S468" s="10" t="s">
        <v>3184</v>
      </c>
      <c r="T468" s="10" t="s">
        <v>136</v>
      </c>
      <c r="U468" s="10">
        <v>3043852141</v>
      </c>
      <c r="V468" s="19"/>
      <c r="W468" s="10" t="s">
        <v>3185</v>
      </c>
      <c r="X468" s="10" t="s">
        <v>136</v>
      </c>
      <c r="Y468" s="10" t="s">
        <v>206</v>
      </c>
      <c r="Z468" s="10" t="s">
        <v>170</v>
      </c>
      <c r="AA468" s="24"/>
      <c r="AB468" s="24"/>
      <c r="AC468" s="13">
        <v>45440</v>
      </c>
      <c r="AD468" s="24"/>
    </row>
    <row r="469" spans="1:30" ht="15.75" customHeight="1" x14ac:dyDescent="0.25">
      <c r="A469" s="10" t="s">
        <v>77</v>
      </c>
      <c r="B469" s="10" t="s">
        <v>86</v>
      </c>
      <c r="C469" s="10" t="s">
        <v>91</v>
      </c>
      <c r="D469" s="10" t="s">
        <v>92</v>
      </c>
      <c r="E469" s="10">
        <v>72287023</v>
      </c>
      <c r="F469" s="23" t="s">
        <v>188</v>
      </c>
      <c r="G469" s="10" t="s">
        <v>11</v>
      </c>
      <c r="H469" s="10" t="s">
        <v>3186</v>
      </c>
      <c r="I469" s="13">
        <v>44843</v>
      </c>
      <c r="J469" s="10" t="str">
        <f t="shared" ca="1" si="64"/>
        <v xml:space="preserve">3  Años, 10  Mes, 17 Dias </v>
      </c>
      <c r="K469" s="10" t="s">
        <v>113</v>
      </c>
      <c r="L469" s="19"/>
      <c r="M469" s="19" t="str">
        <f t="shared" ca="1" si="71"/>
        <v/>
      </c>
      <c r="N469" s="10" t="s">
        <v>120</v>
      </c>
      <c r="O469" s="10" t="s">
        <v>122</v>
      </c>
      <c r="P469" s="10" t="s">
        <v>142</v>
      </c>
      <c r="Q469" s="18" t="s">
        <v>128</v>
      </c>
      <c r="R469" s="10" t="s">
        <v>133</v>
      </c>
      <c r="S469" s="10" t="s">
        <v>3187</v>
      </c>
      <c r="T469" s="10" t="s">
        <v>136</v>
      </c>
      <c r="U469" s="10">
        <v>3004957309</v>
      </c>
      <c r="V469" s="19"/>
      <c r="W469" s="10" t="s">
        <v>3188</v>
      </c>
      <c r="X469" s="10" t="s">
        <v>136</v>
      </c>
      <c r="Y469" s="10" t="s">
        <v>206</v>
      </c>
      <c r="Z469" s="10" t="s">
        <v>170</v>
      </c>
      <c r="AA469" s="24"/>
      <c r="AB469" s="24"/>
      <c r="AC469" s="13">
        <v>45362</v>
      </c>
      <c r="AD469" s="24"/>
    </row>
    <row r="470" spans="1:30" ht="15.75" customHeight="1" x14ac:dyDescent="0.25">
      <c r="A470" s="10" t="s">
        <v>77</v>
      </c>
      <c r="B470" s="10" t="s">
        <v>90</v>
      </c>
      <c r="C470" s="10" t="s">
        <v>175</v>
      </c>
      <c r="D470" s="10" t="s">
        <v>92</v>
      </c>
      <c r="E470" s="12">
        <v>1042433512</v>
      </c>
      <c r="F470" s="23" t="s">
        <v>1762</v>
      </c>
      <c r="G470" s="10" t="s">
        <v>11</v>
      </c>
      <c r="H470" s="10" t="s">
        <v>1763</v>
      </c>
      <c r="I470" s="13">
        <v>45831</v>
      </c>
      <c r="J470" s="10" t="str">
        <f t="shared" ca="1" si="64"/>
        <v xml:space="preserve">1  Años, 2  Mes, 3 Dias </v>
      </c>
      <c r="K470" s="10" t="s">
        <v>113</v>
      </c>
      <c r="L470" s="19"/>
      <c r="M470" s="19" t="str">
        <f t="shared" ca="1" si="71"/>
        <v/>
      </c>
      <c r="N470" s="10" t="s">
        <v>120</v>
      </c>
      <c r="O470" s="10" t="s">
        <v>236</v>
      </c>
      <c r="P470" s="10" t="s">
        <v>142</v>
      </c>
      <c r="Q470" s="18" t="s">
        <v>128</v>
      </c>
      <c r="R470" s="10" t="s">
        <v>133</v>
      </c>
      <c r="S470" s="5"/>
      <c r="T470" s="10" t="s">
        <v>136</v>
      </c>
      <c r="U470" s="5"/>
      <c r="V470" s="5"/>
      <c r="W470" s="5"/>
      <c r="X470" s="5"/>
      <c r="Y470" s="5"/>
      <c r="Z470" s="12" t="s">
        <v>966</v>
      </c>
      <c r="AA470" s="5"/>
      <c r="AB470" s="5"/>
      <c r="AC470" s="5"/>
      <c r="AD470" s="10" t="s">
        <v>209</v>
      </c>
    </row>
    <row r="471" spans="1:30" ht="15.75" customHeight="1" x14ac:dyDescent="0.25">
      <c r="A471" s="10" t="s">
        <v>77</v>
      </c>
      <c r="B471" s="10" t="s">
        <v>86</v>
      </c>
      <c r="C471" s="10" t="s">
        <v>91</v>
      </c>
      <c r="D471" s="10" t="s">
        <v>92</v>
      </c>
      <c r="E471" s="12">
        <v>1042448055</v>
      </c>
      <c r="F471" s="15" t="s">
        <v>3189</v>
      </c>
      <c r="G471" s="10" t="s">
        <v>26</v>
      </c>
      <c r="H471" s="12" t="s">
        <v>3190</v>
      </c>
      <c r="I471" s="16">
        <v>45630</v>
      </c>
      <c r="J471" s="10" t="str">
        <f t="shared" ca="1" si="64"/>
        <v xml:space="preserve">1  Años, 8  Mes, 22 Dias </v>
      </c>
      <c r="K471" s="10" t="s">
        <v>113</v>
      </c>
      <c r="L471" s="63"/>
      <c r="M471" s="19" t="str">
        <f t="shared" ca="1" si="71"/>
        <v/>
      </c>
      <c r="N471" s="10" t="s">
        <v>120</v>
      </c>
      <c r="O471" s="10" t="s">
        <v>122</v>
      </c>
      <c r="P471" s="12" t="s">
        <v>210</v>
      </c>
      <c r="Q471" s="18" t="s">
        <v>128</v>
      </c>
      <c r="R471" s="10" t="s">
        <v>133</v>
      </c>
      <c r="S471" s="12" t="s">
        <v>3191</v>
      </c>
      <c r="T471" s="10" t="s">
        <v>151</v>
      </c>
      <c r="U471" s="12">
        <v>3013980300</v>
      </c>
      <c r="V471" s="5"/>
      <c r="W471" s="5"/>
      <c r="X471" s="5"/>
      <c r="Y471" s="12" t="s">
        <v>574</v>
      </c>
      <c r="Z471" s="12" t="s">
        <v>966</v>
      </c>
      <c r="AA471" s="20"/>
      <c r="AB471" s="20"/>
      <c r="AC471" s="16">
        <v>45731</v>
      </c>
      <c r="AD471" s="10" t="s">
        <v>1515</v>
      </c>
    </row>
    <row r="472" spans="1:30" ht="15.75" customHeight="1" x14ac:dyDescent="0.25">
      <c r="A472" s="10" t="s">
        <v>160</v>
      </c>
      <c r="B472" s="10" t="s">
        <v>86</v>
      </c>
      <c r="C472" s="10" t="s">
        <v>91</v>
      </c>
      <c r="D472" s="10" t="s">
        <v>92</v>
      </c>
      <c r="E472" s="10">
        <v>1047219531</v>
      </c>
      <c r="F472" s="23" t="s">
        <v>3192</v>
      </c>
      <c r="G472" s="10" t="s">
        <v>1883</v>
      </c>
      <c r="H472" s="29" t="s">
        <v>3193</v>
      </c>
      <c r="I472" s="64">
        <v>45251</v>
      </c>
      <c r="J472" s="10" t="str">
        <f t="shared" ca="1" si="64"/>
        <v xml:space="preserve">2  Años, 9  Mes, 5 Dias </v>
      </c>
      <c r="K472" s="29" t="s">
        <v>113</v>
      </c>
      <c r="L472" s="147"/>
      <c r="M472" s="76" t="str">
        <f t="shared" ca="1" si="71"/>
        <v/>
      </c>
      <c r="N472" s="10" t="s">
        <v>320</v>
      </c>
      <c r="O472" s="10" t="s">
        <v>122</v>
      </c>
      <c r="P472" s="29" t="s">
        <v>124</v>
      </c>
      <c r="Q472" s="18" t="s">
        <v>128</v>
      </c>
      <c r="R472" s="10" t="s">
        <v>133</v>
      </c>
      <c r="S472" s="10" t="s">
        <v>3194</v>
      </c>
      <c r="T472" s="10" t="s">
        <v>151</v>
      </c>
      <c r="U472" s="10">
        <v>3043621863</v>
      </c>
      <c r="V472" s="10">
        <v>3043621863</v>
      </c>
      <c r="W472" s="10" t="s">
        <v>3195</v>
      </c>
      <c r="X472" s="10" t="s">
        <v>136</v>
      </c>
      <c r="Y472" s="10" t="s">
        <v>473</v>
      </c>
      <c r="Z472" s="10" t="s">
        <v>170</v>
      </c>
      <c r="AA472" s="33"/>
      <c r="AB472" s="33"/>
      <c r="AC472" s="35">
        <v>45290</v>
      </c>
      <c r="AD472" s="19"/>
    </row>
    <row r="473" spans="1:30" ht="16.5" customHeight="1" x14ac:dyDescent="0.25">
      <c r="A473" s="10" t="s">
        <v>160</v>
      </c>
      <c r="B473" s="10" t="s">
        <v>86</v>
      </c>
      <c r="C473" s="10" t="s">
        <v>91</v>
      </c>
      <c r="D473" s="10" t="s">
        <v>92</v>
      </c>
      <c r="E473" s="10">
        <v>1124045376</v>
      </c>
      <c r="F473" s="23" t="s">
        <v>3196</v>
      </c>
      <c r="G473" s="10" t="s">
        <v>1883</v>
      </c>
      <c r="H473" s="10" t="s">
        <v>3197</v>
      </c>
      <c r="I473" s="13">
        <v>45542</v>
      </c>
      <c r="J473" s="10" t="str">
        <f t="shared" ca="1" si="64"/>
        <v xml:space="preserve">1  Años, 11  Mes, 19 Dias </v>
      </c>
      <c r="K473" s="10" t="s">
        <v>113</v>
      </c>
      <c r="L473" s="19"/>
      <c r="M473" s="19"/>
      <c r="N473" s="19"/>
      <c r="O473" s="19"/>
      <c r="P473" s="19"/>
      <c r="Q473" s="18" t="s">
        <v>648</v>
      </c>
      <c r="R473" s="19"/>
      <c r="S473" s="19"/>
      <c r="T473" s="19"/>
      <c r="U473" s="19"/>
      <c r="V473" s="19"/>
      <c r="W473" s="10" t="s">
        <v>3198</v>
      </c>
      <c r="X473" s="10" t="s">
        <v>136</v>
      </c>
      <c r="Y473" s="10" t="s">
        <v>215</v>
      </c>
      <c r="Z473" s="10" t="s">
        <v>288</v>
      </c>
      <c r="AA473" s="33"/>
      <c r="AB473" s="33"/>
      <c r="AC473" s="35">
        <v>45656</v>
      </c>
      <c r="AD473" s="24"/>
    </row>
    <row r="474" spans="1:30" ht="15.75" customHeight="1" x14ac:dyDescent="0.25">
      <c r="A474" s="10" t="s">
        <v>77</v>
      </c>
      <c r="B474" s="10" t="s">
        <v>86</v>
      </c>
      <c r="C474" s="10" t="s">
        <v>91</v>
      </c>
      <c r="D474" s="10" t="s">
        <v>92</v>
      </c>
      <c r="E474" s="10">
        <v>1045727693</v>
      </c>
      <c r="F474" s="23" t="s">
        <v>186</v>
      </c>
      <c r="G474" s="10" t="s">
        <v>741</v>
      </c>
      <c r="H474" s="10" t="s">
        <v>3199</v>
      </c>
      <c r="I474" s="13">
        <v>45423</v>
      </c>
      <c r="J474" s="10" t="str">
        <f t="shared" ca="1" si="64"/>
        <v xml:space="preserve">2  Años, 3  Mes, 15 Dias </v>
      </c>
      <c r="K474" s="10" t="s">
        <v>113</v>
      </c>
      <c r="L474" s="19"/>
      <c r="M474" s="19" t="str">
        <f t="shared" ref="M474:M477" ca="1" si="72">IF(L474=0,"", DATEDIF(L474,TODAY(),"y"))</f>
        <v/>
      </c>
      <c r="N474" s="10" t="s">
        <v>120</v>
      </c>
      <c r="O474" s="10" t="s">
        <v>122</v>
      </c>
      <c r="P474" s="10" t="s">
        <v>142</v>
      </c>
      <c r="Q474" s="18" t="s">
        <v>128</v>
      </c>
      <c r="R474" s="10" t="s">
        <v>133</v>
      </c>
      <c r="S474" s="10" t="s">
        <v>3200</v>
      </c>
      <c r="T474" s="10" t="s">
        <v>136</v>
      </c>
      <c r="U474" s="10">
        <v>3003211576</v>
      </c>
      <c r="V474" s="19"/>
      <c r="W474" s="10" t="s">
        <v>3201</v>
      </c>
      <c r="X474" s="10" t="s">
        <v>136</v>
      </c>
      <c r="Y474" s="10" t="s">
        <v>253</v>
      </c>
      <c r="Z474" s="10" t="s">
        <v>170</v>
      </c>
      <c r="AA474" s="24"/>
      <c r="AB474" s="24"/>
      <c r="AC474" s="13">
        <v>45751</v>
      </c>
      <c r="AD474" s="10" t="s">
        <v>148</v>
      </c>
    </row>
    <row r="475" spans="1:30" ht="15.75" customHeight="1" x14ac:dyDescent="0.25">
      <c r="A475" s="10" t="s">
        <v>77</v>
      </c>
      <c r="B475" s="10" t="s">
        <v>86</v>
      </c>
      <c r="C475" s="10" t="s">
        <v>91</v>
      </c>
      <c r="D475" s="10" t="s">
        <v>92</v>
      </c>
      <c r="E475" s="10">
        <v>15047016</v>
      </c>
      <c r="F475" s="23" t="s">
        <v>631</v>
      </c>
      <c r="G475" s="10" t="s">
        <v>741</v>
      </c>
      <c r="H475" s="10" t="s">
        <v>3202</v>
      </c>
      <c r="I475" s="13">
        <v>45363</v>
      </c>
      <c r="J475" s="10" t="str">
        <f t="shared" ca="1" si="64"/>
        <v xml:space="preserve">2  Años, 5  Mes, 14 Dias </v>
      </c>
      <c r="K475" s="10" t="s">
        <v>113</v>
      </c>
      <c r="L475" s="19"/>
      <c r="M475" s="19" t="str">
        <f t="shared" ca="1" si="72"/>
        <v/>
      </c>
      <c r="N475" s="10" t="s">
        <v>120</v>
      </c>
      <c r="O475" s="10" t="s">
        <v>122</v>
      </c>
      <c r="P475" s="10" t="s">
        <v>142</v>
      </c>
      <c r="Q475" s="18" t="s">
        <v>128</v>
      </c>
      <c r="R475" s="10" t="s">
        <v>133</v>
      </c>
      <c r="S475" s="10" t="s">
        <v>3203</v>
      </c>
      <c r="T475" s="10" t="s">
        <v>136</v>
      </c>
      <c r="U475" s="10">
        <v>3106393349</v>
      </c>
      <c r="V475" s="19"/>
      <c r="W475" s="10" t="s">
        <v>3204</v>
      </c>
      <c r="X475" s="10" t="s">
        <v>136</v>
      </c>
      <c r="Y475" s="10" t="s">
        <v>169</v>
      </c>
      <c r="Z475" s="10" t="s">
        <v>170</v>
      </c>
      <c r="AA475" s="24"/>
      <c r="AB475" s="24"/>
      <c r="AC475" s="13">
        <v>45678</v>
      </c>
      <c r="AD475" s="10" t="s">
        <v>1515</v>
      </c>
    </row>
    <row r="476" spans="1:30" ht="15.75" customHeight="1" x14ac:dyDescent="0.25">
      <c r="A476" s="10" t="s">
        <v>77</v>
      </c>
      <c r="B476" s="10" t="s">
        <v>86</v>
      </c>
      <c r="C476" s="10" t="s">
        <v>91</v>
      </c>
      <c r="D476" s="10" t="s">
        <v>92</v>
      </c>
      <c r="E476" s="10">
        <v>8647307</v>
      </c>
      <c r="F476" s="23" t="s">
        <v>3205</v>
      </c>
      <c r="G476" s="10" t="s">
        <v>32</v>
      </c>
      <c r="H476" s="10" t="s">
        <v>3206</v>
      </c>
      <c r="I476" s="13">
        <v>45234</v>
      </c>
      <c r="J476" s="10" t="str">
        <f t="shared" ca="1" si="64"/>
        <v xml:space="preserve">2  Años, 9  Mes, 22 Dias </v>
      </c>
      <c r="K476" s="10" t="s">
        <v>113</v>
      </c>
      <c r="L476" s="24"/>
      <c r="M476" s="19" t="str">
        <f t="shared" ca="1" si="72"/>
        <v/>
      </c>
      <c r="N476" s="10" t="s">
        <v>120</v>
      </c>
      <c r="O476" s="10" t="s">
        <v>122</v>
      </c>
      <c r="P476" s="10" t="s">
        <v>210</v>
      </c>
      <c r="Q476" s="18" t="s">
        <v>128</v>
      </c>
      <c r="R476" s="10" t="s">
        <v>133</v>
      </c>
      <c r="S476" s="10" t="s">
        <v>3207</v>
      </c>
      <c r="T476" s="10" t="s">
        <v>136</v>
      </c>
      <c r="U476" s="10">
        <v>3008707697</v>
      </c>
      <c r="V476" s="19"/>
      <c r="W476" s="10" t="s">
        <v>3208</v>
      </c>
      <c r="X476" s="10" t="s">
        <v>136</v>
      </c>
      <c r="Y476" s="10" t="s">
        <v>203</v>
      </c>
      <c r="Z476" s="10" t="s">
        <v>170</v>
      </c>
      <c r="AA476" s="24"/>
      <c r="AB476" s="24"/>
      <c r="AC476" s="13">
        <v>45366</v>
      </c>
      <c r="AD476" s="24"/>
    </row>
    <row r="477" spans="1:30" ht="15.75" customHeight="1" x14ac:dyDescent="0.25">
      <c r="A477" s="10" t="s">
        <v>77</v>
      </c>
      <c r="B477" s="10" t="s">
        <v>90</v>
      </c>
      <c r="C477" s="10" t="s">
        <v>175</v>
      </c>
      <c r="D477" s="10" t="s">
        <v>92</v>
      </c>
      <c r="E477" s="12">
        <v>1129566419</v>
      </c>
      <c r="F477" s="23" t="s">
        <v>1597</v>
      </c>
      <c r="G477" s="10" t="s">
        <v>32</v>
      </c>
      <c r="H477" s="12" t="s">
        <v>1598</v>
      </c>
      <c r="I477" s="13">
        <v>45831</v>
      </c>
      <c r="J477" s="10" t="str">
        <f t="shared" ca="1" si="64"/>
        <v xml:space="preserve">1  Años, 2  Mes, 3 Dias </v>
      </c>
      <c r="K477" s="12" t="s">
        <v>113</v>
      </c>
      <c r="L477" s="16">
        <v>31522</v>
      </c>
      <c r="M477" s="10">
        <f t="shared" ca="1" si="72"/>
        <v>40</v>
      </c>
      <c r="N477" s="10" t="s">
        <v>120</v>
      </c>
      <c r="O477" s="10" t="s">
        <v>122</v>
      </c>
      <c r="P477" s="12" t="s">
        <v>210</v>
      </c>
      <c r="Q477" s="18" t="s">
        <v>128</v>
      </c>
      <c r="R477" s="10" t="s">
        <v>133</v>
      </c>
      <c r="S477" s="12" t="s">
        <v>1600</v>
      </c>
      <c r="T477" s="12" t="s">
        <v>136</v>
      </c>
      <c r="U477" s="12">
        <v>3003901357</v>
      </c>
      <c r="V477" s="5"/>
      <c r="W477" s="12" t="s">
        <v>1601</v>
      </c>
      <c r="X477" s="12" t="s">
        <v>136</v>
      </c>
      <c r="Y477" s="12" t="s">
        <v>539</v>
      </c>
      <c r="Z477" s="12" t="s">
        <v>288</v>
      </c>
      <c r="AA477" s="20"/>
      <c r="AB477" s="20"/>
      <c r="AC477" s="20"/>
      <c r="AD477" s="13" t="s">
        <v>209</v>
      </c>
    </row>
    <row r="478" spans="1:30" ht="15.75" customHeight="1" x14ac:dyDescent="0.25">
      <c r="A478" s="10" t="s">
        <v>77</v>
      </c>
      <c r="B478" s="10" t="s">
        <v>86</v>
      </c>
      <c r="C478" s="10" t="s">
        <v>91</v>
      </c>
      <c r="D478" s="10" t="s">
        <v>92</v>
      </c>
      <c r="E478" s="12">
        <v>1002135866</v>
      </c>
      <c r="F478" s="15" t="s">
        <v>3209</v>
      </c>
      <c r="G478" s="10" t="s">
        <v>26</v>
      </c>
      <c r="H478" s="15" t="s">
        <v>3210</v>
      </c>
      <c r="I478" s="53">
        <v>45638</v>
      </c>
      <c r="J478" s="10" t="str">
        <f t="shared" ca="1" si="64"/>
        <v xml:space="preserve">1  Años, 8  Mes, 14 Dias </v>
      </c>
      <c r="K478" s="12" t="s">
        <v>113</v>
      </c>
      <c r="L478" s="53">
        <v>36471</v>
      </c>
      <c r="M478" s="5"/>
      <c r="N478" s="10" t="s">
        <v>120</v>
      </c>
      <c r="O478" s="10" t="s">
        <v>730</v>
      </c>
      <c r="P478" s="10" t="s">
        <v>124</v>
      </c>
      <c r="Q478" s="18" t="s">
        <v>128</v>
      </c>
      <c r="R478" s="12" t="s">
        <v>133</v>
      </c>
      <c r="S478" s="12" t="s">
        <v>3211</v>
      </c>
      <c r="T478" s="12" t="s">
        <v>136</v>
      </c>
      <c r="U478" s="12">
        <v>3017995113</v>
      </c>
      <c r="V478" s="5"/>
      <c r="W478" s="12" t="s">
        <v>3212</v>
      </c>
      <c r="X478" s="12" t="s">
        <v>136</v>
      </c>
      <c r="Y478" s="12" t="s">
        <v>155</v>
      </c>
      <c r="Z478" s="12" t="s">
        <v>170</v>
      </c>
      <c r="AA478" s="20"/>
      <c r="AB478" s="20"/>
      <c r="AC478" s="16">
        <v>45678</v>
      </c>
      <c r="AD478" s="10" t="s">
        <v>1515</v>
      </c>
    </row>
    <row r="479" spans="1:30" ht="15.75" customHeight="1" x14ac:dyDescent="0.25">
      <c r="A479" s="10" t="s">
        <v>77</v>
      </c>
      <c r="B479" s="10" t="s">
        <v>86</v>
      </c>
      <c r="C479" s="10" t="s">
        <v>91</v>
      </c>
      <c r="D479" s="10" t="s">
        <v>92</v>
      </c>
      <c r="E479" s="10">
        <v>1010042708</v>
      </c>
      <c r="F479" s="23" t="s">
        <v>179</v>
      </c>
      <c r="G479" s="10" t="s">
        <v>26</v>
      </c>
      <c r="H479" s="10" t="s">
        <v>3213</v>
      </c>
      <c r="I479" s="13">
        <v>44870</v>
      </c>
      <c r="J479" s="10" t="str">
        <f t="shared" ca="1" si="64"/>
        <v xml:space="preserve">3  Años, 9  Mes, 21 Dias </v>
      </c>
      <c r="K479" s="10" t="s">
        <v>113</v>
      </c>
      <c r="L479" s="19"/>
      <c r="M479" s="19" t="str">
        <f t="shared" ref="M479:M481" ca="1" si="73">IF(L479=0,"", DATEDIF(L479,TODAY(),"y"))</f>
        <v/>
      </c>
      <c r="N479" s="10" t="s">
        <v>120</v>
      </c>
      <c r="O479" s="10" t="s">
        <v>122</v>
      </c>
      <c r="P479" s="10" t="s">
        <v>142</v>
      </c>
      <c r="Q479" s="18" t="s">
        <v>128</v>
      </c>
      <c r="R479" s="10" t="s">
        <v>133</v>
      </c>
      <c r="S479" s="10" t="s">
        <v>3214</v>
      </c>
      <c r="T479" s="10" t="s">
        <v>136</v>
      </c>
      <c r="U479" s="10">
        <v>3017550488</v>
      </c>
      <c r="V479" s="19"/>
      <c r="W479" s="10" t="s">
        <v>3215</v>
      </c>
      <c r="X479" s="10" t="s">
        <v>136</v>
      </c>
      <c r="Y479" s="10" t="s">
        <v>203</v>
      </c>
      <c r="Z479" s="10" t="s">
        <v>216</v>
      </c>
      <c r="AA479" s="24"/>
      <c r="AB479" s="24"/>
      <c r="AC479" s="13">
        <v>45394</v>
      </c>
      <c r="AD479" s="24"/>
    </row>
    <row r="480" spans="1:30" ht="15.75" customHeight="1" x14ac:dyDescent="0.25">
      <c r="A480" s="10" t="s">
        <v>77</v>
      </c>
      <c r="B480" s="10" t="s">
        <v>86</v>
      </c>
      <c r="C480" s="10" t="s">
        <v>91</v>
      </c>
      <c r="D480" s="10" t="s">
        <v>92</v>
      </c>
      <c r="E480" s="10">
        <v>1045672475</v>
      </c>
      <c r="F480" s="23" t="s">
        <v>672</v>
      </c>
      <c r="G480" s="10" t="s">
        <v>11</v>
      </c>
      <c r="H480" s="10" t="s">
        <v>3216</v>
      </c>
      <c r="I480" s="13">
        <v>44986</v>
      </c>
      <c r="J480" s="10" t="str">
        <f t="shared" ca="1" si="64"/>
        <v xml:space="preserve">3  Años, 5  Mes, 25 Dias </v>
      </c>
      <c r="K480" s="10" t="s">
        <v>113</v>
      </c>
      <c r="L480" s="24"/>
      <c r="M480" s="19" t="str">
        <f t="shared" ca="1" si="73"/>
        <v/>
      </c>
      <c r="N480" s="10" t="s">
        <v>120</v>
      </c>
      <c r="O480" s="10" t="s">
        <v>122</v>
      </c>
      <c r="P480" s="10" t="s">
        <v>142</v>
      </c>
      <c r="Q480" s="18" t="s">
        <v>128</v>
      </c>
      <c r="R480" s="10" t="s">
        <v>133</v>
      </c>
      <c r="S480" s="10" t="s">
        <v>3217</v>
      </c>
      <c r="T480" s="10" t="s">
        <v>136</v>
      </c>
      <c r="U480" s="10">
        <v>3006079597</v>
      </c>
      <c r="V480" s="10">
        <v>3006079597</v>
      </c>
      <c r="W480" s="10" t="s">
        <v>3218</v>
      </c>
      <c r="X480" s="10" t="s">
        <v>136</v>
      </c>
      <c r="Y480" s="10" t="s">
        <v>253</v>
      </c>
      <c r="Z480" s="10" t="s">
        <v>170</v>
      </c>
      <c r="AA480" s="24"/>
      <c r="AB480" s="24"/>
      <c r="AC480" s="13">
        <v>45830</v>
      </c>
      <c r="AD480" s="13" t="s">
        <v>209</v>
      </c>
    </row>
    <row r="481" spans="1:30" ht="15.75" customHeight="1" x14ac:dyDescent="0.25">
      <c r="A481" s="10" t="s">
        <v>160</v>
      </c>
      <c r="B481" s="10" t="s">
        <v>86</v>
      </c>
      <c r="C481" s="10" t="s">
        <v>91</v>
      </c>
      <c r="D481" s="10" t="s">
        <v>92</v>
      </c>
      <c r="E481" s="10">
        <v>1045732727</v>
      </c>
      <c r="F481" s="23" t="s">
        <v>3219</v>
      </c>
      <c r="G481" s="10" t="s">
        <v>365</v>
      </c>
      <c r="H481" s="10" t="s">
        <v>3220</v>
      </c>
      <c r="I481" s="13">
        <v>45831</v>
      </c>
      <c r="J481" s="10" t="str">
        <f t="shared" ca="1" si="64"/>
        <v xml:space="preserve">1  Años, 2  Mes, 3 Dias </v>
      </c>
      <c r="K481" s="10" t="s">
        <v>113</v>
      </c>
      <c r="L481" s="19"/>
      <c r="M481" s="19" t="str">
        <f t="shared" ca="1" si="73"/>
        <v/>
      </c>
      <c r="N481" s="10" t="s">
        <v>320</v>
      </c>
      <c r="O481" s="10" t="s">
        <v>122</v>
      </c>
      <c r="P481" s="10" t="s">
        <v>124</v>
      </c>
      <c r="Q481" s="18" t="s">
        <v>128</v>
      </c>
      <c r="R481" s="10" t="s">
        <v>133</v>
      </c>
      <c r="S481" s="10" t="s">
        <v>3221</v>
      </c>
      <c r="T481" s="10" t="s">
        <v>136</v>
      </c>
      <c r="U481" s="10">
        <v>3042064605</v>
      </c>
      <c r="V481" s="19"/>
      <c r="W481" s="10" t="s">
        <v>3222</v>
      </c>
      <c r="X481" s="10" t="s">
        <v>136</v>
      </c>
      <c r="Y481" s="10" t="s">
        <v>253</v>
      </c>
      <c r="Z481" s="10" t="s">
        <v>216</v>
      </c>
      <c r="AA481" s="24"/>
      <c r="AB481" s="24"/>
      <c r="AC481" s="13">
        <v>45888</v>
      </c>
      <c r="AD481" s="13" t="s">
        <v>209</v>
      </c>
    </row>
    <row r="482" spans="1:30" ht="15.75" customHeight="1" x14ac:dyDescent="0.25">
      <c r="A482" s="10" t="s">
        <v>77</v>
      </c>
      <c r="B482" s="10" t="s">
        <v>86</v>
      </c>
      <c r="C482" s="10" t="s">
        <v>91</v>
      </c>
      <c r="D482" s="10" t="s">
        <v>92</v>
      </c>
      <c r="E482" s="10">
        <v>1083436289</v>
      </c>
      <c r="F482" s="23" t="s">
        <v>172</v>
      </c>
      <c r="G482" s="10" t="s">
        <v>26</v>
      </c>
      <c r="H482" s="10" t="s">
        <v>297</v>
      </c>
      <c r="I482" s="13">
        <v>45833</v>
      </c>
      <c r="J482" s="10" t="str">
        <f t="shared" ca="1" si="64"/>
        <v xml:space="preserve">1  Años, 2  Mes, 1 Dias </v>
      </c>
      <c r="K482" s="10" t="s">
        <v>113</v>
      </c>
      <c r="L482" s="36">
        <v>35761</v>
      </c>
      <c r="M482" s="10">
        <v>28</v>
      </c>
      <c r="N482" s="10" t="s">
        <v>120</v>
      </c>
      <c r="O482" s="10" t="s">
        <v>122</v>
      </c>
      <c r="P482" s="10" t="s">
        <v>142</v>
      </c>
      <c r="Q482" s="18" t="s">
        <v>128</v>
      </c>
      <c r="R482" s="10" t="s">
        <v>133</v>
      </c>
      <c r="S482" s="10" t="s">
        <v>308</v>
      </c>
      <c r="T482" s="10" t="s">
        <v>151</v>
      </c>
      <c r="U482" s="10">
        <v>3244406347</v>
      </c>
      <c r="V482" s="19"/>
      <c r="W482" s="40" t="s">
        <v>315</v>
      </c>
      <c r="X482" s="10" t="s">
        <v>136</v>
      </c>
      <c r="Y482" s="37" t="s">
        <v>203</v>
      </c>
      <c r="Z482" s="10" t="s">
        <v>170</v>
      </c>
      <c r="AA482" s="19"/>
      <c r="AB482" s="19"/>
      <c r="AC482" s="19"/>
      <c r="AD482" s="10" t="s">
        <v>209</v>
      </c>
    </row>
    <row r="483" spans="1:30" ht="15.75" customHeight="1" x14ac:dyDescent="0.25">
      <c r="A483" s="10" t="s">
        <v>77</v>
      </c>
      <c r="B483" s="10" t="s">
        <v>86</v>
      </c>
      <c r="C483" s="10" t="s">
        <v>91</v>
      </c>
      <c r="D483" s="10" t="s">
        <v>92</v>
      </c>
      <c r="E483" s="10">
        <v>1047215623</v>
      </c>
      <c r="F483" s="23" t="s">
        <v>621</v>
      </c>
      <c r="G483" s="10" t="s">
        <v>18</v>
      </c>
      <c r="H483" s="10" t="s">
        <v>297</v>
      </c>
      <c r="I483" s="13">
        <v>45416</v>
      </c>
      <c r="J483" s="10" t="str">
        <f t="shared" ca="1" si="64"/>
        <v xml:space="preserve">2  Años, 3  Mes, 22 Dias </v>
      </c>
      <c r="K483" s="10" t="s">
        <v>113</v>
      </c>
      <c r="L483" s="24"/>
      <c r="M483" s="19" t="str">
        <f t="shared" ref="M483:M487" ca="1" si="74">IF(L483=0,"", DATEDIF(L483,TODAY(),"y"))</f>
        <v/>
      </c>
      <c r="N483" s="10" t="s">
        <v>120</v>
      </c>
      <c r="O483" s="10" t="s">
        <v>122</v>
      </c>
      <c r="P483" s="10" t="s">
        <v>210</v>
      </c>
      <c r="Q483" s="18" t="s">
        <v>128</v>
      </c>
      <c r="R483" s="10" t="s">
        <v>133</v>
      </c>
      <c r="S483" s="10" t="s">
        <v>3223</v>
      </c>
      <c r="T483" s="10" t="s">
        <v>136</v>
      </c>
      <c r="U483" s="10">
        <v>3044043279</v>
      </c>
      <c r="V483" s="19"/>
      <c r="W483" s="10" t="s">
        <v>3224</v>
      </c>
      <c r="X483" s="10" t="s">
        <v>136</v>
      </c>
      <c r="Y483" s="10" t="s">
        <v>791</v>
      </c>
      <c r="Z483" s="10" t="s">
        <v>216</v>
      </c>
      <c r="AA483" s="24"/>
      <c r="AB483" s="24"/>
      <c r="AC483" s="13">
        <v>45517</v>
      </c>
      <c r="AD483" s="24"/>
    </row>
    <row r="484" spans="1:30" ht="15.75" customHeight="1" x14ac:dyDescent="0.25">
      <c r="A484" s="10" t="s">
        <v>160</v>
      </c>
      <c r="B484" s="10" t="s">
        <v>90</v>
      </c>
      <c r="C484" s="10" t="s">
        <v>175</v>
      </c>
      <c r="D484" s="10" t="s">
        <v>92</v>
      </c>
      <c r="E484" s="10">
        <v>1143135034</v>
      </c>
      <c r="F484" s="23" t="s">
        <v>1375</v>
      </c>
      <c r="G484" s="10" t="s">
        <v>1376</v>
      </c>
      <c r="H484" s="10" t="s">
        <v>1377</v>
      </c>
      <c r="I484" s="13">
        <v>45831</v>
      </c>
      <c r="J484" s="10" t="str">
        <f t="shared" ca="1" si="64"/>
        <v xml:space="preserve">1  Años, 2  Mes, 3 Dias </v>
      </c>
      <c r="K484" s="10" t="s">
        <v>113</v>
      </c>
      <c r="L484" s="19"/>
      <c r="M484" s="19" t="str">
        <f t="shared" ca="1" si="74"/>
        <v/>
      </c>
      <c r="N484" s="10" t="s">
        <v>120</v>
      </c>
      <c r="O484" s="10" t="s">
        <v>236</v>
      </c>
      <c r="P484" s="10" t="s">
        <v>142</v>
      </c>
      <c r="Q484" s="18" t="s">
        <v>128</v>
      </c>
      <c r="R484" s="10" t="s">
        <v>133</v>
      </c>
      <c r="S484" s="10" t="s">
        <v>1380</v>
      </c>
      <c r="T484" s="10" t="s">
        <v>136</v>
      </c>
      <c r="U484" s="10">
        <v>3187466823</v>
      </c>
      <c r="V484" s="19"/>
      <c r="W484" s="10" t="s">
        <v>1381</v>
      </c>
      <c r="X484" s="10" t="s">
        <v>136</v>
      </c>
      <c r="Y484" s="10" t="s">
        <v>206</v>
      </c>
      <c r="Z484" s="10" t="s">
        <v>170</v>
      </c>
      <c r="AA484" s="24"/>
      <c r="AB484" s="24"/>
      <c r="AC484" s="24"/>
      <c r="AD484" s="10" t="s">
        <v>209</v>
      </c>
    </row>
    <row r="485" spans="1:30" ht="15.75" customHeight="1" x14ac:dyDescent="0.25">
      <c r="A485" s="10" t="s">
        <v>77</v>
      </c>
      <c r="B485" s="10" t="s">
        <v>86</v>
      </c>
      <c r="C485" s="10" t="s">
        <v>91</v>
      </c>
      <c r="D485" s="10" t="s">
        <v>92</v>
      </c>
      <c r="E485" s="10">
        <v>72056122</v>
      </c>
      <c r="F485" s="23" t="s">
        <v>3225</v>
      </c>
      <c r="G485" s="10" t="s">
        <v>26</v>
      </c>
      <c r="H485" s="10" t="s">
        <v>755</v>
      </c>
      <c r="I485" s="30">
        <v>45283</v>
      </c>
      <c r="J485" s="10" t="str">
        <f t="shared" ca="1" si="64"/>
        <v xml:space="preserve">2  Años, 8  Mes, 3 Dias </v>
      </c>
      <c r="K485" s="10" t="s">
        <v>113</v>
      </c>
      <c r="L485" s="19"/>
      <c r="M485" s="19" t="str">
        <f t="shared" ca="1" si="74"/>
        <v/>
      </c>
      <c r="N485" s="10" t="s">
        <v>120</v>
      </c>
      <c r="O485" s="10" t="s">
        <v>122</v>
      </c>
      <c r="P485" s="10" t="s">
        <v>124</v>
      </c>
      <c r="Q485" s="18" t="s">
        <v>128</v>
      </c>
      <c r="R485" s="10" t="s">
        <v>133</v>
      </c>
      <c r="S485" s="10" t="s">
        <v>3226</v>
      </c>
      <c r="T485" s="10" t="s">
        <v>136</v>
      </c>
      <c r="U485" s="10">
        <v>3024318860</v>
      </c>
      <c r="V485" s="10">
        <v>3024318860</v>
      </c>
      <c r="W485" s="10" t="s">
        <v>3227</v>
      </c>
      <c r="X485" s="10" t="s">
        <v>136</v>
      </c>
      <c r="Y485" s="10" t="s">
        <v>203</v>
      </c>
      <c r="Z485" s="10" t="s">
        <v>170</v>
      </c>
      <c r="AA485" s="24"/>
      <c r="AB485" s="24"/>
      <c r="AC485" s="13">
        <v>45311</v>
      </c>
      <c r="AD485" s="24"/>
    </row>
    <row r="486" spans="1:30" ht="15.75" customHeight="1" x14ac:dyDescent="0.25">
      <c r="A486" s="10" t="s">
        <v>77</v>
      </c>
      <c r="B486" s="10" t="s">
        <v>86</v>
      </c>
      <c r="C486" s="10" t="s">
        <v>91</v>
      </c>
      <c r="D486" s="10" t="s">
        <v>92</v>
      </c>
      <c r="E486" s="10">
        <v>8508133</v>
      </c>
      <c r="F486" s="23" t="s">
        <v>3228</v>
      </c>
      <c r="G486" s="10" t="s">
        <v>26</v>
      </c>
      <c r="H486" s="10" t="s">
        <v>755</v>
      </c>
      <c r="I486" s="13">
        <v>45316</v>
      </c>
      <c r="J486" s="10" t="str">
        <f t="shared" ca="1" si="64"/>
        <v xml:space="preserve">2  Años, 7  Mes, 1 Dias </v>
      </c>
      <c r="K486" s="10" t="s">
        <v>113</v>
      </c>
      <c r="L486" s="13">
        <v>29110</v>
      </c>
      <c r="M486" s="10">
        <f t="shared" ca="1" si="74"/>
        <v>46</v>
      </c>
      <c r="N486" s="10" t="s">
        <v>120</v>
      </c>
      <c r="O486" s="10" t="s">
        <v>122</v>
      </c>
      <c r="P486" s="10" t="s">
        <v>210</v>
      </c>
      <c r="Q486" s="18" t="s">
        <v>128</v>
      </c>
      <c r="R486" s="10" t="s">
        <v>133</v>
      </c>
      <c r="S486" s="10" t="s">
        <v>3229</v>
      </c>
      <c r="T486" s="10" t="s">
        <v>151</v>
      </c>
      <c r="U486" s="10">
        <v>3108811916</v>
      </c>
      <c r="V486" s="19"/>
      <c r="W486" s="40" t="s">
        <v>3230</v>
      </c>
      <c r="X486" s="10" t="s">
        <v>136</v>
      </c>
      <c r="Y486" s="10" t="s">
        <v>539</v>
      </c>
      <c r="Z486" s="10" t="s">
        <v>1266</v>
      </c>
      <c r="AA486" s="24"/>
      <c r="AB486" s="24"/>
      <c r="AC486" s="13">
        <v>45322</v>
      </c>
      <c r="AD486" s="24"/>
    </row>
    <row r="487" spans="1:30" ht="15.75" customHeight="1" x14ac:dyDescent="0.25">
      <c r="A487" s="10" t="s">
        <v>77</v>
      </c>
      <c r="B487" s="10" t="s">
        <v>86</v>
      </c>
      <c r="C487" s="10" t="s">
        <v>91</v>
      </c>
      <c r="D487" s="10" t="s">
        <v>92</v>
      </c>
      <c r="E487" s="10">
        <v>1045231204</v>
      </c>
      <c r="F487" s="23" t="s">
        <v>3231</v>
      </c>
      <c r="G487" s="10" t="s">
        <v>1614</v>
      </c>
      <c r="H487" s="10" t="s">
        <v>3232</v>
      </c>
      <c r="I487" s="13">
        <v>44843</v>
      </c>
      <c r="J487" s="10" t="str">
        <f t="shared" ca="1" si="64"/>
        <v xml:space="preserve">3  Años, 10  Mes, 17 Dias </v>
      </c>
      <c r="K487" s="10" t="s">
        <v>113</v>
      </c>
      <c r="L487" s="19"/>
      <c r="M487" s="19" t="str">
        <f t="shared" ca="1" si="74"/>
        <v/>
      </c>
      <c r="N487" s="10" t="s">
        <v>120</v>
      </c>
      <c r="O487" s="10" t="s">
        <v>122</v>
      </c>
      <c r="P487" s="10" t="s">
        <v>124</v>
      </c>
      <c r="Q487" s="18" t="s">
        <v>128</v>
      </c>
      <c r="R487" s="10" t="s">
        <v>133</v>
      </c>
      <c r="S487" s="10" t="s">
        <v>3233</v>
      </c>
      <c r="T487" s="10" t="s">
        <v>136</v>
      </c>
      <c r="U487" s="10">
        <v>3015345730</v>
      </c>
      <c r="V487" s="19"/>
      <c r="W487" s="10" t="s">
        <v>3234</v>
      </c>
      <c r="X487" s="10" t="s">
        <v>136</v>
      </c>
      <c r="Y487" s="10" t="s">
        <v>203</v>
      </c>
      <c r="Z487" s="10" t="s">
        <v>216</v>
      </c>
      <c r="AA487" s="24"/>
      <c r="AB487" s="24"/>
      <c r="AC487" s="13">
        <v>45366</v>
      </c>
      <c r="AD487" s="24"/>
    </row>
    <row r="488" spans="1:30" ht="15.75" customHeight="1" x14ac:dyDescent="0.25">
      <c r="A488" s="10" t="s">
        <v>77</v>
      </c>
      <c r="B488" s="10" t="s">
        <v>90</v>
      </c>
      <c r="C488" s="10" t="s">
        <v>175</v>
      </c>
      <c r="D488" s="12" t="s">
        <v>92</v>
      </c>
      <c r="E488" s="12">
        <v>1143228520</v>
      </c>
      <c r="F488" s="23" t="s">
        <v>2005</v>
      </c>
      <c r="G488" s="10" t="s">
        <v>655</v>
      </c>
      <c r="H488" s="29" t="s">
        <v>2006</v>
      </c>
      <c r="I488" s="13">
        <v>45831</v>
      </c>
      <c r="J488" s="10" t="str">
        <f t="shared" ca="1" si="64"/>
        <v xml:space="preserve">1  Años, 2  Mes, 3 Dias </v>
      </c>
      <c r="K488" s="12" t="s">
        <v>113</v>
      </c>
      <c r="L488" s="5"/>
      <c r="M488" s="5"/>
      <c r="N488" s="10" t="s">
        <v>120</v>
      </c>
      <c r="O488" s="10" t="s">
        <v>277</v>
      </c>
      <c r="P488" s="12" t="s">
        <v>142</v>
      </c>
      <c r="Q488" s="18" t="s">
        <v>128</v>
      </c>
      <c r="R488" s="12" t="s">
        <v>133</v>
      </c>
      <c r="S488" s="12" t="s">
        <v>2010</v>
      </c>
      <c r="T488" s="12" t="s">
        <v>136</v>
      </c>
      <c r="U488" s="12">
        <v>3244963574</v>
      </c>
      <c r="V488" s="5"/>
      <c r="W488" s="5"/>
      <c r="X488" s="12" t="s">
        <v>136</v>
      </c>
      <c r="Y488" s="12" t="s">
        <v>539</v>
      </c>
      <c r="Z488" s="12" t="s">
        <v>170</v>
      </c>
      <c r="AA488" s="20"/>
      <c r="AB488" s="20"/>
      <c r="AC488" s="20"/>
      <c r="AD488" s="10" t="s">
        <v>209</v>
      </c>
    </row>
    <row r="489" spans="1:30" ht="15.75" customHeight="1" x14ac:dyDescent="0.25">
      <c r="A489" s="10" t="s">
        <v>77</v>
      </c>
      <c r="B489" s="10" t="s">
        <v>86</v>
      </c>
      <c r="C489" s="10" t="s">
        <v>91</v>
      </c>
      <c r="D489" s="10" t="s">
        <v>92</v>
      </c>
      <c r="E489" s="37">
        <v>1048293756</v>
      </c>
      <c r="F489" s="38" t="s">
        <v>3235</v>
      </c>
      <c r="G489" s="10" t="s">
        <v>11</v>
      </c>
      <c r="H489" s="10" t="s">
        <v>3236</v>
      </c>
      <c r="I489" s="13">
        <v>45330</v>
      </c>
      <c r="J489" s="10" t="str">
        <f t="shared" ca="1" si="64"/>
        <v xml:space="preserve">2  Años, 6  Mes, 18 Dias </v>
      </c>
      <c r="K489" s="10" t="s">
        <v>113</v>
      </c>
      <c r="L489" s="36">
        <v>34540</v>
      </c>
      <c r="M489" s="10">
        <f ca="1">IF(L489=0,"", DATEDIF(L489,TODAY(),"y"))</f>
        <v>32</v>
      </c>
      <c r="N489" s="10" t="s">
        <v>120</v>
      </c>
      <c r="O489" s="10" t="s">
        <v>236</v>
      </c>
      <c r="P489" s="10" t="s">
        <v>142</v>
      </c>
      <c r="Q489" s="18" t="s">
        <v>648</v>
      </c>
      <c r="R489" s="10" t="s">
        <v>133</v>
      </c>
      <c r="S489" s="37" t="s">
        <v>3237</v>
      </c>
      <c r="T489" s="10" t="s">
        <v>507</v>
      </c>
      <c r="U489" s="37">
        <v>3001770584</v>
      </c>
      <c r="V489" s="19"/>
      <c r="W489" s="40" t="s">
        <v>3238</v>
      </c>
      <c r="X489" s="10" t="s">
        <v>136</v>
      </c>
      <c r="Y489" s="37" t="s">
        <v>1401</v>
      </c>
      <c r="Z489" s="10" t="s">
        <v>1208</v>
      </c>
      <c r="AA489" s="24"/>
      <c r="AB489" s="24"/>
      <c r="AC489" s="13">
        <v>45489</v>
      </c>
      <c r="AD489" s="24"/>
    </row>
    <row r="490" spans="1:30" ht="15.75" customHeight="1" x14ac:dyDescent="0.25">
      <c r="A490" s="10" t="s">
        <v>160</v>
      </c>
      <c r="B490" s="10" t="s">
        <v>86</v>
      </c>
      <c r="C490" s="10" t="s">
        <v>91</v>
      </c>
      <c r="D490" s="12" t="s">
        <v>92</v>
      </c>
      <c r="E490" s="12">
        <v>1044612789</v>
      </c>
      <c r="F490" s="15" t="s">
        <v>3239</v>
      </c>
      <c r="G490" s="12" t="s">
        <v>754</v>
      </c>
      <c r="H490" s="12" t="s">
        <v>3240</v>
      </c>
      <c r="I490" s="16">
        <v>45686</v>
      </c>
      <c r="J490" s="10" t="str">
        <f t="shared" ca="1" si="64"/>
        <v xml:space="preserve">1  Años, 6  Mes, 28 Dias </v>
      </c>
      <c r="K490" s="12" t="s">
        <v>113</v>
      </c>
      <c r="L490" s="5"/>
      <c r="M490" s="12">
        <v>34</v>
      </c>
      <c r="N490" s="10" t="s">
        <v>320</v>
      </c>
      <c r="O490" s="10" t="s">
        <v>567</v>
      </c>
      <c r="P490" s="12" t="s">
        <v>142</v>
      </c>
      <c r="Q490" s="18" t="s">
        <v>648</v>
      </c>
      <c r="R490" s="12" t="s">
        <v>133</v>
      </c>
      <c r="S490" s="12" t="s">
        <v>3241</v>
      </c>
      <c r="T490" s="12" t="s">
        <v>136</v>
      </c>
      <c r="U490" s="12">
        <v>3012852146</v>
      </c>
      <c r="V490" s="5"/>
      <c r="W490" s="12" t="s">
        <v>3242</v>
      </c>
      <c r="X490" s="12" t="s">
        <v>136</v>
      </c>
      <c r="Y490" s="12" t="s">
        <v>215</v>
      </c>
      <c r="Z490" s="12" t="s">
        <v>170</v>
      </c>
      <c r="AA490" s="20"/>
      <c r="AB490" s="20"/>
      <c r="AC490" s="16">
        <v>45798</v>
      </c>
      <c r="AD490" s="10" t="s">
        <v>148</v>
      </c>
    </row>
    <row r="491" spans="1:30" ht="15.75" customHeight="1" x14ac:dyDescent="0.25">
      <c r="A491" s="10" t="s">
        <v>77</v>
      </c>
      <c r="B491" s="10" t="s">
        <v>90</v>
      </c>
      <c r="C491" s="10" t="s">
        <v>175</v>
      </c>
      <c r="D491" s="10" t="s">
        <v>92</v>
      </c>
      <c r="E491" s="12">
        <v>1047215623</v>
      </c>
      <c r="F491" s="23" t="s">
        <v>621</v>
      </c>
      <c r="G491" s="10" t="s">
        <v>18</v>
      </c>
      <c r="H491" s="12" t="s">
        <v>728</v>
      </c>
      <c r="I491" s="16">
        <v>45861</v>
      </c>
      <c r="J491" s="10" t="str">
        <f t="shared" ca="1" si="64"/>
        <v xml:space="preserve">1  Años, 1  Mes, 3 Dias </v>
      </c>
      <c r="K491" s="12" t="s">
        <v>113</v>
      </c>
      <c r="L491" s="5"/>
      <c r="M491" s="5"/>
      <c r="N491" s="5"/>
      <c r="O491" s="5"/>
      <c r="P491" s="5"/>
      <c r="Q491" s="5"/>
      <c r="R491" s="5"/>
      <c r="S491" s="5"/>
      <c r="T491" s="5"/>
      <c r="U491" s="12">
        <v>3044043279</v>
      </c>
      <c r="V491" s="5"/>
      <c r="W491" s="12" t="s">
        <v>734</v>
      </c>
      <c r="X491" s="10" t="s">
        <v>136</v>
      </c>
      <c r="Y491" s="5"/>
      <c r="Z491" s="5"/>
      <c r="AA491" s="57">
        <v>77730276055</v>
      </c>
      <c r="AB491" s="57" t="s">
        <v>393</v>
      </c>
      <c r="AC491" s="56"/>
      <c r="AD491" s="56"/>
    </row>
    <row r="492" spans="1:30" ht="15.75" customHeight="1" x14ac:dyDescent="0.25">
      <c r="A492" s="10" t="s">
        <v>77</v>
      </c>
      <c r="B492" s="10" t="s">
        <v>86</v>
      </c>
      <c r="C492" s="10" t="s">
        <v>91</v>
      </c>
      <c r="D492" s="10" t="s">
        <v>92</v>
      </c>
      <c r="E492" s="10">
        <v>72428145</v>
      </c>
      <c r="F492" s="23" t="s">
        <v>157</v>
      </c>
      <c r="G492" s="10" t="s">
        <v>26</v>
      </c>
      <c r="H492" s="10" t="s">
        <v>3243</v>
      </c>
      <c r="I492" s="13">
        <v>45294</v>
      </c>
      <c r="J492" s="10" t="str">
        <f t="shared" ca="1" si="64"/>
        <v xml:space="preserve">2  Años, 7  Mes, 23 Dias </v>
      </c>
      <c r="K492" s="10" t="s">
        <v>113</v>
      </c>
      <c r="L492" s="19"/>
      <c r="M492" s="19" t="str">
        <f t="shared" ref="M492:M499" ca="1" si="75">IF(L492=0,"", DATEDIF(L492,TODAY(),"y"))</f>
        <v/>
      </c>
      <c r="N492" s="10" t="s">
        <v>120</v>
      </c>
      <c r="O492" s="10" t="s">
        <v>122</v>
      </c>
      <c r="P492" s="10" t="s">
        <v>124</v>
      </c>
      <c r="Q492" s="19"/>
      <c r="R492" s="10" t="s">
        <v>133</v>
      </c>
      <c r="S492" s="10" t="s">
        <v>3244</v>
      </c>
      <c r="T492" s="10" t="s">
        <v>136</v>
      </c>
      <c r="U492" s="10">
        <v>3244127667</v>
      </c>
      <c r="V492" s="59" t="s">
        <v>3245</v>
      </c>
      <c r="W492" s="59" t="s">
        <v>3245</v>
      </c>
      <c r="X492" s="10" t="s">
        <v>136</v>
      </c>
      <c r="Y492" s="10" t="s">
        <v>539</v>
      </c>
      <c r="Z492" s="10" t="s">
        <v>170</v>
      </c>
      <c r="AA492" s="33"/>
      <c r="AB492" s="33"/>
      <c r="AC492" s="35">
        <v>45656</v>
      </c>
      <c r="AD492" s="24"/>
    </row>
    <row r="493" spans="1:30" ht="15.75" customHeight="1" x14ac:dyDescent="0.25">
      <c r="A493" s="10" t="s">
        <v>77</v>
      </c>
      <c r="B493" s="10" t="s">
        <v>86</v>
      </c>
      <c r="C493" s="10" t="s">
        <v>91</v>
      </c>
      <c r="D493" s="10" t="s">
        <v>92</v>
      </c>
      <c r="E493" s="10">
        <v>1143169893</v>
      </c>
      <c r="F493" s="23" t="s">
        <v>3246</v>
      </c>
      <c r="G493" s="10" t="s">
        <v>26</v>
      </c>
      <c r="H493" s="10" t="s">
        <v>3247</v>
      </c>
      <c r="I493" s="30">
        <v>45272</v>
      </c>
      <c r="J493" s="10" t="str">
        <f t="shared" ca="1" si="64"/>
        <v xml:space="preserve">2  Años, 8  Mes, 14 Dias </v>
      </c>
      <c r="K493" s="10" t="s">
        <v>113</v>
      </c>
      <c r="L493" s="24"/>
      <c r="M493" s="19" t="str">
        <f t="shared" ca="1" si="75"/>
        <v/>
      </c>
      <c r="N493" s="10" t="s">
        <v>120</v>
      </c>
      <c r="O493" s="10" t="s">
        <v>236</v>
      </c>
      <c r="P493" s="10" t="s">
        <v>124</v>
      </c>
      <c r="Q493" s="18" t="s">
        <v>128</v>
      </c>
      <c r="R493" s="10" t="s">
        <v>133</v>
      </c>
      <c r="S493" s="10" t="s">
        <v>3248</v>
      </c>
      <c r="T493" s="10" t="s">
        <v>136</v>
      </c>
      <c r="U493" s="10">
        <v>3011724429</v>
      </c>
      <c r="V493" s="10">
        <v>3011724429</v>
      </c>
      <c r="W493" s="10" t="s">
        <v>3249</v>
      </c>
      <c r="X493" s="10" t="s">
        <v>136</v>
      </c>
      <c r="Y493" s="10" t="s">
        <v>206</v>
      </c>
      <c r="Z493" s="10" t="s">
        <v>170</v>
      </c>
      <c r="AA493" s="24"/>
      <c r="AB493" s="24"/>
      <c r="AC493" s="13">
        <v>45344</v>
      </c>
      <c r="AD493" s="24"/>
    </row>
    <row r="494" spans="1:30" ht="15.75" customHeight="1" x14ac:dyDescent="0.25">
      <c r="A494" s="10" t="s">
        <v>160</v>
      </c>
      <c r="B494" s="10" t="s">
        <v>86</v>
      </c>
      <c r="C494" s="10" t="s">
        <v>91</v>
      </c>
      <c r="D494" s="10" t="s">
        <v>92</v>
      </c>
      <c r="E494" s="10">
        <v>1143457034</v>
      </c>
      <c r="F494" s="23" t="s">
        <v>3250</v>
      </c>
      <c r="G494" s="10" t="s">
        <v>3251</v>
      </c>
      <c r="H494" s="10" t="s">
        <v>3252</v>
      </c>
      <c r="I494" s="13">
        <v>45064</v>
      </c>
      <c r="J494" s="10" t="str">
        <f t="shared" ca="1" si="64"/>
        <v xml:space="preserve">3  Años, 3  Mes, 8 Dias </v>
      </c>
      <c r="K494" s="10" t="s">
        <v>113</v>
      </c>
      <c r="L494" s="24"/>
      <c r="M494" s="19" t="str">
        <f t="shared" ca="1" si="75"/>
        <v/>
      </c>
      <c r="N494" s="10" t="s">
        <v>120</v>
      </c>
      <c r="O494" s="10" t="s">
        <v>236</v>
      </c>
      <c r="P494" s="10" t="s">
        <v>142</v>
      </c>
      <c r="Q494" s="18" t="s">
        <v>128</v>
      </c>
      <c r="R494" s="10" t="s">
        <v>133</v>
      </c>
      <c r="S494" s="19"/>
      <c r="T494" s="19"/>
      <c r="U494" s="10">
        <v>3178235113</v>
      </c>
      <c r="V494" s="19"/>
      <c r="W494" s="19"/>
      <c r="X494" s="10" t="s">
        <v>136</v>
      </c>
      <c r="Y494" s="19"/>
      <c r="Z494" s="19"/>
      <c r="AA494" s="24"/>
      <c r="AB494" s="24"/>
      <c r="AC494" s="13">
        <v>45762</v>
      </c>
      <c r="AD494" s="10" t="s">
        <v>148</v>
      </c>
    </row>
    <row r="495" spans="1:30" ht="15.75" customHeight="1" x14ac:dyDescent="0.25">
      <c r="A495" s="10" t="s">
        <v>77</v>
      </c>
      <c r="B495" s="10" t="s">
        <v>86</v>
      </c>
      <c r="C495" s="10" t="s">
        <v>91</v>
      </c>
      <c r="D495" s="10" t="s">
        <v>92</v>
      </c>
      <c r="E495" s="10">
        <v>72047980</v>
      </c>
      <c r="F495" s="23" t="s">
        <v>281</v>
      </c>
      <c r="G495" s="10" t="s">
        <v>11</v>
      </c>
      <c r="H495" s="10" t="s">
        <v>3253</v>
      </c>
      <c r="I495" s="13">
        <v>44843</v>
      </c>
      <c r="J495" s="10" t="str">
        <f t="shared" ca="1" si="64"/>
        <v xml:space="preserve">3  Años, 10  Mes, 17 Dias </v>
      </c>
      <c r="K495" s="10" t="s">
        <v>113</v>
      </c>
      <c r="L495" s="19"/>
      <c r="M495" s="19" t="str">
        <f t="shared" ca="1" si="75"/>
        <v/>
      </c>
      <c r="N495" s="10" t="s">
        <v>120</v>
      </c>
      <c r="O495" s="10" t="s">
        <v>122</v>
      </c>
      <c r="P495" s="10" t="s">
        <v>142</v>
      </c>
      <c r="Q495" s="18" t="s">
        <v>128</v>
      </c>
      <c r="R495" s="10" t="s">
        <v>133</v>
      </c>
      <c r="S495" s="10" t="s">
        <v>3254</v>
      </c>
      <c r="T495" s="10" t="s">
        <v>136</v>
      </c>
      <c r="U495" s="10">
        <v>3128235505</v>
      </c>
      <c r="V495" s="19"/>
      <c r="W495" s="10" t="s">
        <v>3255</v>
      </c>
      <c r="X495" s="10" t="s">
        <v>136</v>
      </c>
      <c r="Y495" s="10" t="s">
        <v>206</v>
      </c>
      <c r="Z495" s="10" t="s">
        <v>170</v>
      </c>
      <c r="AA495" s="24"/>
      <c r="AB495" s="24"/>
      <c r="AC495" s="13">
        <v>45830</v>
      </c>
      <c r="AD495" s="10" t="s">
        <v>209</v>
      </c>
    </row>
    <row r="496" spans="1:30" ht="15.75" customHeight="1" x14ac:dyDescent="0.25">
      <c r="A496" s="10" t="s">
        <v>77</v>
      </c>
      <c r="B496" s="10" t="s">
        <v>86</v>
      </c>
      <c r="C496" s="10" t="s">
        <v>91</v>
      </c>
      <c r="D496" s="10" t="s">
        <v>92</v>
      </c>
      <c r="E496" s="10">
        <v>1045698921</v>
      </c>
      <c r="F496" s="23" t="s">
        <v>149</v>
      </c>
      <c r="G496" s="10" t="s">
        <v>18</v>
      </c>
      <c r="H496" s="10" t="s">
        <v>3256</v>
      </c>
      <c r="I496" s="30">
        <v>45245</v>
      </c>
      <c r="J496" s="10" t="str">
        <f t="shared" ca="1" si="64"/>
        <v xml:space="preserve">2  Años, 9  Mes, 11 Dias </v>
      </c>
      <c r="K496" s="10" t="s">
        <v>113</v>
      </c>
      <c r="L496" s="24"/>
      <c r="M496" s="19" t="str">
        <f t="shared" ca="1" si="75"/>
        <v/>
      </c>
      <c r="N496" s="10" t="s">
        <v>120</v>
      </c>
      <c r="O496" s="10" t="s">
        <v>122</v>
      </c>
      <c r="P496" s="10" t="s">
        <v>142</v>
      </c>
      <c r="Q496" s="18" t="s">
        <v>128</v>
      </c>
      <c r="R496" s="10" t="s">
        <v>133</v>
      </c>
      <c r="S496" s="10" t="s">
        <v>3257</v>
      </c>
      <c r="T496" s="10" t="s">
        <v>136</v>
      </c>
      <c r="U496" s="10">
        <v>3244829075</v>
      </c>
      <c r="V496" s="10">
        <v>3244829075</v>
      </c>
      <c r="W496" s="10" t="s">
        <v>3258</v>
      </c>
      <c r="X496" s="10" t="s">
        <v>136</v>
      </c>
      <c r="Y496" s="10" t="s">
        <v>206</v>
      </c>
      <c r="Z496" s="10" t="s">
        <v>170</v>
      </c>
      <c r="AA496" s="24"/>
      <c r="AB496" s="24"/>
      <c r="AC496" s="13">
        <v>45830</v>
      </c>
      <c r="AD496" s="10" t="s">
        <v>209</v>
      </c>
    </row>
    <row r="497" spans="1:30" ht="15.75" customHeight="1" x14ac:dyDescent="0.25">
      <c r="A497" s="10" t="s">
        <v>77</v>
      </c>
      <c r="B497" s="10" t="s">
        <v>86</v>
      </c>
      <c r="C497" s="10" t="s">
        <v>91</v>
      </c>
      <c r="D497" s="10" t="s">
        <v>92</v>
      </c>
      <c r="E497" s="10">
        <v>1148962768</v>
      </c>
      <c r="F497" s="23" t="s">
        <v>3259</v>
      </c>
      <c r="G497" s="10" t="s">
        <v>18</v>
      </c>
      <c r="H497" s="10" t="s">
        <v>755</v>
      </c>
      <c r="I497" s="30">
        <v>45279</v>
      </c>
      <c r="J497" s="10" t="str">
        <f t="shared" ca="1" si="64"/>
        <v xml:space="preserve">2  Años, 8  Mes, 7 Dias </v>
      </c>
      <c r="K497" s="10" t="s">
        <v>113</v>
      </c>
      <c r="L497" s="24"/>
      <c r="M497" s="19" t="str">
        <f t="shared" ca="1" si="75"/>
        <v/>
      </c>
      <c r="N497" s="10" t="s">
        <v>120</v>
      </c>
      <c r="O497" s="10" t="s">
        <v>236</v>
      </c>
      <c r="P497" s="10" t="s">
        <v>142</v>
      </c>
      <c r="Q497" s="18" t="s">
        <v>128</v>
      </c>
      <c r="R497" s="10" t="s">
        <v>133</v>
      </c>
      <c r="S497" s="10" t="s">
        <v>3260</v>
      </c>
      <c r="T497" s="10" t="s">
        <v>136</v>
      </c>
      <c r="U497" s="10">
        <v>3005740202</v>
      </c>
      <c r="V497" s="10">
        <v>3005740202</v>
      </c>
      <c r="W497" s="10" t="s">
        <v>3261</v>
      </c>
      <c r="X497" s="10" t="s">
        <v>136</v>
      </c>
      <c r="Y497" s="10" t="s">
        <v>206</v>
      </c>
      <c r="Z497" s="10" t="s">
        <v>216</v>
      </c>
      <c r="AA497" s="123"/>
      <c r="AB497" s="123"/>
      <c r="AC497" s="26">
        <v>44938</v>
      </c>
      <c r="AD497" s="123"/>
    </row>
    <row r="498" spans="1:30" x14ac:dyDescent="0.25">
      <c r="A498" s="10" t="s">
        <v>77</v>
      </c>
      <c r="B498" s="10" t="s">
        <v>86</v>
      </c>
      <c r="C498" s="10" t="s">
        <v>91</v>
      </c>
      <c r="D498" s="10" t="s">
        <v>92</v>
      </c>
      <c r="E498" s="10">
        <v>1046700066</v>
      </c>
      <c r="F498" s="23" t="s">
        <v>146</v>
      </c>
      <c r="G498" s="10" t="s">
        <v>11</v>
      </c>
      <c r="H498" s="10" t="s">
        <v>3262</v>
      </c>
      <c r="I498" s="13">
        <v>45142</v>
      </c>
      <c r="J498" s="10" t="str">
        <f t="shared" ca="1" si="64"/>
        <v xml:space="preserve">3  Años, 0  Mes, 22 Dias </v>
      </c>
      <c r="K498" s="10" t="s">
        <v>113</v>
      </c>
      <c r="L498" s="19"/>
      <c r="M498" s="19" t="str">
        <f t="shared" ca="1" si="75"/>
        <v/>
      </c>
      <c r="N498" s="10" t="s">
        <v>120</v>
      </c>
      <c r="O498" s="10" t="s">
        <v>122</v>
      </c>
      <c r="P498" s="10" t="s">
        <v>142</v>
      </c>
      <c r="Q498" s="18" t="s">
        <v>128</v>
      </c>
      <c r="R498" s="10" t="s">
        <v>133</v>
      </c>
      <c r="S498" s="10" t="s">
        <v>3263</v>
      </c>
      <c r="T498" s="10" t="s">
        <v>136</v>
      </c>
      <c r="U498" s="10">
        <v>3103618123</v>
      </c>
      <c r="V498" s="19"/>
      <c r="W498" s="10" t="s">
        <v>845</v>
      </c>
      <c r="X498" s="10" t="s">
        <v>136</v>
      </c>
      <c r="Y498" s="10" t="s">
        <v>206</v>
      </c>
      <c r="Z498" s="10" t="s">
        <v>216</v>
      </c>
      <c r="AA498" s="24"/>
      <c r="AB498" s="24"/>
      <c r="AC498" s="13">
        <v>45392</v>
      </c>
      <c r="AD498" s="24"/>
    </row>
    <row r="499" spans="1:30" ht="15.75" customHeight="1" x14ac:dyDescent="0.25">
      <c r="A499" s="10" t="s">
        <v>77</v>
      </c>
      <c r="B499" s="10" t="s">
        <v>86</v>
      </c>
      <c r="C499" s="10" t="s">
        <v>91</v>
      </c>
      <c r="D499" s="10" t="s">
        <v>92</v>
      </c>
      <c r="E499" s="10">
        <v>1001870430</v>
      </c>
      <c r="F499" s="23" t="s">
        <v>3264</v>
      </c>
      <c r="G499" s="10" t="s">
        <v>26</v>
      </c>
      <c r="H499" s="10" t="s">
        <v>3265</v>
      </c>
      <c r="I499" s="13">
        <v>45316</v>
      </c>
      <c r="J499" s="10" t="str">
        <f t="shared" ca="1" si="64"/>
        <v xml:space="preserve">2  Años, 7  Mes, 1 Dias </v>
      </c>
      <c r="K499" s="10" t="s">
        <v>113</v>
      </c>
      <c r="L499" s="13">
        <v>37231</v>
      </c>
      <c r="M499" s="10">
        <f t="shared" ca="1" si="75"/>
        <v>24</v>
      </c>
      <c r="N499" s="10" t="s">
        <v>120</v>
      </c>
      <c r="O499" s="10" t="s">
        <v>122</v>
      </c>
      <c r="P499" s="10" t="s">
        <v>210</v>
      </c>
      <c r="Q499" s="18" t="s">
        <v>128</v>
      </c>
      <c r="R499" s="10" t="s">
        <v>133</v>
      </c>
      <c r="S499" s="10" t="s">
        <v>3266</v>
      </c>
      <c r="T499" s="10" t="s">
        <v>136</v>
      </c>
      <c r="U499" s="10" t="s">
        <v>3267</v>
      </c>
      <c r="V499" s="19"/>
      <c r="W499" s="109" t="s">
        <v>3268</v>
      </c>
      <c r="X499" s="10" t="s">
        <v>136</v>
      </c>
      <c r="Y499" s="10" t="s">
        <v>155</v>
      </c>
      <c r="Z499" s="10" t="s">
        <v>288</v>
      </c>
      <c r="AA499" s="33"/>
      <c r="AB499" s="33"/>
      <c r="AC499" s="35">
        <v>45656</v>
      </c>
      <c r="AD499" s="19"/>
    </row>
    <row r="500" spans="1:30" ht="15.75" customHeight="1" x14ac:dyDescent="0.25">
      <c r="A500" s="10" t="s">
        <v>77</v>
      </c>
      <c r="B500" s="10" t="s">
        <v>86</v>
      </c>
      <c r="C500" s="10" t="s">
        <v>91</v>
      </c>
      <c r="D500" s="10" t="s">
        <v>92</v>
      </c>
      <c r="E500" s="12">
        <v>1001870430</v>
      </c>
      <c r="F500" s="15" t="s">
        <v>3264</v>
      </c>
      <c r="G500" s="10" t="s">
        <v>26</v>
      </c>
      <c r="H500" s="12" t="s">
        <v>3265</v>
      </c>
      <c r="I500" s="53">
        <v>45649</v>
      </c>
      <c r="J500" s="10" t="str">
        <f t="shared" ca="1" si="64"/>
        <v xml:space="preserve">1  Años, 8  Mes, 3 Dias </v>
      </c>
      <c r="K500" s="12" t="s">
        <v>113</v>
      </c>
      <c r="L500" s="16">
        <v>37231</v>
      </c>
      <c r="M500" s="12">
        <v>23</v>
      </c>
      <c r="N500" s="10" t="s">
        <v>120</v>
      </c>
      <c r="O500" s="10" t="s">
        <v>236</v>
      </c>
      <c r="P500" s="12" t="s">
        <v>124</v>
      </c>
      <c r="Q500" s="18" t="s">
        <v>128</v>
      </c>
      <c r="R500" s="12" t="s">
        <v>133</v>
      </c>
      <c r="S500" s="12" t="s">
        <v>3269</v>
      </c>
      <c r="T500" s="12" t="s">
        <v>136</v>
      </c>
      <c r="U500" s="12">
        <v>3009429196</v>
      </c>
      <c r="V500" s="5"/>
      <c r="W500" s="12" t="s">
        <v>3270</v>
      </c>
      <c r="X500" s="12" t="s">
        <v>136</v>
      </c>
      <c r="Y500" s="12" t="s">
        <v>539</v>
      </c>
      <c r="Z500" s="12" t="s">
        <v>3271</v>
      </c>
      <c r="AA500" s="20"/>
      <c r="AB500" s="20"/>
      <c r="AC500" s="16">
        <v>45829</v>
      </c>
      <c r="AD500" s="10" t="s">
        <v>209</v>
      </c>
    </row>
    <row r="501" spans="1:30" ht="15.75" customHeight="1" x14ac:dyDescent="0.25">
      <c r="A501" s="10" t="s">
        <v>77</v>
      </c>
      <c r="B501" s="10" t="s">
        <v>86</v>
      </c>
      <c r="C501" s="10" t="s">
        <v>91</v>
      </c>
      <c r="D501" s="10" t="s">
        <v>92</v>
      </c>
      <c r="E501" s="10">
        <v>1042423097</v>
      </c>
      <c r="F501" s="23" t="s">
        <v>363</v>
      </c>
      <c r="G501" s="10" t="s">
        <v>741</v>
      </c>
      <c r="H501" s="10" t="s">
        <v>3272</v>
      </c>
      <c r="I501" s="13">
        <v>45365</v>
      </c>
      <c r="J501" s="10" t="str">
        <f t="shared" ca="1" si="64"/>
        <v xml:space="preserve">2  Años, 5  Mes, 12 Dias </v>
      </c>
      <c r="K501" s="10" t="s">
        <v>113</v>
      </c>
      <c r="L501" s="24"/>
      <c r="M501" s="19" t="str">
        <f t="shared" ref="M501:M505" ca="1" si="76">IF(L501=0,"", DATEDIF(L501,TODAY(),"y"))</f>
        <v/>
      </c>
      <c r="N501" s="10" t="s">
        <v>120</v>
      </c>
      <c r="O501" s="10" t="s">
        <v>122</v>
      </c>
      <c r="P501" s="10" t="s">
        <v>124</v>
      </c>
      <c r="Q501" s="18" t="s">
        <v>128</v>
      </c>
      <c r="R501" s="10" t="s">
        <v>133</v>
      </c>
      <c r="S501" s="10" t="s">
        <v>3273</v>
      </c>
      <c r="T501" s="10" t="s">
        <v>136</v>
      </c>
      <c r="U501" s="10">
        <v>3144330337</v>
      </c>
      <c r="V501" s="19"/>
      <c r="W501" s="10" t="s">
        <v>3274</v>
      </c>
      <c r="X501" s="10" t="s">
        <v>136</v>
      </c>
      <c r="Y501" s="10" t="s">
        <v>203</v>
      </c>
      <c r="Z501" s="10" t="s">
        <v>216</v>
      </c>
      <c r="AA501" s="24"/>
      <c r="AB501" s="24"/>
      <c r="AC501" s="13">
        <v>45336</v>
      </c>
      <c r="AD501" s="10" t="s">
        <v>209</v>
      </c>
    </row>
    <row r="502" spans="1:30" ht="15.75" customHeight="1" x14ac:dyDescent="0.25">
      <c r="A502" s="10" t="s">
        <v>77</v>
      </c>
      <c r="B502" s="10" t="s">
        <v>90</v>
      </c>
      <c r="C502" s="10" t="s">
        <v>175</v>
      </c>
      <c r="D502" s="10" t="s">
        <v>92</v>
      </c>
      <c r="E502" s="10">
        <v>8527183</v>
      </c>
      <c r="F502" s="23" t="s">
        <v>1735</v>
      </c>
      <c r="G502" s="10" t="s">
        <v>26</v>
      </c>
      <c r="H502" s="10" t="s">
        <v>1736</v>
      </c>
      <c r="I502" s="13">
        <v>45831</v>
      </c>
      <c r="J502" s="10" t="str">
        <f t="shared" ca="1" si="64"/>
        <v xml:space="preserve">1  Años, 2  Mes, 3 Dias </v>
      </c>
      <c r="K502" s="10" t="s">
        <v>113</v>
      </c>
      <c r="L502" s="24"/>
      <c r="M502" s="19" t="str">
        <f t="shared" ca="1" si="76"/>
        <v/>
      </c>
      <c r="N502" s="10" t="s">
        <v>120</v>
      </c>
      <c r="O502" s="10" t="s">
        <v>122</v>
      </c>
      <c r="P502" s="10" t="s">
        <v>124</v>
      </c>
      <c r="Q502" s="18" t="s">
        <v>128</v>
      </c>
      <c r="R502" s="10" t="s">
        <v>133</v>
      </c>
      <c r="S502" s="10" t="s">
        <v>1741</v>
      </c>
      <c r="T502" s="10" t="s">
        <v>1225</v>
      </c>
      <c r="U502" s="10">
        <v>3005435732</v>
      </c>
      <c r="V502" s="19"/>
      <c r="W502" s="10" t="s">
        <v>1742</v>
      </c>
      <c r="X502" s="10" t="s">
        <v>136</v>
      </c>
      <c r="Y502" s="10" t="s">
        <v>831</v>
      </c>
      <c r="Z502" s="10" t="s">
        <v>170</v>
      </c>
      <c r="AA502" s="63"/>
      <c r="AB502" s="63"/>
      <c r="AC502" s="63"/>
      <c r="AD502" s="10" t="s">
        <v>209</v>
      </c>
    </row>
    <row r="503" spans="1:30" ht="15.75" customHeight="1" x14ac:dyDescent="0.25">
      <c r="A503" s="10" t="s">
        <v>77</v>
      </c>
      <c r="B503" s="10" t="s">
        <v>90</v>
      </c>
      <c r="C503" s="10" t="s">
        <v>175</v>
      </c>
      <c r="D503" s="10" t="s">
        <v>92</v>
      </c>
      <c r="E503" s="10">
        <v>1096512013</v>
      </c>
      <c r="F503" s="23" t="s">
        <v>161</v>
      </c>
      <c r="G503" s="10" t="s">
        <v>18</v>
      </c>
      <c r="H503" s="10" t="s">
        <v>1391</v>
      </c>
      <c r="I503" s="13">
        <v>45831</v>
      </c>
      <c r="J503" s="10" t="str">
        <f t="shared" ca="1" si="64"/>
        <v xml:space="preserve">1  Años, 2  Mes, 3 Dias </v>
      </c>
      <c r="K503" s="10" t="s">
        <v>113</v>
      </c>
      <c r="L503" s="24"/>
      <c r="M503" s="19" t="str">
        <f t="shared" ca="1" si="76"/>
        <v/>
      </c>
      <c r="N503" s="10" t="s">
        <v>120</v>
      </c>
      <c r="O503" s="10" t="s">
        <v>122</v>
      </c>
      <c r="P503" s="10" t="s">
        <v>142</v>
      </c>
      <c r="Q503" s="18" t="s">
        <v>128</v>
      </c>
      <c r="R503" s="10" t="s">
        <v>133</v>
      </c>
      <c r="S503" s="10" t="s">
        <v>1394</v>
      </c>
      <c r="T503" s="10" t="s">
        <v>136</v>
      </c>
      <c r="U503" s="10">
        <v>3004950176</v>
      </c>
      <c r="V503" s="19"/>
      <c r="W503" s="10" t="s">
        <v>1395</v>
      </c>
      <c r="X503" s="10" t="s">
        <v>136</v>
      </c>
      <c r="Y503" s="10" t="s">
        <v>1299</v>
      </c>
      <c r="Z503" s="10" t="s">
        <v>170</v>
      </c>
      <c r="AA503" s="24"/>
      <c r="AB503" s="24"/>
      <c r="AC503" s="13">
        <v>45336</v>
      </c>
      <c r="AD503" s="10" t="s">
        <v>209</v>
      </c>
    </row>
    <row r="504" spans="1:30" ht="15.75" customHeight="1" x14ac:dyDescent="0.25">
      <c r="A504" s="10" t="s">
        <v>77</v>
      </c>
      <c r="B504" s="10" t="s">
        <v>86</v>
      </c>
      <c r="C504" s="10" t="s">
        <v>91</v>
      </c>
      <c r="D504" s="10" t="s">
        <v>92</v>
      </c>
      <c r="E504" s="10">
        <v>72235651</v>
      </c>
      <c r="F504" s="23" t="s">
        <v>3275</v>
      </c>
      <c r="G504" s="10" t="s">
        <v>32</v>
      </c>
      <c r="H504" s="10" t="s">
        <v>3276</v>
      </c>
      <c r="I504" s="13">
        <v>45317</v>
      </c>
      <c r="J504" s="10" t="str">
        <f t="shared" ca="1" si="64"/>
        <v xml:space="preserve">2  Años, 7  Mes, 0 Dias </v>
      </c>
      <c r="K504" s="10" t="s">
        <v>113</v>
      </c>
      <c r="L504" s="13">
        <v>28495</v>
      </c>
      <c r="M504" s="10">
        <f t="shared" ca="1" si="76"/>
        <v>48</v>
      </c>
      <c r="N504" s="10" t="s">
        <v>120</v>
      </c>
      <c r="O504" s="10" t="s">
        <v>122</v>
      </c>
      <c r="P504" s="10" t="s">
        <v>142</v>
      </c>
      <c r="Q504" s="18" t="s">
        <v>128</v>
      </c>
      <c r="R504" s="10" t="s">
        <v>133</v>
      </c>
      <c r="S504" s="10" t="s">
        <v>3277</v>
      </c>
      <c r="T504" s="10" t="s">
        <v>136</v>
      </c>
      <c r="U504" s="10">
        <v>3214445960</v>
      </c>
      <c r="V504" s="19"/>
      <c r="W504" s="40" t="s">
        <v>3278</v>
      </c>
      <c r="X504" s="10" t="s">
        <v>136</v>
      </c>
      <c r="Y504" s="10" t="s">
        <v>539</v>
      </c>
      <c r="Z504" s="10" t="s">
        <v>170</v>
      </c>
      <c r="AA504" s="63"/>
      <c r="AB504" s="63"/>
      <c r="AC504" s="30">
        <v>45656</v>
      </c>
      <c r="AD504" s="63"/>
    </row>
    <row r="505" spans="1:30" ht="15.75" customHeight="1" x14ac:dyDescent="0.25">
      <c r="A505" s="10" t="s">
        <v>77</v>
      </c>
      <c r="B505" s="10" t="s">
        <v>86</v>
      </c>
      <c r="C505" s="10" t="s">
        <v>91</v>
      </c>
      <c r="D505" s="10" t="s">
        <v>92</v>
      </c>
      <c r="E505" s="10">
        <v>13635607</v>
      </c>
      <c r="F505" s="23" t="s">
        <v>143</v>
      </c>
      <c r="G505" s="10" t="s">
        <v>26</v>
      </c>
      <c r="H505" s="10" t="s">
        <v>3279</v>
      </c>
      <c r="I505" s="30">
        <v>45224</v>
      </c>
      <c r="J505" s="10" t="str">
        <f t="shared" ca="1" si="64"/>
        <v xml:space="preserve">2  Años, 10  Mes, 1 Dias </v>
      </c>
      <c r="K505" s="10" t="s">
        <v>113</v>
      </c>
      <c r="L505" s="19"/>
      <c r="M505" s="19" t="str">
        <f t="shared" ca="1" si="76"/>
        <v/>
      </c>
      <c r="N505" s="10" t="s">
        <v>120</v>
      </c>
      <c r="O505" s="10" t="s">
        <v>122</v>
      </c>
      <c r="P505" s="10" t="s">
        <v>142</v>
      </c>
      <c r="Q505" s="18" t="s">
        <v>128</v>
      </c>
      <c r="R505" s="10" t="s">
        <v>133</v>
      </c>
      <c r="S505" s="10" t="s">
        <v>3280</v>
      </c>
      <c r="T505" s="10" t="s">
        <v>136</v>
      </c>
      <c r="U505" s="10">
        <v>3104063935</v>
      </c>
      <c r="V505" s="10">
        <v>3104063935</v>
      </c>
      <c r="W505" s="10" t="s">
        <v>3281</v>
      </c>
      <c r="X505" s="10" t="s">
        <v>136</v>
      </c>
      <c r="Y505" s="10" t="s">
        <v>169</v>
      </c>
      <c r="Z505" s="10" t="s">
        <v>216</v>
      </c>
      <c r="AA505" s="24"/>
      <c r="AB505" s="24"/>
      <c r="AC505" s="13">
        <v>45505</v>
      </c>
      <c r="AD505" s="24"/>
    </row>
    <row r="506" spans="1:30" ht="15.75" customHeight="1" x14ac:dyDescent="0.25">
      <c r="A506" s="10" t="s">
        <v>77</v>
      </c>
      <c r="B506" s="10" t="s">
        <v>86</v>
      </c>
      <c r="C506" s="10" t="s">
        <v>91</v>
      </c>
      <c r="D506" s="10" t="s">
        <v>92</v>
      </c>
      <c r="E506" s="12">
        <v>1002183350</v>
      </c>
      <c r="F506" s="15" t="s">
        <v>3282</v>
      </c>
      <c r="G506" s="12" t="s">
        <v>741</v>
      </c>
      <c r="H506" s="54" t="s">
        <v>1693</v>
      </c>
      <c r="I506" s="53">
        <v>45616</v>
      </c>
      <c r="J506" s="10" t="str">
        <f t="shared" ca="1" si="64"/>
        <v xml:space="preserve">1  Años, 9  Mes, 6 Dias </v>
      </c>
      <c r="K506" s="12" t="s">
        <v>113</v>
      </c>
      <c r="L506" s="20"/>
      <c r="M506" s="5"/>
      <c r="N506" s="10" t="s">
        <v>120</v>
      </c>
      <c r="O506" s="10" t="s">
        <v>730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33"/>
      <c r="AB506" s="33"/>
      <c r="AC506" s="35">
        <v>45656</v>
      </c>
      <c r="AD506" s="5"/>
    </row>
    <row r="507" spans="1:30" ht="15.75" customHeight="1" x14ac:dyDescent="0.25">
      <c r="A507" s="10" t="s">
        <v>77</v>
      </c>
      <c r="B507" s="10" t="s">
        <v>90</v>
      </c>
      <c r="C507" s="10" t="s">
        <v>175</v>
      </c>
      <c r="D507" s="10" t="s">
        <v>92</v>
      </c>
      <c r="E507" s="12">
        <v>1101458476</v>
      </c>
      <c r="F507" s="15" t="s">
        <v>1201</v>
      </c>
      <c r="G507" s="10" t="s">
        <v>26</v>
      </c>
      <c r="H507" s="10" t="s">
        <v>1203</v>
      </c>
      <c r="I507" s="16">
        <v>45881</v>
      </c>
      <c r="J507" s="10" t="str">
        <f t="shared" ca="1" si="64"/>
        <v xml:space="preserve">1  Años, 0  Mes, 14 Dias </v>
      </c>
      <c r="K507" s="12" t="s">
        <v>113</v>
      </c>
      <c r="L507" s="16">
        <v>35215</v>
      </c>
      <c r="M507" s="10">
        <f ca="1">IF(L507=0,"", DATEDIF(L507,TODAY(),"y"))</f>
        <v>30</v>
      </c>
      <c r="N507" s="10" t="s">
        <v>120</v>
      </c>
      <c r="O507" s="10" t="s">
        <v>277</v>
      </c>
      <c r="P507" s="5"/>
      <c r="Q507" s="18" t="s">
        <v>128</v>
      </c>
      <c r="R507" s="10" t="s">
        <v>133</v>
      </c>
      <c r="S507" s="12" t="s">
        <v>1205</v>
      </c>
      <c r="T507" s="12" t="s">
        <v>136</v>
      </c>
      <c r="U507" s="12">
        <v>3147078366</v>
      </c>
      <c r="V507" s="5"/>
      <c r="W507" s="5"/>
      <c r="X507" s="10" t="s">
        <v>136</v>
      </c>
      <c r="Y507" s="5"/>
      <c r="Z507" s="5"/>
      <c r="AA507" s="20"/>
      <c r="AB507" s="20"/>
      <c r="AC507" s="20"/>
      <c r="AD507" s="10" t="s">
        <v>209</v>
      </c>
    </row>
    <row r="508" spans="1:30" ht="15.75" customHeight="1" x14ac:dyDescent="0.25">
      <c r="A508" s="10" t="s">
        <v>77</v>
      </c>
      <c r="B508" s="10" t="s">
        <v>90</v>
      </c>
      <c r="C508" s="10" t="s">
        <v>175</v>
      </c>
      <c r="D508" s="12" t="s">
        <v>92</v>
      </c>
      <c r="E508" s="12">
        <v>1128061666</v>
      </c>
      <c r="F508" s="23" t="s">
        <v>1227</v>
      </c>
      <c r="G508" s="10" t="s">
        <v>32</v>
      </c>
      <c r="H508" s="12" t="s">
        <v>1228</v>
      </c>
      <c r="I508" s="13">
        <v>45833</v>
      </c>
      <c r="J508" s="10" t="str">
        <f t="shared" ca="1" si="64"/>
        <v xml:space="preserve">1  Años, 2  Mes, 1 Dias </v>
      </c>
      <c r="K508" s="12" t="s">
        <v>113</v>
      </c>
      <c r="L508" s="20"/>
      <c r="M508" s="5"/>
      <c r="N508" s="10" t="s">
        <v>120</v>
      </c>
      <c r="O508" s="10" t="s">
        <v>236</v>
      </c>
      <c r="P508" s="12" t="s">
        <v>142</v>
      </c>
      <c r="Q508" s="18" t="s">
        <v>128</v>
      </c>
      <c r="R508" s="12" t="s">
        <v>133</v>
      </c>
      <c r="S508" s="12" t="s">
        <v>1232</v>
      </c>
      <c r="T508" s="12" t="s">
        <v>136</v>
      </c>
      <c r="U508" s="12">
        <v>3145572759</v>
      </c>
      <c r="V508" s="5"/>
      <c r="W508" s="12" t="s">
        <v>1233</v>
      </c>
      <c r="X508" s="12" t="s">
        <v>136</v>
      </c>
      <c r="Y508" s="12" t="s">
        <v>605</v>
      </c>
      <c r="Z508" s="12" t="s">
        <v>170</v>
      </c>
      <c r="AA508" s="5"/>
      <c r="AB508" s="5"/>
      <c r="AC508" s="5"/>
      <c r="AD508" s="10" t="s">
        <v>209</v>
      </c>
    </row>
    <row r="509" spans="1:30" ht="15.75" customHeight="1" x14ac:dyDescent="0.25">
      <c r="A509" s="10" t="s">
        <v>77</v>
      </c>
      <c r="B509" s="10" t="s">
        <v>86</v>
      </c>
      <c r="C509" s="10" t="s">
        <v>91</v>
      </c>
      <c r="D509" s="10" t="s">
        <v>92</v>
      </c>
      <c r="E509" s="10">
        <v>1043013138</v>
      </c>
      <c r="F509" s="23" t="s">
        <v>3283</v>
      </c>
      <c r="G509" s="10" t="s">
        <v>26</v>
      </c>
      <c r="H509" s="10" t="s">
        <v>3284</v>
      </c>
      <c r="I509" s="13">
        <v>45423</v>
      </c>
      <c r="J509" s="10" t="str">
        <f t="shared" ca="1" si="64"/>
        <v xml:space="preserve">2  Años, 3  Mes, 15 Dias </v>
      </c>
      <c r="K509" s="10" t="s">
        <v>113</v>
      </c>
      <c r="L509" s="36">
        <v>32006</v>
      </c>
      <c r="M509" s="10">
        <v>36</v>
      </c>
      <c r="N509" s="10" t="s">
        <v>120</v>
      </c>
      <c r="O509" s="10" t="s">
        <v>122</v>
      </c>
      <c r="P509" s="10" t="s">
        <v>124</v>
      </c>
      <c r="Q509" s="18" t="s">
        <v>128</v>
      </c>
      <c r="R509" s="10" t="s">
        <v>133</v>
      </c>
      <c r="S509" s="10" t="s">
        <v>3285</v>
      </c>
      <c r="T509" s="10" t="s">
        <v>1773</v>
      </c>
      <c r="U509" s="10">
        <v>3147377996</v>
      </c>
      <c r="V509" s="19"/>
      <c r="W509" s="19"/>
      <c r="X509" s="10" t="s">
        <v>136</v>
      </c>
      <c r="Y509" s="37" t="s">
        <v>155</v>
      </c>
      <c r="Z509" s="10" t="s">
        <v>170</v>
      </c>
      <c r="AA509" s="33"/>
      <c r="AB509" s="33"/>
      <c r="AC509" s="35">
        <v>45656</v>
      </c>
      <c r="AD509" s="24"/>
    </row>
    <row r="510" spans="1:30" ht="15.75" customHeight="1" x14ac:dyDescent="0.25">
      <c r="A510" s="10" t="s">
        <v>77</v>
      </c>
      <c r="B510" s="10" t="s">
        <v>86</v>
      </c>
      <c r="C510" s="10" t="s">
        <v>91</v>
      </c>
      <c r="D510" s="10" t="s">
        <v>92</v>
      </c>
      <c r="E510" s="12">
        <v>1085176258</v>
      </c>
      <c r="F510" s="15" t="s">
        <v>3286</v>
      </c>
      <c r="G510" s="12" t="s">
        <v>26</v>
      </c>
      <c r="H510" s="95" t="s">
        <v>3287</v>
      </c>
      <c r="I510" s="16">
        <v>45780</v>
      </c>
      <c r="J510" s="10" t="str">
        <f t="shared" ca="1" si="64"/>
        <v xml:space="preserve">1  Años, 3  Mes, 23 Dias </v>
      </c>
      <c r="K510" s="12" t="s">
        <v>113</v>
      </c>
      <c r="L510" s="16">
        <v>34132</v>
      </c>
      <c r="M510" s="10">
        <f t="shared" ref="M510:M521" ca="1" si="77">IF(L510=0,"", DATEDIF(L510,TODAY(),"y"))</f>
        <v>33</v>
      </c>
      <c r="N510" s="10" t="s">
        <v>120</v>
      </c>
      <c r="O510" s="10" t="s">
        <v>236</v>
      </c>
      <c r="P510" s="12" t="s">
        <v>142</v>
      </c>
      <c r="Q510" s="18" t="s">
        <v>128</v>
      </c>
      <c r="R510" s="10" t="s">
        <v>133</v>
      </c>
      <c r="S510" s="12" t="s">
        <v>3288</v>
      </c>
      <c r="T510" s="12" t="s">
        <v>3289</v>
      </c>
      <c r="U510" s="12">
        <v>3014437895</v>
      </c>
      <c r="V510" s="5"/>
      <c r="W510" s="12" t="s">
        <v>3290</v>
      </c>
      <c r="X510" s="12" t="s">
        <v>136</v>
      </c>
      <c r="Y510" s="12" t="s">
        <v>169</v>
      </c>
      <c r="Z510" s="12" t="s">
        <v>1544</v>
      </c>
      <c r="AA510" s="20"/>
      <c r="AB510" s="20"/>
      <c r="AC510" s="16">
        <v>45790</v>
      </c>
      <c r="AD510" s="13" t="s">
        <v>148</v>
      </c>
    </row>
    <row r="511" spans="1:30" ht="15.75" customHeight="1" x14ac:dyDescent="0.25">
      <c r="A511" s="10" t="s">
        <v>77</v>
      </c>
      <c r="B511" s="10" t="s">
        <v>90</v>
      </c>
      <c r="C511" s="10" t="s">
        <v>175</v>
      </c>
      <c r="D511" s="10" t="s">
        <v>92</v>
      </c>
      <c r="E511" s="10">
        <v>1043875519</v>
      </c>
      <c r="F511" s="23" t="s">
        <v>144</v>
      </c>
      <c r="G511" s="10" t="s">
        <v>18</v>
      </c>
      <c r="H511" s="10" t="s">
        <v>2514</v>
      </c>
      <c r="I511" s="13">
        <v>45831</v>
      </c>
      <c r="J511" s="10" t="str">
        <f t="shared" ca="1" si="64"/>
        <v xml:space="preserve">1  Años, 2  Mes, 3 Dias </v>
      </c>
      <c r="K511" s="10" t="s">
        <v>113</v>
      </c>
      <c r="L511" s="19"/>
      <c r="M511" s="19" t="str">
        <f t="shared" ca="1" si="77"/>
        <v/>
      </c>
      <c r="N511" s="10" t="s">
        <v>120</v>
      </c>
      <c r="O511" s="10" t="s">
        <v>122</v>
      </c>
      <c r="P511" s="10" t="s">
        <v>142</v>
      </c>
      <c r="Q511" s="18" t="s">
        <v>128</v>
      </c>
      <c r="R511" s="10" t="s">
        <v>133</v>
      </c>
      <c r="S511" s="10" t="s">
        <v>2517</v>
      </c>
      <c r="T511" s="10" t="s">
        <v>136</v>
      </c>
      <c r="U511" s="10">
        <v>3104640060</v>
      </c>
      <c r="V511" s="19"/>
      <c r="W511" s="10" t="s">
        <v>2518</v>
      </c>
      <c r="X511" s="10" t="s">
        <v>136</v>
      </c>
      <c r="Y511" s="10" t="s">
        <v>203</v>
      </c>
      <c r="Z511" s="10" t="s">
        <v>170</v>
      </c>
      <c r="AA511" s="24"/>
      <c r="AB511" s="24"/>
      <c r="AC511" s="13">
        <v>45309</v>
      </c>
      <c r="AD511" s="10" t="s">
        <v>209</v>
      </c>
    </row>
    <row r="512" spans="1:30" ht="15.75" customHeight="1" x14ac:dyDescent="0.25">
      <c r="A512" s="10" t="s">
        <v>77</v>
      </c>
      <c r="B512" s="10" t="s">
        <v>86</v>
      </c>
      <c r="C512" s="10" t="s">
        <v>91</v>
      </c>
      <c r="D512" s="10" t="s">
        <v>92</v>
      </c>
      <c r="E512" s="10">
        <v>1042416074</v>
      </c>
      <c r="F512" s="23" t="s">
        <v>137</v>
      </c>
      <c r="G512" s="10" t="s">
        <v>26</v>
      </c>
      <c r="H512" s="10" t="s">
        <v>3291</v>
      </c>
      <c r="I512" s="13">
        <v>45072</v>
      </c>
      <c r="J512" s="10" t="str">
        <f t="shared" ca="1" si="64"/>
        <v xml:space="preserve">3  Años, 3  Mes, 0 Dias </v>
      </c>
      <c r="K512" s="10" t="s">
        <v>113</v>
      </c>
      <c r="L512" s="19"/>
      <c r="M512" s="19" t="str">
        <f t="shared" ca="1" si="77"/>
        <v/>
      </c>
      <c r="N512" s="10" t="s">
        <v>120</v>
      </c>
      <c r="O512" s="10" t="s">
        <v>122</v>
      </c>
      <c r="P512" s="10" t="s">
        <v>142</v>
      </c>
      <c r="Q512" s="18" t="s">
        <v>128</v>
      </c>
      <c r="R512" s="10" t="s">
        <v>133</v>
      </c>
      <c r="S512" s="10" t="s">
        <v>3292</v>
      </c>
      <c r="T512" s="10" t="s">
        <v>136</v>
      </c>
      <c r="U512" s="10">
        <v>3028661399</v>
      </c>
      <c r="V512" s="19"/>
      <c r="W512" s="10" t="s">
        <v>2143</v>
      </c>
      <c r="X512" s="10" t="s">
        <v>136</v>
      </c>
      <c r="Y512" s="10" t="s">
        <v>206</v>
      </c>
      <c r="Z512" s="10" t="s">
        <v>373</v>
      </c>
      <c r="AA512" s="33"/>
      <c r="AB512" s="33"/>
      <c r="AC512" s="35">
        <v>45290</v>
      </c>
      <c r="AD512" s="24"/>
    </row>
    <row r="513" spans="1:30" ht="15.75" customHeight="1" x14ac:dyDescent="0.25">
      <c r="A513" s="10" t="s">
        <v>160</v>
      </c>
      <c r="B513" s="10" t="s">
        <v>90</v>
      </c>
      <c r="C513" s="10" t="s">
        <v>175</v>
      </c>
      <c r="D513" s="10" t="s">
        <v>92</v>
      </c>
      <c r="E513" s="12">
        <v>1143454460</v>
      </c>
      <c r="F513" s="23" t="s">
        <v>1411</v>
      </c>
      <c r="G513" s="10" t="s">
        <v>404</v>
      </c>
      <c r="H513" s="12" t="s">
        <v>1412</v>
      </c>
      <c r="I513" s="13">
        <v>45836</v>
      </c>
      <c r="J513" s="10" t="str">
        <f t="shared" ca="1" si="64"/>
        <v xml:space="preserve">1  Años, 1  Mes, 29 Dias </v>
      </c>
      <c r="K513" s="12" t="s">
        <v>113</v>
      </c>
      <c r="L513" s="16">
        <v>35015</v>
      </c>
      <c r="M513" s="10">
        <f t="shared" ca="1" si="77"/>
        <v>30</v>
      </c>
      <c r="N513" s="10" t="s">
        <v>120</v>
      </c>
      <c r="O513" s="10" t="s">
        <v>122</v>
      </c>
      <c r="P513" s="5"/>
      <c r="Q513" s="18" t="s">
        <v>128</v>
      </c>
      <c r="R513" s="10" t="s">
        <v>133</v>
      </c>
      <c r="S513" s="95" t="s">
        <v>1417</v>
      </c>
      <c r="T513" s="12" t="s">
        <v>136</v>
      </c>
      <c r="U513" s="12">
        <v>3003858498</v>
      </c>
      <c r="V513" s="5"/>
      <c r="W513" s="12" t="s">
        <v>1418</v>
      </c>
      <c r="X513" s="12" t="s">
        <v>136</v>
      </c>
      <c r="Y513" s="5"/>
      <c r="Z513" s="5"/>
      <c r="AA513" s="31"/>
      <c r="AB513" s="31"/>
      <c r="AC513" s="31"/>
      <c r="AD513" s="10" t="s">
        <v>209</v>
      </c>
    </row>
    <row r="514" spans="1:30" ht="15.75" customHeight="1" x14ac:dyDescent="0.25">
      <c r="A514" s="10" t="s">
        <v>77</v>
      </c>
      <c r="B514" s="10" t="s">
        <v>90</v>
      </c>
      <c r="C514" s="10" t="s">
        <v>175</v>
      </c>
      <c r="D514" s="10" t="s">
        <v>92</v>
      </c>
      <c r="E514" s="10">
        <v>72225725</v>
      </c>
      <c r="F514" s="23" t="s">
        <v>410</v>
      </c>
      <c r="G514" s="10" t="s">
        <v>11</v>
      </c>
      <c r="H514" s="10" t="s">
        <v>1404</v>
      </c>
      <c r="I514" s="13">
        <v>45831</v>
      </c>
      <c r="J514" s="10" t="str">
        <f t="shared" ca="1" si="64"/>
        <v xml:space="preserve">1  Años, 2  Mes, 3 Dias </v>
      </c>
      <c r="K514" s="10" t="s">
        <v>113</v>
      </c>
      <c r="L514" s="19"/>
      <c r="M514" s="19" t="str">
        <f t="shared" ca="1" si="77"/>
        <v/>
      </c>
      <c r="N514" s="10" t="s">
        <v>120</v>
      </c>
      <c r="O514" s="10" t="s">
        <v>122</v>
      </c>
      <c r="P514" s="10" t="s">
        <v>142</v>
      </c>
      <c r="Q514" s="18" t="s">
        <v>128</v>
      </c>
      <c r="R514" s="10" t="s">
        <v>133</v>
      </c>
      <c r="S514" s="10" t="s">
        <v>1407</v>
      </c>
      <c r="T514" s="10" t="s">
        <v>136</v>
      </c>
      <c r="U514" s="10">
        <v>3012542894</v>
      </c>
      <c r="V514" s="19"/>
      <c r="W514" s="10" t="s">
        <v>1408</v>
      </c>
      <c r="X514" s="10" t="s">
        <v>136</v>
      </c>
      <c r="Y514" s="10" t="s">
        <v>206</v>
      </c>
      <c r="Z514" s="10" t="s">
        <v>216</v>
      </c>
      <c r="AA514" s="24"/>
      <c r="AB514" s="24"/>
      <c r="AC514" s="24"/>
      <c r="AD514" s="13" t="s">
        <v>209</v>
      </c>
    </row>
    <row r="515" spans="1:30" ht="15.75" customHeight="1" x14ac:dyDescent="0.25">
      <c r="A515" s="10" t="s">
        <v>77</v>
      </c>
      <c r="B515" s="10" t="s">
        <v>90</v>
      </c>
      <c r="C515" s="10" t="s">
        <v>175</v>
      </c>
      <c r="D515" s="10" t="s">
        <v>92</v>
      </c>
      <c r="E515" s="10">
        <v>1042416074</v>
      </c>
      <c r="F515" s="23" t="s">
        <v>137</v>
      </c>
      <c r="G515" s="10" t="s">
        <v>26</v>
      </c>
      <c r="H515" s="10" t="s">
        <v>2141</v>
      </c>
      <c r="I515" s="13">
        <v>45855</v>
      </c>
      <c r="J515" s="10" t="str">
        <f t="shared" ca="1" si="64"/>
        <v xml:space="preserve">1  Años, 1  Mes, 9 Dias </v>
      </c>
      <c r="K515" s="10" t="s">
        <v>113</v>
      </c>
      <c r="L515" s="13">
        <v>30798</v>
      </c>
      <c r="M515" s="10">
        <f t="shared" ca="1" si="77"/>
        <v>42</v>
      </c>
      <c r="N515" s="10" t="s">
        <v>120</v>
      </c>
      <c r="O515" s="10" t="s">
        <v>122</v>
      </c>
      <c r="P515" s="10" t="s">
        <v>142</v>
      </c>
      <c r="Q515" s="18" t="s">
        <v>128</v>
      </c>
      <c r="R515" s="10" t="s">
        <v>133</v>
      </c>
      <c r="S515" s="10" t="s">
        <v>2142</v>
      </c>
      <c r="T515" s="10" t="s">
        <v>136</v>
      </c>
      <c r="U515" s="10">
        <v>3028661399</v>
      </c>
      <c r="V515" s="19"/>
      <c r="W515" s="10" t="s">
        <v>2143</v>
      </c>
      <c r="X515" s="10" t="s">
        <v>136</v>
      </c>
      <c r="Y515" s="19"/>
      <c r="Z515" s="19"/>
      <c r="AA515" s="24"/>
      <c r="AB515" s="24"/>
      <c r="AC515" s="24"/>
      <c r="AD515" s="13" t="s">
        <v>209</v>
      </c>
    </row>
    <row r="516" spans="1:30" ht="15.75" customHeight="1" x14ac:dyDescent="0.25">
      <c r="A516" s="10" t="s">
        <v>77</v>
      </c>
      <c r="B516" s="10" t="s">
        <v>86</v>
      </c>
      <c r="C516" s="10" t="s">
        <v>91</v>
      </c>
      <c r="D516" s="10" t="s">
        <v>92</v>
      </c>
      <c r="E516" s="10">
        <v>1143241983</v>
      </c>
      <c r="F516" s="23" t="s">
        <v>134</v>
      </c>
      <c r="G516" s="10" t="s">
        <v>32</v>
      </c>
      <c r="H516" s="10" t="s">
        <v>3293</v>
      </c>
      <c r="I516" s="13">
        <v>45148</v>
      </c>
      <c r="J516" s="10" t="str">
        <f t="shared" ca="1" si="64"/>
        <v xml:space="preserve">3  Años, 0  Mes, 16 Dias </v>
      </c>
      <c r="K516" s="10" t="s">
        <v>113</v>
      </c>
      <c r="L516" s="19"/>
      <c r="M516" s="19" t="str">
        <f t="shared" ca="1" si="77"/>
        <v/>
      </c>
      <c r="N516" s="10" t="s">
        <v>120</v>
      </c>
      <c r="O516" s="10" t="s">
        <v>122</v>
      </c>
      <c r="P516" s="10" t="s">
        <v>124</v>
      </c>
      <c r="Q516" s="18" t="s">
        <v>128</v>
      </c>
      <c r="R516" s="10" t="s">
        <v>133</v>
      </c>
      <c r="S516" s="10" t="s">
        <v>3294</v>
      </c>
      <c r="T516" s="10" t="s">
        <v>136</v>
      </c>
      <c r="U516" s="10">
        <v>3043916192</v>
      </c>
      <c r="V516" s="10">
        <v>3043916192</v>
      </c>
      <c r="W516" s="10" t="s">
        <v>3295</v>
      </c>
      <c r="X516" s="10" t="s">
        <v>136</v>
      </c>
      <c r="Y516" s="10" t="s">
        <v>253</v>
      </c>
      <c r="Z516" s="10" t="s">
        <v>255</v>
      </c>
      <c r="AA516" s="24"/>
      <c r="AB516" s="24"/>
      <c r="AC516" s="13">
        <v>45336</v>
      </c>
      <c r="AD516" s="24"/>
    </row>
    <row r="517" spans="1:30" ht="15.75" customHeight="1" x14ac:dyDescent="0.25">
      <c r="A517" s="10" t="s">
        <v>77</v>
      </c>
      <c r="B517" s="10" t="s">
        <v>86</v>
      </c>
      <c r="C517" s="10" t="s">
        <v>91</v>
      </c>
      <c r="D517" s="10" t="s">
        <v>92</v>
      </c>
      <c r="E517" s="10">
        <v>1045683859</v>
      </c>
      <c r="F517" s="23" t="s">
        <v>131</v>
      </c>
      <c r="G517" s="10" t="s">
        <v>26</v>
      </c>
      <c r="H517" s="10" t="s">
        <v>3296</v>
      </c>
      <c r="I517" s="13">
        <v>45070</v>
      </c>
      <c r="J517" s="10" t="str">
        <f t="shared" ca="1" si="64"/>
        <v xml:space="preserve">3  Años, 3  Mes, 2 Dias </v>
      </c>
      <c r="K517" s="10" t="s">
        <v>113</v>
      </c>
      <c r="L517" s="19"/>
      <c r="M517" s="19" t="str">
        <f t="shared" ca="1" si="77"/>
        <v/>
      </c>
      <c r="N517" s="10" t="s">
        <v>120</v>
      </c>
      <c r="O517" s="10" t="s">
        <v>122</v>
      </c>
      <c r="P517" s="10" t="s">
        <v>142</v>
      </c>
      <c r="Q517" s="18" t="s">
        <v>128</v>
      </c>
      <c r="R517" s="10" t="s">
        <v>133</v>
      </c>
      <c r="S517" s="10" t="s">
        <v>3297</v>
      </c>
      <c r="T517" s="10" t="s">
        <v>136</v>
      </c>
      <c r="U517" s="10">
        <v>3014945783</v>
      </c>
      <c r="V517" s="10">
        <v>3014945783</v>
      </c>
      <c r="W517" s="10" t="s">
        <v>3298</v>
      </c>
      <c r="X517" s="10" t="s">
        <v>136</v>
      </c>
      <c r="Y517" s="10" t="s">
        <v>169</v>
      </c>
      <c r="Z517" s="10" t="s">
        <v>216</v>
      </c>
      <c r="AA517" s="24"/>
      <c r="AB517" s="24"/>
      <c r="AC517" s="13">
        <v>45356</v>
      </c>
      <c r="AD517" s="24"/>
    </row>
    <row r="518" spans="1:30" ht="15.75" customHeight="1" x14ac:dyDescent="0.25">
      <c r="A518" s="10" t="s">
        <v>77</v>
      </c>
      <c r="B518" s="10" t="s">
        <v>90</v>
      </c>
      <c r="C518" s="10" t="s">
        <v>175</v>
      </c>
      <c r="D518" s="10" t="s">
        <v>92</v>
      </c>
      <c r="E518" s="10">
        <v>1193209934</v>
      </c>
      <c r="F518" s="23" t="s">
        <v>2473</v>
      </c>
      <c r="G518" s="10" t="s">
        <v>26</v>
      </c>
      <c r="H518" s="10" t="s">
        <v>2474</v>
      </c>
      <c r="I518" s="13">
        <v>45855</v>
      </c>
      <c r="J518" s="10" t="str">
        <f t="shared" ca="1" si="64"/>
        <v xml:space="preserve">1  Años, 1  Mes, 9 Dias </v>
      </c>
      <c r="K518" s="10" t="s">
        <v>113</v>
      </c>
      <c r="L518" s="13">
        <v>36394</v>
      </c>
      <c r="M518" s="10">
        <f t="shared" ca="1" si="77"/>
        <v>27</v>
      </c>
      <c r="N518" s="10" t="s">
        <v>120</v>
      </c>
      <c r="O518" s="10" t="s">
        <v>236</v>
      </c>
      <c r="P518" s="10" t="s">
        <v>142</v>
      </c>
      <c r="Q518" s="18" t="s">
        <v>128</v>
      </c>
      <c r="R518" s="10" t="s">
        <v>133</v>
      </c>
      <c r="S518" s="10" t="s">
        <v>893</v>
      </c>
      <c r="T518" s="10" t="s">
        <v>136</v>
      </c>
      <c r="U518" s="10">
        <v>3003366741</v>
      </c>
      <c r="V518" s="19"/>
      <c r="W518" s="10" t="s">
        <v>2476</v>
      </c>
      <c r="X518" s="10" t="s">
        <v>136</v>
      </c>
      <c r="Y518" s="19"/>
      <c r="Z518" s="19"/>
      <c r="AA518" s="24"/>
      <c r="AB518" s="24"/>
      <c r="AC518" s="24"/>
      <c r="AD518" s="13" t="s">
        <v>209</v>
      </c>
    </row>
    <row r="519" spans="1:30" ht="15.75" customHeight="1" x14ac:dyDescent="0.25">
      <c r="A519" s="10" t="s">
        <v>77</v>
      </c>
      <c r="B519" s="10" t="s">
        <v>86</v>
      </c>
      <c r="C519" s="10" t="s">
        <v>91</v>
      </c>
      <c r="D519" s="10" t="s">
        <v>92</v>
      </c>
      <c r="E519" s="10">
        <v>1063143223</v>
      </c>
      <c r="F519" s="23" t="s">
        <v>516</v>
      </c>
      <c r="G519" s="10" t="s">
        <v>11</v>
      </c>
      <c r="H519" s="10" t="s">
        <v>3299</v>
      </c>
      <c r="I519" s="13">
        <v>45078</v>
      </c>
      <c r="J519" s="10" t="str">
        <f t="shared" ca="1" si="64"/>
        <v xml:space="preserve">3  Años, 2  Mes, 25 Dias </v>
      </c>
      <c r="K519" s="10" t="s">
        <v>113</v>
      </c>
      <c r="L519" s="19"/>
      <c r="M519" s="19" t="str">
        <f t="shared" ca="1" si="77"/>
        <v/>
      </c>
      <c r="N519" s="10" t="s">
        <v>120</v>
      </c>
      <c r="O519" s="10" t="s">
        <v>122</v>
      </c>
      <c r="P519" s="10" t="s">
        <v>142</v>
      </c>
      <c r="Q519" s="18" t="s">
        <v>128</v>
      </c>
      <c r="R519" s="10" t="s">
        <v>133</v>
      </c>
      <c r="S519" s="10" t="s">
        <v>3300</v>
      </c>
      <c r="T519" s="10" t="s">
        <v>136</v>
      </c>
      <c r="U519" s="10">
        <v>3003416467</v>
      </c>
      <c r="V519" s="19"/>
      <c r="W519" s="10" t="s">
        <v>3301</v>
      </c>
      <c r="X519" s="10" t="s">
        <v>136</v>
      </c>
      <c r="Y519" s="10" t="s">
        <v>253</v>
      </c>
      <c r="Z519" s="10" t="s">
        <v>170</v>
      </c>
      <c r="AA519" s="24"/>
      <c r="AB519" s="24"/>
      <c r="AC519" s="13">
        <v>45356</v>
      </c>
      <c r="AD519" s="24"/>
    </row>
    <row r="520" spans="1:30" ht="15.75" customHeight="1" x14ac:dyDescent="0.25">
      <c r="A520" s="10" t="s">
        <v>77</v>
      </c>
      <c r="B520" s="10" t="s">
        <v>86</v>
      </c>
      <c r="C520" s="10" t="s">
        <v>91</v>
      </c>
      <c r="D520" s="10" t="s">
        <v>92</v>
      </c>
      <c r="E520" s="10">
        <v>1045689703</v>
      </c>
      <c r="F520" s="23" t="s">
        <v>126</v>
      </c>
      <c r="G520" s="10" t="s">
        <v>18</v>
      </c>
      <c r="H520" s="10" t="s">
        <v>3302</v>
      </c>
      <c r="I520" s="13">
        <v>44843</v>
      </c>
      <c r="J520" s="10" t="str">
        <f t="shared" ca="1" si="64"/>
        <v xml:space="preserve">3  Años, 10  Mes, 17 Dias </v>
      </c>
      <c r="K520" s="10" t="s">
        <v>113</v>
      </c>
      <c r="L520" s="19"/>
      <c r="M520" s="19" t="str">
        <f t="shared" ca="1" si="77"/>
        <v/>
      </c>
      <c r="N520" s="10" t="s">
        <v>120</v>
      </c>
      <c r="O520" s="10" t="s">
        <v>122</v>
      </c>
      <c r="P520" s="10" t="s">
        <v>142</v>
      </c>
      <c r="Q520" s="18" t="s">
        <v>128</v>
      </c>
      <c r="R520" s="10" t="s">
        <v>133</v>
      </c>
      <c r="S520" s="10" t="s">
        <v>3303</v>
      </c>
      <c r="T520" s="10" t="s">
        <v>136</v>
      </c>
      <c r="U520" s="10">
        <v>3244334622</v>
      </c>
      <c r="V520" s="19"/>
      <c r="W520" s="10" t="s">
        <v>845</v>
      </c>
      <c r="X520" s="10" t="s">
        <v>136</v>
      </c>
      <c r="Y520" s="10" t="s">
        <v>169</v>
      </c>
      <c r="Z520" s="10" t="s">
        <v>255</v>
      </c>
      <c r="AA520" s="33"/>
      <c r="AB520" s="33"/>
      <c r="AC520" s="35">
        <v>44896</v>
      </c>
      <c r="AD520" s="24"/>
    </row>
    <row r="521" spans="1:30" ht="15.75" customHeight="1" x14ac:dyDescent="0.25">
      <c r="A521" s="10" t="s">
        <v>77</v>
      </c>
      <c r="B521" s="10" t="s">
        <v>86</v>
      </c>
      <c r="C521" s="10" t="s">
        <v>91</v>
      </c>
      <c r="D521" s="10" t="s">
        <v>92</v>
      </c>
      <c r="E521" s="10">
        <v>1001890779</v>
      </c>
      <c r="F521" s="23" t="s">
        <v>123</v>
      </c>
      <c r="G521" s="10" t="s">
        <v>11</v>
      </c>
      <c r="H521" s="10" t="s">
        <v>3304</v>
      </c>
      <c r="I521" s="13">
        <v>45294</v>
      </c>
      <c r="J521" s="10" t="str">
        <f t="shared" ca="1" si="64"/>
        <v xml:space="preserve">2  Años, 7  Mes, 23 Dias </v>
      </c>
      <c r="K521" s="10" t="s">
        <v>113</v>
      </c>
      <c r="L521" s="19"/>
      <c r="M521" s="19" t="str">
        <f t="shared" ca="1" si="77"/>
        <v/>
      </c>
      <c r="N521" s="10" t="s">
        <v>120</v>
      </c>
      <c r="O521" s="10" t="s">
        <v>122</v>
      </c>
      <c r="P521" s="10" t="s">
        <v>142</v>
      </c>
      <c r="Q521" s="18" t="s">
        <v>128</v>
      </c>
      <c r="R521" s="10" t="s">
        <v>133</v>
      </c>
      <c r="S521" s="10" t="s">
        <v>3305</v>
      </c>
      <c r="T521" s="10" t="s">
        <v>151</v>
      </c>
      <c r="U521" s="10">
        <v>3002232634</v>
      </c>
      <c r="V521" s="19"/>
      <c r="W521" s="59" t="s">
        <v>3306</v>
      </c>
      <c r="X521" s="10" t="s">
        <v>136</v>
      </c>
      <c r="Y521" s="10" t="s">
        <v>169</v>
      </c>
      <c r="Z521" s="10" t="s">
        <v>170</v>
      </c>
      <c r="AA521" s="24"/>
      <c r="AB521" s="24"/>
      <c r="AC521" s="13">
        <v>45338</v>
      </c>
      <c r="AD521" s="24"/>
    </row>
    <row r="522" spans="1:30" ht="15.75" customHeight="1" x14ac:dyDescent="0.25">
      <c r="A522" s="10" t="s">
        <v>160</v>
      </c>
      <c r="B522" s="10" t="s">
        <v>86</v>
      </c>
      <c r="C522" s="10" t="s">
        <v>91</v>
      </c>
      <c r="D522" s="10" t="s">
        <v>92</v>
      </c>
      <c r="E522" s="12">
        <v>1045753908</v>
      </c>
      <c r="F522" s="23" t="s">
        <v>3307</v>
      </c>
      <c r="G522" s="10" t="s">
        <v>365</v>
      </c>
      <c r="H522" s="12" t="s">
        <v>3308</v>
      </c>
      <c r="I522" s="13">
        <v>45831</v>
      </c>
      <c r="J522" s="10" t="str">
        <f t="shared" ca="1" si="64"/>
        <v xml:space="preserve">1  Años, 2  Mes, 3 Dias </v>
      </c>
      <c r="K522" s="10" t="s">
        <v>113</v>
      </c>
      <c r="L522" s="20"/>
      <c r="M522" s="5"/>
      <c r="N522" s="10" t="s">
        <v>320</v>
      </c>
      <c r="O522" s="10" t="s">
        <v>122</v>
      </c>
      <c r="P522" s="12" t="s">
        <v>142</v>
      </c>
      <c r="Q522" s="18" t="s">
        <v>128</v>
      </c>
      <c r="R522" s="10" t="s">
        <v>133</v>
      </c>
      <c r="S522" s="12" t="s">
        <v>3309</v>
      </c>
      <c r="T522" s="10" t="s">
        <v>136</v>
      </c>
      <c r="U522" s="12">
        <v>3015359456</v>
      </c>
      <c r="V522" s="5"/>
      <c r="W522" s="12" t="s">
        <v>3310</v>
      </c>
      <c r="X522" s="10" t="s">
        <v>136</v>
      </c>
      <c r="Y522" s="12" t="s">
        <v>539</v>
      </c>
      <c r="Z522" s="12" t="s">
        <v>170</v>
      </c>
      <c r="AA522" s="20"/>
      <c r="AB522" s="20"/>
      <c r="AC522" s="16">
        <v>45887</v>
      </c>
      <c r="AD522" s="13" t="s">
        <v>209</v>
      </c>
    </row>
    <row r="523" spans="1:30" ht="15.75" customHeight="1" x14ac:dyDescent="0.25">
      <c r="A523" s="10" t="s">
        <v>160</v>
      </c>
      <c r="B523" s="10" t="s">
        <v>86</v>
      </c>
      <c r="C523" s="10" t="s">
        <v>91</v>
      </c>
      <c r="D523" s="10" t="s">
        <v>92</v>
      </c>
      <c r="E523" s="10">
        <v>1143459809</v>
      </c>
      <c r="F523" s="23" t="s">
        <v>3311</v>
      </c>
      <c r="G523" s="10" t="s">
        <v>2874</v>
      </c>
      <c r="H523" s="19"/>
      <c r="I523" s="13">
        <v>45513</v>
      </c>
      <c r="J523" s="10" t="str">
        <f t="shared" ca="1" si="64"/>
        <v xml:space="preserve">2  Años, 0  Mes, 17 Dias </v>
      </c>
      <c r="K523" s="10" t="s">
        <v>113</v>
      </c>
      <c r="L523" s="24"/>
      <c r="M523" s="19" t="str">
        <f t="shared" ref="M523:M527" ca="1" si="78">IF(L523=0,"", DATEDIF(L523,TODAY(),"y"))</f>
        <v/>
      </c>
      <c r="N523" s="10" t="s">
        <v>120</v>
      </c>
      <c r="O523" s="10" t="s">
        <v>122</v>
      </c>
      <c r="P523" s="10" t="s">
        <v>142</v>
      </c>
      <c r="Q523" s="18" t="s">
        <v>128</v>
      </c>
      <c r="R523" s="10" t="s">
        <v>133</v>
      </c>
      <c r="S523" s="10" t="s">
        <v>348</v>
      </c>
      <c r="T523" s="10" t="s">
        <v>136</v>
      </c>
      <c r="U523" s="10">
        <v>3022256443</v>
      </c>
      <c r="V523" s="19"/>
      <c r="W523" s="10" t="s">
        <v>839</v>
      </c>
      <c r="X523" s="10" t="s">
        <v>136</v>
      </c>
      <c r="Y523" s="10" t="s">
        <v>253</v>
      </c>
      <c r="Z523" s="10" t="s">
        <v>373</v>
      </c>
      <c r="AA523" s="24"/>
      <c r="AB523" s="24"/>
      <c r="AC523" s="13">
        <v>45336</v>
      </c>
      <c r="AD523" s="24"/>
    </row>
    <row r="524" spans="1:30" ht="15.75" customHeight="1" x14ac:dyDescent="0.25">
      <c r="A524" s="10" t="s">
        <v>77</v>
      </c>
      <c r="B524" s="10" t="s">
        <v>86</v>
      </c>
      <c r="C524" s="10" t="s">
        <v>91</v>
      </c>
      <c r="D524" s="10" t="s">
        <v>92</v>
      </c>
      <c r="E524" s="10">
        <v>1042850692</v>
      </c>
      <c r="F524" s="23" t="s">
        <v>119</v>
      </c>
      <c r="G524" s="10" t="s">
        <v>18</v>
      </c>
      <c r="H524" s="10" t="s">
        <v>3312</v>
      </c>
      <c r="I524" s="13">
        <v>44843</v>
      </c>
      <c r="J524" s="10" t="str">
        <f t="shared" ca="1" si="64"/>
        <v xml:space="preserve">3  Años, 10  Mes, 17 Dias </v>
      </c>
      <c r="K524" s="10" t="s">
        <v>113</v>
      </c>
      <c r="L524" s="63"/>
      <c r="M524" s="19" t="str">
        <f t="shared" ca="1" si="78"/>
        <v/>
      </c>
      <c r="N524" s="10" t="s">
        <v>120</v>
      </c>
      <c r="O524" s="10" t="s">
        <v>122</v>
      </c>
      <c r="P524" s="10" t="s">
        <v>124</v>
      </c>
      <c r="Q524" s="18" t="s">
        <v>128</v>
      </c>
      <c r="R524" s="10" t="s">
        <v>133</v>
      </c>
      <c r="S524" s="10" t="s">
        <v>3313</v>
      </c>
      <c r="T524" s="10" t="s">
        <v>136</v>
      </c>
      <c r="U524" s="10">
        <v>3014767077</v>
      </c>
      <c r="V524" s="19"/>
      <c r="W524" s="10" t="s">
        <v>845</v>
      </c>
      <c r="X524" s="10" t="s">
        <v>136</v>
      </c>
      <c r="Y524" s="10" t="s">
        <v>253</v>
      </c>
      <c r="Z524" s="10" t="s">
        <v>170</v>
      </c>
      <c r="AA524" s="24"/>
      <c r="AB524" s="24"/>
      <c r="AC524" s="13">
        <v>45336</v>
      </c>
      <c r="AD524" s="24"/>
    </row>
    <row r="525" spans="1:30" ht="15.75" customHeight="1" x14ac:dyDescent="0.25">
      <c r="A525" s="10" t="s">
        <v>77</v>
      </c>
      <c r="B525" s="10" t="s">
        <v>86</v>
      </c>
      <c r="C525" s="10" t="s">
        <v>91</v>
      </c>
      <c r="D525" s="10" t="s">
        <v>92</v>
      </c>
      <c r="E525" s="10">
        <v>3738484</v>
      </c>
      <c r="F525" s="23" t="s">
        <v>118</v>
      </c>
      <c r="G525" s="10" t="s">
        <v>26</v>
      </c>
      <c r="H525" s="10" t="s">
        <v>3314</v>
      </c>
      <c r="I525" s="13">
        <v>45232</v>
      </c>
      <c r="J525" s="10" t="str">
        <f t="shared" ca="1" si="64"/>
        <v xml:space="preserve">2  Años, 9  Mes, 24 Dias </v>
      </c>
      <c r="K525" s="10" t="s">
        <v>113</v>
      </c>
      <c r="L525" s="19"/>
      <c r="M525" s="19" t="str">
        <f t="shared" ca="1" si="78"/>
        <v/>
      </c>
      <c r="N525" s="10" t="s">
        <v>120</v>
      </c>
      <c r="O525" s="10" t="s">
        <v>122</v>
      </c>
      <c r="P525" s="10" t="s">
        <v>142</v>
      </c>
      <c r="Q525" s="18" t="s">
        <v>128</v>
      </c>
      <c r="R525" s="10" t="s">
        <v>133</v>
      </c>
      <c r="S525" s="10" t="s">
        <v>3315</v>
      </c>
      <c r="T525" s="10" t="s">
        <v>136</v>
      </c>
      <c r="U525" s="10">
        <v>3112266917</v>
      </c>
      <c r="V525" s="10">
        <v>3112266917</v>
      </c>
      <c r="W525" s="10" t="s">
        <v>3316</v>
      </c>
      <c r="X525" s="10" t="s">
        <v>136</v>
      </c>
      <c r="Y525" s="10" t="s">
        <v>206</v>
      </c>
      <c r="Z525" s="10" t="s">
        <v>216</v>
      </c>
      <c r="AA525" s="63"/>
      <c r="AB525" s="63"/>
      <c r="AC525" s="30">
        <v>45657</v>
      </c>
      <c r="AD525" s="63"/>
    </row>
    <row r="526" spans="1:30" ht="15.75" customHeight="1" x14ac:dyDescent="0.25">
      <c r="A526" s="10" t="s">
        <v>77</v>
      </c>
      <c r="B526" s="10" t="s">
        <v>86</v>
      </c>
      <c r="C526" s="10" t="s">
        <v>91</v>
      </c>
      <c r="D526" s="10" t="s">
        <v>92</v>
      </c>
      <c r="E526" s="10">
        <v>8643014</v>
      </c>
      <c r="F526" s="23" t="s">
        <v>117</v>
      </c>
      <c r="G526" s="10" t="s">
        <v>18</v>
      </c>
      <c r="H526" s="10" t="s">
        <v>3317</v>
      </c>
      <c r="I526" s="13">
        <v>44843</v>
      </c>
      <c r="J526" s="10" t="str">
        <f t="shared" ca="1" si="64"/>
        <v xml:space="preserve">3  Años, 10  Mes, 17 Dias </v>
      </c>
      <c r="K526" s="10" t="s">
        <v>113</v>
      </c>
      <c r="L526" s="19"/>
      <c r="M526" s="19" t="str">
        <f t="shared" ca="1" si="78"/>
        <v/>
      </c>
      <c r="N526" s="10" t="s">
        <v>120</v>
      </c>
      <c r="O526" s="10" t="s">
        <v>122</v>
      </c>
      <c r="P526" s="10" t="s">
        <v>210</v>
      </c>
      <c r="Q526" s="18" t="s">
        <v>128</v>
      </c>
      <c r="R526" s="10" t="s">
        <v>133</v>
      </c>
      <c r="S526" s="10" t="s">
        <v>3318</v>
      </c>
      <c r="T526" s="10" t="s">
        <v>136</v>
      </c>
      <c r="U526" s="10">
        <v>3146749613</v>
      </c>
      <c r="V526" s="19"/>
      <c r="W526" s="10" t="s">
        <v>3319</v>
      </c>
      <c r="X526" s="10" t="s">
        <v>136</v>
      </c>
      <c r="Y526" s="10" t="s">
        <v>206</v>
      </c>
      <c r="Z526" s="10" t="s">
        <v>170</v>
      </c>
      <c r="AA526" s="24"/>
      <c r="AB526" s="24"/>
      <c r="AC526" s="13">
        <v>45352</v>
      </c>
      <c r="AD526" s="24"/>
    </row>
    <row r="527" spans="1:30" ht="15.75" customHeight="1" x14ac:dyDescent="0.25">
      <c r="A527" s="10" t="s">
        <v>77</v>
      </c>
      <c r="B527" s="10" t="s">
        <v>86</v>
      </c>
      <c r="C527" s="10" t="s">
        <v>91</v>
      </c>
      <c r="D527" s="10" t="s">
        <v>92</v>
      </c>
      <c r="E527" s="10">
        <v>8744976</v>
      </c>
      <c r="F527" s="23" t="s">
        <v>116</v>
      </c>
      <c r="G527" s="10" t="s">
        <v>32</v>
      </c>
      <c r="H527" s="10" t="s">
        <v>3320</v>
      </c>
      <c r="I527" s="30">
        <v>45240</v>
      </c>
      <c r="J527" s="10" t="str">
        <f t="shared" ca="1" si="64"/>
        <v xml:space="preserve">2  Años, 9  Mes, 16 Dias </v>
      </c>
      <c r="K527" s="10" t="s">
        <v>113</v>
      </c>
      <c r="L527" s="19"/>
      <c r="M527" s="19" t="str">
        <f t="shared" ca="1" si="78"/>
        <v/>
      </c>
      <c r="N527" s="10" t="s">
        <v>120</v>
      </c>
      <c r="O527" s="10" t="s">
        <v>277</v>
      </c>
      <c r="P527" s="10" t="s">
        <v>142</v>
      </c>
      <c r="Q527" s="18" t="s">
        <v>128</v>
      </c>
      <c r="R527" s="10" t="s">
        <v>133</v>
      </c>
      <c r="S527" s="10" t="s">
        <v>3321</v>
      </c>
      <c r="T527" s="10" t="s">
        <v>136</v>
      </c>
      <c r="U527" s="10">
        <v>320990937</v>
      </c>
      <c r="V527" s="10">
        <v>3209900937</v>
      </c>
      <c r="W527" s="10" t="s">
        <v>3322</v>
      </c>
      <c r="X527" s="10" t="s">
        <v>136</v>
      </c>
      <c r="Y527" s="10" t="s">
        <v>3323</v>
      </c>
      <c r="Z527" s="10" t="s">
        <v>373</v>
      </c>
      <c r="AA527" s="33"/>
      <c r="AB527" s="33"/>
      <c r="AC527" s="35">
        <v>45290</v>
      </c>
      <c r="AD527" s="19"/>
    </row>
    <row r="528" spans="1:30" ht="15.75" customHeight="1" x14ac:dyDescent="0.25">
      <c r="A528" s="10" t="s">
        <v>77</v>
      </c>
      <c r="B528" s="10" t="s">
        <v>90</v>
      </c>
      <c r="C528" s="10" t="s">
        <v>175</v>
      </c>
      <c r="D528" s="10" t="s">
        <v>92</v>
      </c>
      <c r="E528" s="12">
        <v>72234484</v>
      </c>
      <c r="F528" s="23" t="s">
        <v>951</v>
      </c>
      <c r="G528" s="10" t="s">
        <v>26</v>
      </c>
      <c r="H528" s="10" t="s">
        <v>953</v>
      </c>
      <c r="I528" s="13">
        <v>45831</v>
      </c>
      <c r="J528" s="10" t="str">
        <f t="shared" ca="1" si="64"/>
        <v xml:space="preserve">1  Años, 2  Mes, 3 Dias </v>
      </c>
      <c r="K528" s="10" t="s">
        <v>113</v>
      </c>
      <c r="L528" s="19"/>
      <c r="M528" s="19"/>
      <c r="N528" s="10" t="s">
        <v>120</v>
      </c>
      <c r="O528" s="10" t="s">
        <v>277</v>
      </c>
      <c r="P528" s="12" t="s">
        <v>124</v>
      </c>
      <c r="Q528" s="18" t="s">
        <v>128</v>
      </c>
      <c r="R528" s="10" t="s">
        <v>133</v>
      </c>
      <c r="S528" s="12" t="s">
        <v>955</v>
      </c>
      <c r="T528" s="10" t="s">
        <v>136</v>
      </c>
      <c r="U528" s="12">
        <v>3001836690</v>
      </c>
      <c r="V528" s="19"/>
      <c r="W528" s="12" t="s">
        <v>957</v>
      </c>
      <c r="X528" s="10" t="s">
        <v>136</v>
      </c>
      <c r="Y528" s="12" t="s">
        <v>155</v>
      </c>
      <c r="Z528" s="12" t="s">
        <v>288</v>
      </c>
      <c r="AA528" s="24"/>
      <c r="AB528" s="24"/>
      <c r="AC528" s="24"/>
      <c r="AD528" s="10" t="s">
        <v>209</v>
      </c>
    </row>
    <row r="529" spans="1:30" ht="15.75" customHeight="1" x14ac:dyDescent="0.25">
      <c r="A529" s="10" t="s">
        <v>77</v>
      </c>
      <c r="B529" s="10" t="s">
        <v>86</v>
      </c>
      <c r="C529" s="10" t="s">
        <v>91</v>
      </c>
      <c r="D529" s="10" t="s">
        <v>92</v>
      </c>
      <c r="E529" s="10">
        <v>72184506</v>
      </c>
      <c r="F529" s="23" t="s">
        <v>115</v>
      </c>
      <c r="G529" s="10" t="s">
        <v>32</v>
      </c>
      <c r="H529" s="10" t="s">
        <v>3324</v>
      </c>
      <c r="I529" s="13">
        <v>45086</v>
      </c>
      <c r="J529" s="10" t="str">
        <f t="shared" ca="1" si="64"/>
        <v xml:space="preserve">3  Años, 2  Mes, 17 Dias </v>
      </c>
      <c r="K529" s="10" t="s">
        <v>113</v>
      </c>
      <c r="L529" s="24"/>
      <c r="M529" s="19" t="str">
        <f t="shared" ref="M529:M531" ca="1" si="79">IF(L529=0,"", DATEDIF(L529,TODAY(),"y"))</f>
        <v/>
      </c>
      <c r="N529" s="10" t="s">
        <v>120</v>
      </c>
      <c r="O529" s="10" t="s">
        <v>236</v>
      </c>
      <c r="P529" s="10" t="s">
        <v>124</v>
      </c>
      <c r="Q529" s="18" t="s">
        <v>128</v>
      </c>
      <c r="R529" s="10" t="s">
        <v>133</v>
      </c>
      <c r="S529" s="10" t="s">
        <v>3325</v>
      </c>
      <c r="T529" s="10" t="s">
        <v>136</v>
      </c>
      <c r="U529" s="10">
        <v>3106617606</v>
      </c>
      <c r="V529" s="10">
        <v>3106617606</v>
      </c>
      <c r="W529" s="10" t="s">
        <v>3326</v>
      </c>
      <c r="X529" s="10" t="s">
        <v>136</v>
      </c>
      <c r="Y529" s="10" t="s">
        <v>253</v>
      </c>
      <c r="Z529" s="10" t="s">
        <v>216</v>
      </c>
      <c r="AA529" s="24"/>
      <c r="AB529" s="24"/>
      <c r="AC529" s="13">
        <v>45517</v>
      </c>
      <c r="AD529" s="24"/>
    </row>
    <row r="530" spans="1:30" ht="15.75" customHeight="1" x14ac:dyDescent="0.25">
      <c r="A530" s="10" t="s">
        <v>160</v>
      </c>
      <c r="B530" s="10" t="s">
        <v>86</v>
      </c>
      <c r="C530" s="10" t="s">
        <v>91</v>
      </c>
      <c r="D530" s="10" t="s">
        <v>92</v>
      </c>
      <c r="E530" s="10">
        <v>72001977</v>
      </c>
      <c r="F530" s="23" t="s">
        <v>3327</v>
      </c>
      <c r="G530" s="10" t="s">
        <v>416</v>
      </c>
      <c r="H530" s="10" t="s">
        <v>3324</v>
      </c>
      <c r="I530" s="13">
        <v>44843</v>
      </c>
      <c r="J530" s="10" t="str">
        <f t="shared" ca="1" si="64"/>
        <v xml:space="preserve">3  Años, 10  Mes, 17 Dias </v>
      </c>
      <c r="K530" s="10" t="s">
        <v>113</v>
      </c>
      <c r="L530" s="19"/>
      <c r="M530" s="19" t="str">
        <f t="shared" ca="1" si="79"/>
        <v/>
      </c>
      <c r="N530" s="10" t="s">
        <v>120</v>
      </c>
      <c r="O530" s="10" t="s">
        <v>122</v>
      </c>
      <c r="P530" s="10" t="s">
        <v>142</v>
      </c>
      <c r="Q530" s="18" t="s">
        <v>128</v>
      </c>
      <c r="R530" s="10" t="s">
        <v>133</v>
      </c>
      <c r="S530" s="10" t="s">
        <v>3328</v>
      </c>
      <c r="T530" s="10" t="s">
        <v>136</v>
      </c>
      <c r="U530" s="10">
        <v>3012840517</v>
      </c>
      <c r="V530" s="19"/>
      <c r="W530" s="10" t="s">
        <v>3329</v>
      </c>
      <c r="X530" s="10" t="s">
        <v>136</v>
      </c>
      <c r="Y530" s="10" t="s">
        <v>206</v>
      </c>
      <c r="Z530" s="10" t="s">
        <v>255</v>
      </c>
      <c r="AA530" s="33"/>
      <c r="AB530" s="33"/>
      <c r="AC530" s="35">
        <v>44896</v>
      </c>
      <c r="AD530" s="24"/>
    </row>
    <row r="531" spans="1:30" ht="15.75" customHeight="1" x14ac:dyDescent="0.25">
      <c r="A531" s="10" t="s">
        <v>77</v>
      </c>
      <c r="B531" s="10" t="s">
        <v>86</v>
      </c>
      <c r="C531" s="10" t="s">
        <v>91</v>
      </c>
      <c r="D531" s="10" t="s">
        <v>92</v>
      </c>
      <c r="E531" s="10">
        <v>1007071454</v>
      </c>
      <c r="F531" s="23" t="s">
        <v>3330</v>
      </c>
      <c r="G531" s="10" t="s">
        <v>11</v>
      </c>
      <c r="H531" s="10" t="s">
        <v>3331</v>
      </c>
      <c r="I531" s="13">
        <v>45316</v>
      </c>
      <c r="J531" s="10" t="str">
        <f t="shared" ca="1" si="64"/>
        <v xml:space="preserve">2  Años, 7  Mes, 1 Dias </v>
      </c>
      <c r="K531" s="10" t="s">
        <v>113</v>
      </c>
      <c r="L531" s="13">
        <v>37317</v>
      </c>
      <c r="M531" s="10">
        <f t="shared" ca="1" si="79"/>
        <v>24</v>
      </c>
      <c r="N531" s="10" t="s">
        <v>120</v>
      </c>
      <c r="O531" s="10" t="s">
        <v>122</v>
      </c>
      <c r="P531" s="10" t="s">
        <v>124</v>
      </c>
      <c r="Q531" s="10" t="s">
        <v>128</v>
      </c>
      <c r="R531" s="10" t="s">
        <v>133</v>
      </c>
      <c r="S531" s="10" t="s">
        <v>3332</v>
      </c>
      <c r="T531" s="10" t="s">
        <v>136</v>
      </c>
      <c r="U531" s="10">
        <v>3008425444</v>
      </c>
      <c r="V531" s="19"/>
      <c r="W531" s="40" t="s">
        <v>3333</v>
      </c>
      <c r="X531" s="10" t="s">
        <v>136</v>
      </c>
      <c r="Y531" s="10" t="s">
        <v>155</v>
      </c>
      <c r="Z531" s="10" t="s">
        <v>170</v>
      </c>
      <c r="AA531" s="24"/>
      <c r="AB531" s="24"/>
      <c r="AC531" s="13">
        <v>45362</v>
      </c>
      <c r="AD531" s="24"/>
    </row>
    <row r="532" spans="1:30" ht="15.75" customHeight="1" x14ac:dyDescent="0.25">
      <c r="A532" s="10" t="s">
        <v>77</v>
      </c>
      <c r="B532" s="10" t="s">
        <v>86</v>
      </c>
      <c r="C532" s="10" t="s">
        <v>91</v>
      </c>
      <c r="D532" s="10" t="s">
        <v>92</v>
      </c>
      <c r="E532" s="12">
        <v>1010079479</v>
      </c>
      <c r="F532" s="15" t="s">
        <v>3334</v>
      </c>
      <c r="G532" s="12" t="s">
        <v>18</v>
      </c>
      <c r="H532" s="95" t="s">
        <v>3335</v>
      </c>
      <c r="I532" s="16">
        <v>45801</v>
      </c>
      <c r="J532" s="10" t="str">
        <f t="shared" ca="1" si="64"/>
        <v xml:space="preserve">1  Años, 3  Mes, 2 Dias </v>
      </c>
      <c r="K532" s="12" t="s">
        <v>113</v>
      </c>
      <c r="L532" s="20"/>
      <c r="M532" s="19"/>
      <c r="N532" s="10" t="s">
        <v>120</v>
      </c>
      <c r="O532" s="10" t="s">
        <v>236</v>
      </c>
      <c r="P532" s="12" t="s">
        <v>142</v>
      </c>
      <c r="Q532" s="18" t="s">
        <v>128</v>
      </c>
      <c r="R532" s="10" t="s">
        <v>133</v>
      </c>
      <c r="S532" s="5"/>
      <c r="T532" s="5"/>
      <c r="U532" s="12">
        <v>3235182535</v>
      </c>
      <c r="V532" s="5"/>
      <c r="W532" s="12" t="s">
        <v>3336</v>
      </c>
      <c r="X532" s="12" t="s">
        <v>136</v>
      </c>
      <c r="Y532" s="5"/>
      <c r="Z532" s="12" t="s">
        <v>72</v>
      </c>
      <c r="AA532" s="5"/>
      <c r="AB532" s="5"/>
      <c r="AC532" s="20"/>
      <c r="AD532" s="10" t="s">
        <v>209</v>
      </c>
    </row>
    <row r="533" spans="1:30" ht="15.75" customHeight="1" x14ac:dyDescent="0.25">
      <c r="A533" s="10" t="s">
        <v>77</v>
      </c>
      <c r="B533" s="10" t="s">
        <v>90</v>
      </c>
      <c r="C533" s="10" t="s">
        <v>175</v>
      </c>
      <c r="D533" s="10" t="s">
        <v>92</v>
      </c>
      <c r="E533" s="12">
        <v>1043133929</v>
      </c>
      <c r="F533" s="15" t="s">
        <v>879</v>
      </c>
      <c r="G533" s="10" t="s">
        <v>11</v>
      </c>
      <c r="H533" s="10" t="s">
        <v>881</v>
      </c>
      <c r="I533" s="16">
        <v>45882</v>
      </c>
      <c r="J533" s="10" t="str">
        <f t="shared" ca="1" si="64"/>
        <v xml:space="preserve">1  Años, 0  Mes, 13 Dias </v>
      </c>
      <c r="K533" s="12" t="s">
        <v>113</v>
      </c>
      <c r="L533" s="16">
        <v>36609</v>
      </c>
      <c r="M533" s="10">
        <f t="shared" ref="M533:M537" ca="1" si="80">IF(L533=0,"", DATEDIF(L533,TODAY(),"y"))</f>
        <v>26</v>
      </c>
      <c r="N533" s="10" t="s">
        <v>120</v>
      </c>
      <c r="O533" s="10" t="s">
        <v>122</v>
      </c>
      <c r="P533" s="5"/>
      <c r="Q533" s="18" t="s">
        <v>128</v>
      </c>
      <c r="R533" s="10" t="s">
        <v>133</v>
      </c>
      <c r="S533" s="12" t="s">
        <v>884</v>
      </c>
      <c r="T533" s="12" t="s">
        <v>151</v>
      </c>
      <c r="U533" s="12">
        <v>3002087929</v>
      </c>
      <c r="V533" s="5"/>
      <c r="W533" s="5"/>
      <c r="X533" s="10" t="s">
        <v>136</v>
      </c>
      <c r="Y533" s="5"/>
      <c r="Z533" s="5"/>
      <c r="AA533" s="20"/>
      <c r="AB533" s="20"/>
      <c r="AC533" s="20"/>
      <c r="AD533" s="10" t="s">
        <v>209</v>
      </c>
    </row>
    <row r="534" spans="1:30" ht="15.75" customHeight="1" x14ac:dyDescent="0.25">
      <c r="A534" s="10" t="s">
        <v>77</v>
      </c>
      <c r="B534" s="10" t="s">
        <v>86</v>
      </c>
      <c r="C534" s="10" t="s">
        <v>91</v>
      </c>
      <c r="D534" s="10" t="s">
        <v>92</v>
      </c>
      <c r="E534" s="10">
        <v>72045666</v>
      </c>
      <c r="F534" s="23" t="s">
        <v>114</v>
      </c>
      <c r="G534" s="10" t="s">
        <v>32</v>
      </c>
      <c r="H534" s="10" t="s">
        <v>3337</v>
      </c>
      <c r="I534" s="30">
        <v>45251</v>
      </c>
      <c r="J534" s="10" t="str">
        <f t="shared" ca="1" si="64"/>
        <v xml:space="preserve">2  Años, 9  Mes, 5 Dias </v>
      </c>
      <c r="K534" s="10" t="s">
        <v>113</v>
      </c>
      <c r="L534" s="19"/>
      <c r="M534" s="19" t="str">
        <f t="shared" ca="1" si="80"/>
        <v/>
      </c>
      <c r="N534" s="10" t="s">
        <v>120</v>
      </c>
      <c r="O534" s="10" t="s">
        <v>122</v>
      </c>
      <c r="P534" s="10" t="s">
        <v>1569</v>
      </c>
      <c r="Q534" s="18" t="s">
        <v>128</v>
      </c>
      <c r="R534" s="10" t="s">
        <v>133</v>
      </c>
      <c r="S534" s="10" t="s">
        <v>3338</v>
      </c>
      <c r="T534" s="10" t="s">
        <v>199</v>
      </c>
      <c r="U534" s="10">
        <v>3206536742</v>
      </c>
      <c r="V534" s="10">
        <v>3206536742</v>
      </c>
      <c r="W534" s="10" t="s">
        <v>3339</v>
      </c>
      <c r="X534" s="10" t="s">
        <v>136</v>
      </c>
      <c r="Y534" s="10" t="s">
        <v>206</v>
      </c>
      <c r="Z534" s="10" t="s">
        <v>216</v>
      </c>
      <c r="AA534" s="24"/>
      <c r="AB534" s="24"/>
      <c r="AC534" s="13">
        <v>45338</v>
      </c>
      <c r="AD534" s="24"/>
    </row>
    <row r="535" spans="1:30" ht="15.75" customHeight="1" x14ac:dyDescent="0.25">
      <c r="A535" s="10" t="s">
        <v>77</v>
      </c>
      <c r="B535" s="10" t="s">
        <v>90</v>
      </c>
      <c r="C535" s="10" t="s">
        <v>175</v>
      </c>
      <c r="D535" s="10" t="s">
        <v>92</v>
      </c>
      <c r="E535" s="12">
        <v>1002035734</v>
      </c>
      <c r="F535" s="15" t="s">
        <v>943</v>
      </c>
      <c r="G535" s="10" t="s">
        <v>11</v>
      </c>
      <c r="H535" s="10" t="s">
        <v>945</v>
      </c>
      <c r="I535" s="16">
        <v>45883</v>
      </c>
      <c r="J535" s="10" t="str">
        <f t="shared" ca="1" si="64"/>
        <v xml:space="preserve">1  Años, 0  Mes, 12 Dias </v>
      </c>
      <c r="K535" s="12" t="s">
        <v>113</v>
      </c>
      <c r="L535" s="16">
        <v>36629</v>
      </c>
      <c r="M535" s="10">
        <f t="shared" ca="1" si="80"/>
        <v>26</v>
      </c>
      <c r="N535" s="10" t="s">
        <v>120</v>
      </c>
      <c r="O535" s="10" t="s">
        <v>236</v>
      </c>
      <c r="P535" s="5"/>
      <c r="Q535" s="18" t="s">
        <v>128</v>
      </c>
      <c r="R535" s="10" t="s">
        <v>133</v>
      </c>
      <c r="S535" s="12" t="s">
        <v>947</v>
      </c>
      <c r="T535" s="12" t="s">
        <v>136</v>
      </c>
      <c r="U535" s="12">
        <v>3006484419</v>
      </c>
      <c r="V535" s="5"/>
      <c r="W535" s="5"/>
      <c r="X535" s="10" t="s">
        <v>136</v>
      </c>
      <c r="Y535" s="5"/>
      <c r="Z535" s="5"/>
      <c r="AA535" s="20"/>
      <c r="AB535" s="20"/>
      <c r="AC535" s="20"/>
      <c r="AD535" s="10" t="s">
        <v>209</v>
      </c>
    </row>
    <row r="536" spans="1:30" ht="15.75" customHeight="1" x14ac:dyDescent="0.25">
      <c r="A536" s="10" t="s">
        <v>77</v>
      </c>
      <c r="B536" s="10" t="s">
        <v>86</v>
      </c>
      <c r="C536" s="10" t="s">
        <v>91</v>
      </c>
      <c r="D536" s="10" t="s">
        <v>92</v>
      </c>
      <c r="E536" s="10">
        <v>1042424390</v>
      </c>
      <c r="F536" s="23" t="s">
        <v>669</v>
      </c>
      <c r="G536" s="10" t="s">
        <v>18</v>
      </c>
      <c r="H536" s="10" t="s">
        <v>3340</v>
      </c>
      <c r="I536" s="13">
        <v>45364</v>
      </c>
      <c r="J536" s="10" t="str">
        <f t="shared" ca="1" si="64"/>
        <v xml:space="preserve">2  Años, 5  Mes, 13 Dias </v>
      </c>
      <c r="K536" s="10" t="s">
        <v>113</v>
      </c>
      <c r="L536" s="19"/>
      <c r="M536" s="19" t="str">
        <f t="shared" ca="1" si="80"/>
        <v/>
      </c>
      <c r="N536" s="10" t="s">
        <v>120</v>
      </c>
      <c r="O536" s="10" t="s">
        <v>122</v>
      </c>
      <c r="P536" s="10" t="s">
        <v>124</v>
      </c>
      <c r="Q536" s="18" t="s">
        <v>128</v>
      </c>
      <c r="R536" s="10" t="s">
        <v>133</v>
      </c>
      <c r="S536" s="10" t="s">
        <v>3341</v>
      </c>
      <c r="T536" s="10" t="s">
        <v>136</v>
      </c>
      <c r="U536" s="10">
        <v>3003743619</v>
      </c>
      <c r="V536" s="19"/>
      <c r="W536" s="10" t="s">
        <v>3342</v>
      </c>
      <c r="X536" s="10" t="s">
        <v>136</v>
      </c>
      <c r="Y536" s="10" t="s">
        <v>203</v>
      </c>
      <c r="Z536" s="10" t="s">
        <v>170</v>
      </c>
      <c r="AA536" s="24"/>
      <c r="AB536" s="24"/>
      <c r="AC536" s="13">
        <v>45336</v>
      </c>
      <c r="AD536" s="10" t="s">
        <v>209</v>
      </c>
    </row>
    <row r="537" spans="1:30" ht="15.75" customHeight="1" x14ac:dyDescent="0.25">
      <c r="A537" s="10" t="s">
        <v>77</v>
      </c>
      <c r="B537" s="10" t="s">
        <v>86</v>
      </c>
      <c r="C537" s="10" t="s">
        <v>91</v>
      </c>
      <c r="D537" s="10" t="s">
        <v>92</v>
      </c>
      <c r="E537" s="10">
        <v>72246706</v>
      </c>
      <c r="F537" s="23" t="s">
        <v>612</v>
      </c>
      <c r="G537" s="10" t="s">
        <v>11</v>
      </c>
      <c r="H537" s="10" t="s">
        <v>3343</v>
      </c>
      <c r="I537" s="13">
        <v>45294</v>
      </c>
      <c r="J537" s="10" t="str">
        <f t="shared" ca="1" si="64"/>
        <v xml:space="preserve">2  Años, 7  Mes, 23 Dias </v>
      </c>
      <c r="K537" s="10" t="s">
        <v>113</v>
      </c>
      <c r="L537" s="19"/>
      <c r="M537" s="19" t="str">
        <f t="shared" ca="1" si="80"/>
        <v/>
      </c>
      <c r="N537" s="10" t="s">
        <v>120</v>
      </c>
      <c r="O537" s="10" t="s">
        <v>122</v>
      </c>
      <c r="P537" s="10" t="s">
        <v>124</v>
      </c>
      <c r="Q537" s="19"/>
      <c r="R537" s="10" t="s">
        <v>133</v>
      </c>
      <c r="S537" s="10" t="s">
        <v>3344</v>
      </c>
      <c r="T537" s="10" t="s">
        <v>136</v>
      </c>
      <c r="U537" s="10">
        <v>3043657986</v>
      </c>
      <c r="V537" s="19"/>
      <c r="W537" s="59" t="s">
        <v>3345</v>
      </c>
      <c r="X537" s="10" t="s">
        <v>136</v>
      </c>
      <c r="Y537" s="10" t="s">
        <v>155</v>
      </c>
      <c r="Z537" s="10" t="s">
        <v>170</v>
      </c>
      <c r="AA537" s="24"/>
      <c r="AB537" s="24"/>
      <c r="AC537" s="13">
        <v>45731</v>
      </c>
      <c r="AD537" s="10" t="s">
        <v>1515</v>
      </c>
    </row>
    <row r="538" spans="1:30" ht="15.75" customHeight="1" x14ac:dyDescent="0.25">
      <c r="A538" s="10" t="s">
        <v>160</v>
      </c>
      <c r="B538" s="10" t="s">
        <v>86</v>
      </c>
      <c r="C538" s="10" t="s">
        <v>91</v>
      </c>
      <c r="D538" s="10" t="s">
        <v>92</v>
      </c>
      <c r="E538" s="12">
        <v>1048264164</v>
      </c>
      <c r="F538" s="15" t="s">
        <v>3346</v>
      </c>
      <c r="G538" s="12" t="s">
        <v>688</v>
      </c>
      <c r="H538" s="5"/>
      <c r="I538" s="16">
        <v>45789</v>
      </c>
      <c r="J538" s="10" t="str">
        <f t="shared" ca="1" si="64"/>
        <v xml:space="preserve">1  Años, 3  Mes, 14 Dias </v>
      </c>
      <c r="K538" s="12" t="s">
        <v>113</v>
      </c>
      <c r="L538" s="13">
        <v>37644</v>
      </c>
      <c r="M538" s="10">
        <v>22</v>
      </c>
      <c r="N538" s="10" t="s">
        <v>320</v>
      </c>
      <c r="O538" s="10" t="s">
        <v>236</v>
      </c>
      <c r="P538" s="5"/>
      <c r="Q538" s="18" t="s">
        <v>128</v>
      </c>
      <c r="R538" s="10" t="s">
        <v>133</v>
      </c>
      <c r="S538" s="12" t="s">
        <v>3347</v>
      </c>
      <c r="T538" s="5"/>
      <c r="U538" s="12">
        <v>3024297796</v>
      </c>
      <c r="V538" s="5"/>
      <c r="W538" s="12" t="s">
        <v>3348</v>
      </c>
      <c r="X538" s="12" t="s">
        <v>136</v>
      </c>
      <c r="Y538" s="12" t="s">
        <v>781</v>
      </c>
      <c r="Z538" s="5"/>
      <c r="AA538" s="31"/>
      <c r="AB538" s="31"/>
      <c r="AC538" s="31"/>
      <c r="AD538" s="13" t="s">
        <v>209</v>
      </c>
    </row>
    <row r="539" spans="1:30" ht="15.75" customHeight="1" x14ac:dyDescent="0.25">
      <c r="A539" s="10" t="s">
        <v>77</v>
      </c>
      <c r="B539" s="10" t="s">
        <v>86</v>
      </c>
      <c r="C539" s="10" t="s">
        <v>91</v>
      </c>
      <c r="D539" s="10" t="s">
        <v>92</v>
      </c>
      <c r="E539" s="10">
        <v>1045667351</v>
      </c>
      <c r="F539" s="23" t="s">
        <v>105</v>
      </c>
      <c r="G539" s="10" t="s">
        <v>741</v>
      </c>
      <c r="H539" s="10" t="s">
        <v>3349</v>
      </c>
      <c r="I539" s="13">
        <v>44843</v>
      </c>
      <c r="J539" s="10" t="str">
        <f t="shared" ca="1" si="64"/>
        <v xml:space="preserve">3  Años, 10  Mes, 17 Dias </v>
      </c>
      <c r="K539" s="10" t="s">
        <v>113</v>
      </c>
      <c r="L539" s="19"/>
      <c r="M539" s="19" t="str">
        <f t="shared" ref="M539:M548" ca="1" si="81">IF(L539=0,"", DATEDIF(L539,TODAY(),"y"))</f>
        <v/>
      </c>
      <c r="N539" s="10" t="s">
        <v>120</v>
      </c>
      <c r="O539" s="10" t="s">
        <v>122</v>
      </c>
      <c r="P539" s="10" t="s">
        <v>142</v>
      </c>
      <c r="Q539" s="18" t="s">
        <v>648</v>
      </c>
      <c r="R539" s="10" t="s">
        <v>133</v>
      </c>
      <c r="S539" s="10" t="s">
        <v>3350</v>
      </c>
      <c r="T539" s="10" t="s">
        <v>136</v>
      </c>
      <c r="U539" s="10">
        <v>3003877892</v>
      </c>
      <c r="V539" s="19"/>
      <c r="W539" s="10" t="s">
        <v>3351</v>
      </c>
      <c r="X539" s="10" t="s">
        <v>136</v>
      </c>
      <c r="Y539" s="10" t="s">
        <v>253</v>
      </c>
      <c r="Z539" s="10" t="s">
        <v>373</v>
      </c>
      <c r="AA539" s="24"/>
      <c r="AB539" s="24"/>
      <c r="AC539" s="13">
        <v>45440</v>
      </c>
      <c r="AD539" s="24"/>
    </row>
    <row r="540" spans="1:30" ht="15.75" customHeight="1" x14ac:dyDescent="0.25">
      <c r="A540" s="10" t="s">
        <v>77</v>
      </c>
      <c r="B540" s="10" t="s">
        <v>90</v>
      </c>
      <c r="C540" s="10" t="s">
        <v>175</v>
      </c>
      <c r="D540" s="10" t="s">
        <v>92</v>
      </c>
      <c r="E540" s="12">
        <v>1083457066</v>
      </c>
      <c r="F540" s="15" t="s">
        <v>1438</v>
      </c>
      <c r="G540" s="10" t="s">
        <v>11</v>
      </c>
      <c r="H540" s="10" t="s">
        <v>1439</v>
      </c>
      <c r="I540" s="16">
        <v>45870</v>
      </c>
      <c r="J540" s="10" t="str">
        <f t="shared" ca="1" si="64"/>
        <v xml:space="preserve">1  Años, 0  Mes, 25 Dias </v>
      </c>
      <c r="K540" s="12" t="s">
        <v>113</v>
      </c>
      <c r="L540" s="16">
        <v>31688</v>
      </c>
      <c r="M540" s="10">
        <f t="shared" ca="1" si="81"/>
        <v>39</v>
      </c>
      <c r="N540" s="10" t="s">
        <v>120</v>
      </c>
      <c r="O540" s="10" t="s">
        <v>277</v>
      </c>
      <c r="P540" s="5"/>
      <c r="Q540" s="18" t="s">
        <v>128</v>
      </c>
      <c r="R540" s="10" t="s">
        <v>133</v>
      </c>
      <c r="S540" s="12" t="s">
        <v>1440</v>
      </c>
      <c r="T540" s="12" t="s">
        <v>151</v>
      </c>
      <c r="U540" s="12">
        <v>3004941328</v>
      </c>
      <c r="V540" s="5"/>
      <c r="W540" s="5"/>
      <c r="X540" s="10" t="s">
        <v>136</v>
      </c>
      <c r="Y540" s="5"/>
      <c r="Z540" s="5"/>
      <c r="AA540" s="20"/>
      <c r="AB540" s="20"/>
      <c r="AC540" s="20"/>
      <c r="AD540" s="13" t="s">
        <v>209</v>
      </c>
    </row>
    <row r="541" spans="1:30" ht="15.75" customHeight="1" x14ac:dyDescent="0.25">
      <c r="A541" s="10" t="s">
        <v>77</v>
      </c>
      <c r="B541" s="10" t="s">
        <v>90</v>
      </c>
      <c r="C541" s="10" t="s">
        <v>175</v>
      </c>
      <c r="D541" s="10" t="s">
        <v>92</v>
      </c>
      <c r="E541" s="10">
        <v>1140879058</v>
      </c>
      <c r="F541" s="23" t="s">
        <v>465</v>
      </c>
      <c r="G541" s="10" t="s">
        <v>11</v>
      </c>
      <c r="H541" s="10" t="s">
        <v>1445</v>
      </c>
      <c r="I541" s="13">
        <v>45831</v>
      </c>
      <c r="J541" s="10" t="str">
        <f t="shared" ca="1" si="64"/>
        <v xml:space="preserve">1  Años, 2  Mes, 3 Dias </v>
      </c>
      <c r="K541" s="10" t="s">
        <v>113</v>
      </c>
      <c r="L541" s="24"/>
      <c r="M541" s="19" t="str">
        <f t="shared" ca="1" si="81"/>
        <v/>
      </c>
      <c r="N541" s="10" t="s">
        <v>120</v>
      </c>
      <c r="O541" s="10" t="s">
        <v>122</v>
      </c>
      <c r="P541" s="10" t="s">
        <v>142</v>
      </c>
      <c r="Q541" s="18" t="s">
        <v>128</v>
      </c>
      <c r="R541" s="10" t="s">
        <v>133</v>
      </c>
      <c r="S541" s="10" t="s">
        <v>1448</v>
      </c>
      <c r="T541" s="10" t="s">
        <v>136</v>
      </c>
      <c r="U541" s="10">
        <v>3005711130</v>
      </c>
      <c r="V541" s="19"/>
      <c r="W541" s="10" t="s">
        <v>1449</v>
      </c>
      <c r="X541" s="10" t="s">
        <v>136</v>
      </c>
      <c r="Y541" s="10" t="s">
        <v>206</v>
      </c>
      <c r="Z541" s="10" t="s">
        <v>170</v>
      </c>
      <c r="AA541" s="19"/>
      <c r="AB541" s="19"/>
      <c r="AC541" s="24"/>
      <c r="AD541" s="10" t="s">
        <v>209</v>
      </c>
    </row>
    <row r="542" spans="1:30" ht="15.75" customHeight="1" x14ac:dyDescent="0.25">
      <c r="A542" s="10" t="s">
        <v>77</v>
      </c>
      <c r="B542" s="10" t="s">
        <v>90</v>
      </c>
      <c r="C542" s="10" t="s">
        <v>175</v>
      </c>
      <c r="D542" s="10" t="s">
        <v>92</v>
      </c>
      <c r="E542" s="10">
        <v>1148434809</v>
      </c>
      <c r="F542" s="23" t="s">
        <v>102</v>
      </c>
      <c r="G542" s="10" t="s">
        <v>11</v>
      </c>
      <c r="H542" s="10" t="s">
        <v>1454</v>
      </c>
      <c r="I542" s="13">
        <v>45831</v>
      </c>
      <c r="J542" s="10" t="str">
        <f t="shared" ca="1" si="64"/>
        <v xml:space="preserve">1  Años, 2  Mes, 3 Dias </v>
      </c>
      <c r="K542" s="10" t="s">
        <v>113</v>
      </c>
      <c r="L542" s="19"/>
      <c r="M542" s="19" t="str">
        <f t="shared" ca="1" si="81"/>
        <v/>
      </c>
      <c r="N542" s="10" t="s">
        <v>120</v>
      </c>
      <c r="O542" s="10" t="s">
        <v>122</v>
      </c>
      <c r="P542" s="10" t="s">
        <v>142</v>
      </c>
      <c r="Q542" s="18" t="s">
        <v>128</v>
      </c>
      <c r="R542" s="10" t="s">
        <v>133</v>
      </c>
      <c r="S542" s="10" t="s">
        <v>1457</v>
      </c>
      <c r="T542" s="10" t="s">
        <v>151</v>
      </c>
      <c r="U542" s="10">
        <v>3042010760</v>
      </c>
      <c r="V542" s="10">
        <v>3042010760</v>
      </c>
      <c r="W542" s="10" t="s">
        <v>1459</v>
      </c>
      <c r="X542" s="10" t="s">
        <v>136</v>
      </c>
      <c r="Y542" s="10" t="s">
        <v>206</v>
      </c>
      <c r="Z542" s="10" t="s">
        <v>216</v>
      </c>
      <c r="AA542" s="24"/>
      <c r="AB542" s="24"/>
      <c r="AC542" s="24"/>
      <c r="AD542" s="10" t="s">
        <v>209</v>
      </c>
    </row>
    <row r="543" spans="1:30" ht="15.75" customHeight="1" x14ac:dyDescent="0.25">
      <c r="A543" s="10" t="s">
        <v>77</v>
      </c>
      <c r="B543" s="10" t="s">
        <v>86</v>
      </c>
      <c r="C543" s="10" t="s">
        <v>91</v>
      </c>
      <c r="D543" s="10" t="s">
        <v>92</v>
      </c>
      <c r="E543" s="10">
        <v>1128124959</v>
      </c>
      <c r="F543" s="23" t="s">
        <v>490</v>
      </c>
      <c r="G543" s="10" t="s">
        <v>741</v>
      </c>
      <c r="H543" s="10" t="s">
        <v>3352</v>
      </c>
      <c r="I543" s="13">
        <v>44843</v>
      </c>
      <c r="J543" s="10" t="str">
        <f t="shared" ca="1" si="64"/>
        <v xml:space="preserve">3  Años, 10  Mes, 17 Dias </v>
      </c>
      <c r="K543" s="10" t="s">
        <v>113</v>
      </c>
      <c r="L543" s="24"/>
      <c r="M543" s="19" t="str">
        <f t="shared" ca="1" si="81"/>
        <v/>
      </c>
      <c r="N543" s="10" t="s">
        <v>120</v>
      </c>
      <c r="O543" s="10" t="s">
        <v>122</v>
      </c>
      <c r="P543" s="10" t="s">
        <v>124</v>
      </c>
      <c r="Q543" s="18" t="s">
        <v>128</v>
      </c>
      <c r="R543" s="10" t="s">
        <v>133</v>
      </c>
      <c r="S543" s="10" t="s">
        <v>3353</v>
      </c>
      <c r="T543" s="10" t="s">
        <v>136</v>
      </c>
      <c r="U543" s="10">
        <v>3138500033</v>
      </c>
      <c r="V543" s="19"/>
      <c r="W543" s="10" t="s">
        <v>3354</v>
      </c>
      <c r="X543" s="10" t="s">
        <v>136</v>
      </c>
      <c r="Y543" s="10" t="s">
        <v>206</v>
      </c>
      <c r="Z543" s="10" t="s">
        <v>170</v>
      </c>
      <c r="AA543" s="33"/>
      <c r="AB543" s="33"/>
      <c r="AC543" s="35">
        <v>44896</v>
      </c>
      <c r="AD543" s="19"/>
    </row>
    <row r="544" spans="1:30" ht="15.75" customHeight="1" x14ac:dyDescent="0.25">
      <c r="A544" s="10" t="s">
        <v>77</v>
      </c>
      <c r="B544" s="10" t="s">
        <v>86</v>
      </c>
      <c r="C544" s="10" t="s">
        <v>91</v>
      </c>
      <c r="D544" s="10" t="s">
        <v>92</v>
      </c>
      <c r="E544" s="12">
        <v>72245982</v>
      </c>
      <c r="F544" s="15" t="s">
        <v>3355</v>
      </c>
      <c r="G544" s="12" t="s">
        <v>26</v>
      </c>
      <c r="H544" s="12" t="s">
        <v>3356</v>
      </c>
      <c r="I544" s="16">
        <v>45780</v>
      </c>
      <c r="J544" s="10" t="str">
        <f t="shared" ca="1" si="64"/>
        <v xml:space="preserve">1  Años, 3  Mes, 23 Dias </v>
      </c>
      <c r="K544" s="12" t="s">
        <v>113</v>
      </c>
      <c r="L544" s="16">
        <v>28499</v>
      </c>
      <c r="M544" s="10">
        <f t="shared" ca="1" si="81"/>
        <v>48</v>
      </c>
      <c r="N544" s="10" t="s">
        <v>120</v>
      </c>
      <c r="O544" s="10" t="s">
        <v>236</v>
      </c>
      <c r="P544" s="12" t="s">
        <v>142</v>
      </c>
      <c r="Q544" s="18" t="s">
        <v>128</v>
      </c>
      <c r="R544" s="10" t="s">
        <v>133</v>
      </c>
      <c r="S544" s="12" t="s">
        <v>3357</v>
      </c>
      <c r="T544" s="12" t="s">
        <v>2442</v>
      </c>
      <c r="U544" s="12">
        <v>3004320061</v>
      </c>
      <c r="V544" s="5"/>
      <c r="W544" s="12" t="s">
        <v>3358</v>
      </c>
      <c r="X544" s="12" t="s">
        <v>136</v>
      </c>
      <c r="Y544" s="12" t="s">
        <v>3359</v>
      </c>
      <c r="Z544" s="12" t="s">
        <v>170</v>
      </c>
      <c r="AA544" s="20"/>
      <c r="AB544" s="20"/>
      <c r="AC544" s="16">
        <v>45780</v>
      </c>
      <c r="AD544" s="10" t="s">
        <v>148</v>
      </c>
    </row>
    <row r="545" spans="1:30" ht="15.75" customHeight="1" x14ac:dyDescent="0.25">
      <c r="A545" s="10" t="s">
        <v>77</v>
      </c>
      <c r="B545" s="10" t="s">
        <v>90</v>
      </c>
      <c r="C545" s="10" t="s">
        <v>175</v>
      </c>
      <c r="D545" s="10" t="s">
        <v>92</v>
      </c>
      <c r="E545" s="10">
        <v>1041690848</v>
      </c>
      <c r="F545" s="23" t="s">
        <v>1463</v>
      </c>
      <c r="G545" s="10" t="s">
        <v>655</v>
      </c>
      <c r="H545" s="10" t="s">
        <v>1464</v>
      </c>
      <c r="I545" s="13">
        <v>45853</v>
      </c>
      <c r="J545" s="10" t="str">
        <f t="shared" ca="1" si="64"/>
        <v xml:space="preserve">1  Años, 1  Mes, 11 Dias </v>
      </c>
      <c r="K545" s="10" t="s">
        <v>113</v>
      </c>
      <c r="L545" s="13">
        <v>38119</v>
      </c>
      <c r="M545" s="10">
        <f t="shared" ca="1" si="81"/>
        <v>22</v>
      </c>
      <c r="N545" s="10" t="s">
        <v>120</v>
      </c>
      <c r="O545" s="10" t="s">
        <v>122</v>
      </c>
      <c r="P545" s="10" t="s">
        <v>210</v>
      </c>
      <c r="Q545" s="18" t="s">
        <v>128</v>
      </c>
      <c r="R545" s="10" t="s">
        <v>133</v>
      </c>
      <c r="S545" s="10" t="s">
        <v>1467</v>
      </c>
      <c r="T545" s="10" t="s">
        <v>136</v>
      </c>
      <c r="U545" s="10">
        <v>3006712510</v>
      </c>
      <c r="V545" s="19"/>
      <c r="W545" s="10" t="s">
        <v>1468</v>
      </c>
      <c r="X545" s="10" t="s">
        <v>136</v>
      </c>
      <c r="Y545" s="19"/>
      <c r="Z545" s="19"/>
      <c r="AA545" s="10">
        <v>111014989</v>
      </c>
      <c r="AB545" s="10" t="s">
        <v>1146</v>
      </c>
      <c r="AC545" s="24"/>
      <c r="AD545" s="10" t="s">
        <v>209</v>
      </c>
    </row>
    <row r="546" spans="1:30" ht="15.75" customHeight="1" x14ac:dyDescent="0.25">
      <c r="A546" s="10" t="s">
        <v>77</v>
      </c>
      <c r="B546" s="10" t="s">
        <v>90</v>
      </c>
      <c r="C546" s="10" t="s">
        <v>175</v>
      </c>
      <c r="D546" s="10" t="s">
        <v>92</v>
      </c>
      <c r="E546" s="10">
        <v>1041690849</v>
      </c>
      <c r="F546" s="23" t="s">
        <v>1473</v>
      </c>
      <c r="G546" s="10" t="s">
        <v>11</v>
      </c>
      <c r="H546" s="10" t="s">
        <v>1475</v>
      </c>
      <c r="I546" s="13">
        <v>45859</v>
      </c>
      <c r="J546" s="10" t="str">
        <f t="shared" ca="1" si="64"/>
        <v xml:space="preserve">1  Años, 1  Mes, 5 Dias </v>
      </c>
      <c r="K546" s="10" t="s">
        <v>113</v>
      </c>
      <c r="L546" s="24"/>
      <c r="M546" s="19" t="str">
        <f t="shared" ca="1" si="81"/>
        <v/>
      </c>
      <c r="N546" s="10" t="s">
        <v>120</v>
      </c>
      <c r="O546" s="10" t="s">
        <v>122</v>
      </c>
      <c r="P546" s="19"/>
      <c r="Q546" s="18" t="s">
        <v>128</v>
      </c>
      <c r="R546" s="10" t="s">
        <v>133</v>
      </c>
      <c r="S546" s="19"/>
      <c r="T546" s="10" t="s">
        <v>151</v>
      </c>
      <c r="U546" s="10">
        <v>3006022341</v>
      </c>
      <c r="V546" s="19"/>
      <c r="W546" s="10" t="s">
        <v>1478</v>
      </c>
      <c r="X546" s="10" t="s">
        <v>136</v>
      </c>
      <c r="Y546" s="19"/>
      <c r="Z546" s="19"/>
      <c r="AA546" s="24"/>
      <c r="AB546" s="24"/>
      <c r="AC546" s="24"/>
      <c r="AD546" s="10" t="s">
        <v>209</v>
      </c>
    </row>
    <row r="547" spans="1:30" ht="15.75" customHeight="1" x14ac:dyDescent="0.25">
      <c r="A547" s="10" t="s">
        <v>77</v>
      </c>
      <c r="B547" s="10" t="s">
        <v>86</v>
      </c>
      <c r="C547" s="10" t="s">
        <v>91</v>
      </c>
      <c r="D547" s="10" t="s">
        <v>92</v>
      </c>
      <c r="E547" s="10">
        <v>73561447</v>
      </c>
      <c r="F547" s="23" t="s">
        <v>96</v>
      </c>
      <c r="G547" s="10" t="s">
        <v>26</v>
      </c>
      <c r="H547" s="10" t="s">
        <v>3360</v>
      </c>
      <c r="I547" s="13">
        <v>45162</v>
      </c>
      <c r="J547" s="10" t="str">
        <f t="shared" ca="1" si="64"/>
        <v xml:space="preserve">3  Años, 0  Mes, 2 Dias </v>
      </c>
      <c r="K547" s="10" t="s">
        <v>113</v>
      </c>
      <c r="L547" s="19"/>
      <c r="M547" s="19" t="str">
        <f t="shared" ca="1" si="81"/>
        <v/>
      </c>
      <c r="N547" s="10" t="s">
        <v>120</v>
      </c>
      <c r="O547" s="10" t="s">
        <v>122</v>
      </c>
      <c r="P547" s="10" t="s">
        <v>124</v>
      </c>
      <c r="Q547" s="18" t="s">
        <v>128</v>
      </c>
      <c r="R547" s="10" t="s">
        <v>133</v>
      </c>
      <c r="S547" s="10" t="s">
        <v>3361</v>
      </c>
      <c r="T547" s="10" t="s">
        <v>136</v>
      </c>
      <c r="U547" s="10">
        <v>3003571740</v>
      </c>
      <c r="V547" s="19"/>
      <c r="W547" s="10" t="s">
        <v>845</v>
      </c>
      <c r="X547" s="10" t="s">
        <v>136</v>
      </c>
      <c r="Y547" s="10" t="s">
        <v>203</v>
      </c>
      <c r="Z547" s="10" t="s">
        <v>255</v>
      </c>
      <c r="AA547" s="24"/>
      <c r="AB547" s="24"/>
      <c r="AC547" s="13">
        <v>45401</v>
      </c>
      <c r="AD547" s="24"/>
    </row>
    <row r="548" spans="1:30" ht="15.75" customHeight="1" x14ac:dyDescent="0.25">
      <c r="A548" s="10" t="s">
        <v>77</v>
      </c>
      <c r="B548" s="10" t="s">
        <v>86</v>
      </c>
      <c r="C548" s="10" t="s">
        <v>91</v>
      </c>
      <c r="D548" s="10" t="s">
        <v>92</v>
      </c>
      <c r="E548" s="12">
        <v>1002210640</v>
      </c>
      <c r="F548" s="15" t="s">
        <v>3362</v>
      </c>
      <c r="G548" s="10" t="s">
        <v>11</v>
      </c>
      <c r="H548" s="10" t="s">
        <v>3363</v>
      </c>
      <c r="I548" s="16">
        <v>45628</v>
      </c>
      <c r="J548" s="10" t="str">
        <f t="shared" ca="1" si="64"/>
        <v xml:space="preserve">1  Años, 8  Mes, 24 Dias </v>
      </c>
      <c r="K548" s="10" t="s">
        <v>113</v>
      </c>
      <c r="L548" s="19"/>
      <c r="M548" s="19" t="str">
        <f t="shared" ca="1" si="81"/>
        <v/>
      </c>
      <c r="N548" s="10" t="s">
        <v>120</v>
      </c>
      <c r="O548" s="10" t="s">
        <v>236</v>
      </c>
      <c r="P548" s="10" t="s">
        <v>142</v>
      </c>
      <c r="Q548" s="18" t="s">
        <v>128</v>
      </c>
      <c r="R548" s="10" t="s">
        <v>133</v>
      </c>
      <c r="S548" s="5"/>
      <c r="T548" s="10" t="s">
        <v>136</v>
      </c>
      <c r="U548" s="5"/>
      <c r="V548" s="5"/>
      <c r="W548" s="5"/>
      <c r="X548" s="5"/>
      <c r="Y548" s="5"/>
      <c r="Z548" s="12" t="s">
        <v>966</v>
      </c>
      <c r="AA548" s="20"/>
      <c r="AB548" s="20"/>
      <c r="AC548" s="16">
        <v>45708</v>
      </c>
      <c r="AD548" s="10" t="s">
        <v>1515</v>
      </c>
    </row>
    <row r="549" spans="1:30" ht="15.75" customHeight="1" x14ac:dyDescent="0.25">
      <c r="A549" s="10" t="s">
        <v>160</v>
      </c>
      <c r="B549" s="10" t="s">
        <v>86</v>
      </c>
      <c r="C549" s="10" t="s">
        <v>91</v>
      </c>
      <c r="D549" s="10" t="s">
        <v>92</v>
      </c>
      <c r="E549" s="37">
        <v>1140856369</v>
      </c>
      <c r="F549" s="110" t="s">
        <v>3364</v>
      </c>
      <c r="G549" s="10" t="s">
        <v>1353</v>
      </c>
      <c r="H549" s="10" t="s">
        <v>3365</v>
      </c>
      <c r="I549" s="13">
        <v>45162</v>
      </c>
      <c r="J549" s="10" t="str">
        <f t="shared" ca="1" si="64"/>
        <v xml:space="preserve">3  Años, 0  Mes, 2 Dias </v>
      </c>
      <c r="K549" s="19"/>
      <c r="L549" s="24"/>
      <c r="M549" s="19"/>
      <c r="N549" s="10" t="s">
        <v>120</v>
      </c>
      <c r="O549" s="10" t="s">
        <v>236</v>
      </c>
      <c r="P549" s="10" t="s">
        <v>142</v>
      </c>
      <c r="Q549" s="18" t="s">
        <v>128</v>
      </c>
      <c r="R549" s="10" t="s">
        <v>133</v>
      </c>
      <c r="S549" s="19"/>
      <c r="T549" s="19"/>
      <c r="U549" s="19"/>
      <c r="V549" s="19"/>
      <c r="W549" s="19"/>
      <c r="X549" s="19"/>
      <c r="Y549" s="19"/>
      <c r="Z549" s="19"/>
      <c r="AA549" s="24"/>
      <c r="AB549" s="24"/>
      <c r="AC549" s="13">
        <v>45399</v>
      </c>
      <c r="AD549" s="24"/>
    </row>
    <row r="550" spans="1:30" ht="17.25" customHeight="1" x14ac:dyDescent="0.25">
      <c r="A550" s="10" t="s">
        <v>160</v>
      </c>
      <c r="B550" s="10" t="s">
        <v>90</v>
      </c>
      <c r="C550" s="10" t="s">
        <v>175</v>
      </c>
      <c r="D550" s="10" t="s">
        <v>92</v>
      </c>
      <c r="E550" s="10">
        <v>1007133399</v>
      </c>
      <c r="F550" s="23" t="s">
        <v>692</v>
      </c>
      <c r="G550" s="10" t="s">
        <v>693</v>
      </c>
      <c r="H550" s="10" t="s">
        <v>694</v>
      </c>
      <c r="I550" s="13">
        <v>45831</v>
      </c>
      <c r="J550" s="10" t="str">
        <f t="shared" ca="1" si="64"/>
        <v xml:space="preserve">1  Años, 2  Mes, 3 Dias </v>
      </c>
      <c r="K550" s="10" t="s">
        <v>113</v>
      </c>
      <c r="L550" s="19"/>
      <c r="M550" s="19" t="str">
        <f t="shared" ref="M550:M552" ca="1" si="82">IF(L550=0,"", DATEDIF(L550,TODAY(),"y"))</f>
        <v/>
      </c>
      <c r="N550" s="10" t="s">
        <v>120</v>
      </c>
      <c r="O550" s="10" t="s">
        <v>122</v>
      </c>
      <c r="P550" s="10" t="s">
        <v>124</v>
      </c>
      <c r="Q550" s="18" t="s">
        <v>128</v>
      </c>
      <c r="R550" s="10" t="s">
        <v>133</v>
      </c>
      <c r="S550" s="10" t="s">
        <v>702</v>
      </c>
      <c r="T550" s="10" t="s">
        <v>136</v>
      </c>
      <c r="U550" s="10">
        <v>3148234907</v>
      </c>
      <c r="V550" s="19"/>
      <c r="W550" s="10" t="s">
        <v>703</v>
      </c>
      <c r="X550" s="10" t="s">
        <v>136</v>
      </c>
      <c r="Y550" s="10" t="s">
        <v>206</v>
      </c>
      <c r="Z550" s="10" t="s">
        <v>170</v>
      </c>
      <c r="AA550" s="24"/>
      <c r="AB550" s="24"/>
      <c r="AC550" s="24"/>
      <c r="AD550" s="10" t="s">
        <v>209</v>
      </c>
    </row>
    <row r="551" spans="1:30" ht="15.75" customHeight="1" x14ac:dyDescent="0.25">
      <c r="A551" s="10" t="s">
        <v>160</v>
      </c>
      <c r="B551" s="10" t="s">
        <v>86</v>
      </c>
      <c r="C551" s="10" t="s">
        <v>91</v>
      </c>
      <c r="D551" s="10" t="s">
        <v>92</v>
      </c>
      <c r="E551" s="10">
        <v>1143461622</v>
      </c>
      <c r="F551" s="23" t="s">
        <v>364</v>
      </c>
      <c r="G551" s="10" t="s">
        <v>365</v>
      </c>
      <c r="H551" s="19"/>
      <c r="I551" s="13">
        <v>45842</v>
      </c>
      <c r="J551" s="10" t="str">
        <f t="shared" ca="1" si="64"/>
        <v xml:space="preserve">1  Años, 1  Mes, 22 Dias </v>
      </c>
      <c r="K551" s="10" t="s">
        <v>113</v>
      </c>
      <c r="L551" s="24"/>
      <c r="M551" s="19" t="str">
        <f t="shared" ca="1" si="82"/>
        <v/>
      </c>
      <c r="N551" s="10" t="s">
        <v>120</v>
      </c>
      <c r="O551" s="10" t="s">
        <v>236</v>
      </c>
      <c r="P551" s="19"/>
      <c r="Q551" s="18" t="s">
        <v>128</v>
      </c>
      <c r="R551" s="19"/>
      <c r="S551" s="19"/>
      <c r="T551" s="10" t="s">
        <v>136</v>
      </c>
      <c r="U551" s="19"/>
      <c r="V551" s="19"/>
      <c r="W551" s="19"/>
      <c r="X551" s="10" t="s">
        <v>136</v>
      </c>
      <c r="Y551" s="19"/>
      <c r="Z551" s="19"/>
      <c r="AA551" s="10">
        <v>43400003756</v>
      </c>
      <c r="AB551" s="10" t="s">
        <v>393</v>
      </c>
      <c r="AC551" s="13">
        <v>45864</v>
      </c>
      <c r="AD551" s="10" t="s">
        <v>209</v>
      </c>
    </row>
    <row r="552" spans="1:30" ht="15.75" customHeight="1" x14ac:dyDescent="0.25">
      <c r="A552" s="10" t="s">
        <v>77</v>
      </c>
      <c r="B552" s="10" t="s">
        <v>86</v>
      </c>
      <c r="C552" s="10" t="s">
        <v>91</v>
      </c>
      <c r="D552" s="10" t="s">
        <v>92</v>
      </c>
      <c r="E552" s="10">
        <v>1143167689</v>
      </c>
      <c r="F552" s="23" t="s">
        <v>95</v>
      </c>
      <c r="G552" s="10" t="s">
        <v>11</v>
      </c>
      <c r="H552" s="10" t="s">
        <v>3366</v>
      </c>
      <c r="I552" s="30">
        <v>45209</v>
      </c>
      <c r="J552" s="10" t="str">
        <f t="shared" ca="1" si="64"/>
        <v xml:space="preserve">2  Años, 10  Mes, 16 Dias </v>
      </c>
      <c r="K552" s="10" t="s">
        <v>113</v>
      </c>
      <c r="L552" s="19"/>
      <c r="M552" s="19" t="str">
        <f t="shared" ca="1" si="82"/>
        <v/>
      </c>
      <c r="N552" s="10" t="s">
        <v>120</v>
      </c>
      <c r="O552" s="10" t="s">
        <v>236</v>
      </c>
      <c r="P552" s="10" t="s">
        <v>124</v>
      </c>
      <c r="Q552" s="18" t="s">
        <v>128</v>
      </c>
      <c r="R552" s="10" t="s">
        <v>133</v>
      </c>
      <c r="S552" s="10" t="s">
        <v>3367</v>
      </c>
      <c r="T552" s="10" t="s">
        <v>136</v>
      </c>
      <c r="U552" s="10">
        <v>3025501269</v>
      </c>
      <c r="V552" s="10">
        <v>3025501269</v>
      </c>
      <c r="W552" s="10" t="s">
        <v>3368</v>
      </c>
      <c r="X552" s="10" t="s">
        <v>136</v>
      </c>
      <c r="Y552" s="10" t="s">
        <v>169</v>
      </c>
      <c r="Z552" s="10" t="s">
        <v>216</v>
      </c>
      <c r="AA552" s="24"/>
      <c r="AB552" s="24"/>
      <c r="AC552" s="13">
        <v>45731</v>
      </c>
      <c r="AD552" s="10" t="s">
        <v>1515</v>
      </c>
    </row>
    <row r="553" spans="1:30" ht="15.75" customHeight="1" x14ac:dyDescent="0.25">
      <c r="A553" s="10" t="s">
        <v>160</v>
      </c>
      <c r="B553" s="10" t="s">
        <v>86</v>
      </c>
      <c r="C553" s="10" t="s">
        <v>91</v>
      </c>
      <c r="D553" s="10" t="s">
        <v>92</v>
      </c>
      <c r="E553" s="10">
        <v>1044638000</v>
      </c>
      <c r="F553" s="23" t="s">
        <v>3369</v>
      </c>
      <c r="G553" s="10" t="s">
        <v>848</v>
      </c>
      <c r="H553" s="10" t="s">
        <v>3370</v>
      </c>
      <c r="I553" s="13">
        <v>45188</v>
      </c>
      <c r="J553" s="10" t="str">
        <f t="shared" ca="1" si="64"/>
        <v xml:space="preserve">2  Años, 11  Mes, 7 Dias </v>
      </c>
      <c r="K553" s="10" t="s">
        <v>113</v>
      </c>
      <c r="L553" s="36">
        <v>36018</v>
      </c>
      <c r="M553" s="10">
        <v>26</v>
      </c>
      <c r="N553" s="10" t="s">
        <v>120</v>
      </c>
      <c r="O553" s="10" t="s">
        <v>236</v>
      </c>
      <c r="P553" s="10" t="s">
        <v>124</v>
      </c>
      <c r="Q553" s="18" t="s">
        <v>128</v>
      </c>
      <c r="R553" s="10" t="s">
        <v>133</v>
      </c>
      <c r="S553" s="10" t="s">
        <v>3371</v>
      </c>
      <c r="T553" s="10" t="s">
        <v>136</v>
      </c>
      <c r="U553" s="10">
        <v>3008573952</v>
      </c>
      <c r="V553" s="19"/>
      <c r="W553" s="19"/>
      <c r="X553" s="10" t="s">
        <v>136</v>
      </c>
      <c r="Y553" s="37" t="s">
        <v>155</v>
      </c>
      <c r="Z553" s="10" t="s">
        <v>170</v>
      </c>
      <c r="AA553" s="33"/>
      <c r="AB553" s="33"/>
      <c r="AC553" s="35">
        <v>45290</v>
      </c>
      <c r="AD553" s="19"/>
    </row>
    <row r="554" spans="1:30" ht="15.75" customHeight="1" x14ac:dyDescent="0.25">
      <c r="A554" s="10" t="s">
        <v>160</v>
      </c>
      <c r="B554" s="10" t="s">
        <v>86</v>
      </c>
      <c r="C554" s="10" t="s">
        <v>91</v>
      </c>
      <c r="D554" s="10" t="s">
        <v>92</v>
      </c>
      <c r="E554" s="12">
        <v>1044638000</v>
      </c>
      <c r="F554" s="148" t="s">
        <v>3369</v>
      </c>
      <c r="G554" s="12" t="s">
        <v>3372</v>
      </c>
      <c r="H554" s="5"/>
      <c r="I554" s="13">
        <v>45831</v>
      </c>
      <c r="J554" s="10" t="str">
        <f t="shared" ca="1" si="64"/>
        <v xml:space="preserve">1  Años, 2  Mes, 3 Dias </v>
      </c>
      <c r="K554" s="12" t="s">
        <v>113</v>
      </c>
      <c r="L554" s="16">
        <v>36107</v>
      </c>
      <c r="M554" s="10">
        <v>27</v>
      </c>
      <c r="N554" s="10" t="s">
        <v>120</v>
      </c>
      <c r="O554" s="10" t="s">
        <v>236</v>
      </c>
      <c r="P554" s="12" t="s">
        <v>142</v>
      </c>
      <c r="Q554" s="18" t="s">
        <v>128</v>
      </c>
      <c r="R554" s="10" t="s">
        <v>133</v>
      </c>
      <c r="S554" s="12" t="s">
        <v>3373</v>
      </c>
      <c r="T554" s="12" t="s">
        <v>136</v>
      </c>
      <c r="U554" s="12">
        <v>3008573952</v>
      </c>
      <c r="V554" s="5"/>
      <c r="W554" s="12" t="s">
        <v>3374</v>
      </c>
      <c r="X554" s="12" t="s">
        <v>136</v>
      </c>
      <c r="Y554" s="5"/>
      <c r="Z554" s="12" t="s">
        <v>72</v>
      </c>
      <c r="AA554" s="20"/>
      <c r="AB554" s="20"/>
      <c r="AC554" s="16">
        <v>45839</v>
      </c>
      <c r="AD554" s="10" t="s">
        <v>209</v>
      </c>
    </row>
    <row r="555" spans="1:30" ht="15.75" customHeight="1" x14ac:dyDescent="0.25">
      <c r="A555" s="10" t="s">
        <v>77</v>
      </c>
      <c r="B555" s="10" t="s">
        <v>86</v>
      </c>
      <c r="C555" s="10" t="s">
        <v>91</v>
      </c>
      <c r="D555" s="10" t="s">
        <v>92</v>
      </c>
      <c r="E555" s="10">
        <v>72211128</v>
      </c>
      <c r="F555" s="23" t="s">
        <v>98</v>
      </c>
      <c r="G555" s="10" t="s">
        <v>32</v>
      </c>
      <c r="H555" s="10" t="s">
        <v>3375</v>
      </c>
      <c r="I555" s="30">
        <v>45842</v>
      </c>
      <c r="J555" s="10" t="str">
        <f t="shared" ca="1" si="64"/>
        <v xml:space="preserve">1  Años, 1  Mes, 22 Dias </v>
      </c>
      <c r="K555" s="10" t="s">
        <v>113</v>
      </c>
      <c r="L555" s="63"/>
      <c r="M555" s="19" t="str">
        <f t="shared" ref="M555:M556" ca="1" si="83">IF(L555=0,"", DATEDIF(L555,TODAY(),"y"))</f>
        <v/>
      </c>
      <c r="N555" s="10" t="s">
        <v>120</v>
      </c>
      <c r="O555" s="10" t="s">
        <v>122</v>
      </c>
      <c r="P555" s="10" t="s">
        <v>124</v>
      </c>
      <c r="Q555" s="18" t="s">
        <v>128</v>
      </c>
      <c r="R555" s="10" t="s">
        <v>133</v>
      </c>
      <c r="S555" s="10" t="s">
        <v>3376</v>
      </c>
      <c r="T555" s="10" t="s">
        <v>136</v>
      </c>
      <c r="U555" s="10">
        <v>3003558861</v>
      </c>
      <c r="V555" s="10">
        <v>3003558861</v>
      </c>
      <c r="W555" s="10" t="s">
        <v>3377</v>
      </c>
      <c r="X555" s="10" t="s">
        <v>136</v>
      </c>
      <c r="Y555" s="10" t="s">
        <v>791</v>
      </c>
      <c r="Z555" s="10" t="s">
        <v>216</v>
      </c>
      <c r="AA555" s="13">
        <v>95760076369</v>
      </c>
      <c r="AB555" s="13" t="s">
        <v>393</v>
      </c>
      <c r="AC555" s="13">
        <v>45889</v>
      </c>
      <c r="AD555" s="10" t="s">
        <v>209</v>
      </c>
    </row>
    <row r="556" spans="1:30" ht="15.75" customHeight="1" x14ac:dyDescent="0.25">
      <c r="A556" s="10" t="s">
        <v>77</v>
      </c>
      <c r="B556" s="10" t="s">
        <v>90</v>
      </c>
      <c r="C556" s="10" t="s">
        <v>175</v>
      </c>
      <c r="D556" s="10" t="s">
        <v>92</v>
      </c>
      <c r="E556" s="12">
        <v>1068387809</v>
      </c>
      <c r="F556" s="15" t="s">
        <v>1269</v>
      </c>
      <c r="G556" s="10" t="s">
        <v>26</v>
      </c>
      <c r="H556" s="10" t="s">
        <v>1271</v>
      </c>
      <c r="I556" s="16">
        <v>45883</v>
      </c>
      <c r="J556" s="10" t="str">
        <f t="shared" ca="1" si="64"/>
        <v xml:space="preserve">1  Años, 0  Mes, 12 Dias </v>
      </c>
      <c r="K556" s="12" t="s">
        <v>113</v>
      </c>
      <c r="L556" s="16">
        <v>34032</v>
      </c>
      <c r="M556" s="10">
        <f t="shared" ca="1" si="83"/>
        <v>33</v>
      </c>
      <c r="N556" s="10" t="s">
        <v>120</v>
      </c>
      <c r="O556" s="10" t="s">
        <v>236</v>
      </c>
      <c r="P556" s="5"/>
      <c r="Q556" s="18" t="s">
        <v>128</v>
      </c>
      <c r="R556" s="10" t="s">
        <v>133</v>
      </c>
      <c r="S556" s="12" t="s">
        <v>1276</v>
      </c>
      <c r="T556" s="12" t="s">
        <v>136</v>
      </c>
      <c r="U556" s="12">
        <v>3001644994</v>
      </c>
      <c r="V556" s="5"/>
      <c r="W556" s="5"/>
      <c r="X556" s="10" t="s">
        <v>136</v>
      </c>
      <c r="Y556" s="5"/>
      <c r="Z556" s="5"/>
      <c r="AA556" s="31"/>
      <c r="AB556" s="31"/>
      <c r="AC556" s="31"/>
      <c r="AD556" s="10" t="s">
        <v>209</v>
      </c>
    </row>
    <row r="557" spans="1:30" ht="15.75" customHeight="1" x14ac:dyDescent="0.25">
      <c r="A557" s="10" t="s">
        <v>77</v>
      </c>
      <c r="B557" s="10" t="s">
        <v>86</v>
      </c>
      <c r="C557" s="10" t="s">
        <v>91</v>
      </c>
      <c r="D557" s="10" t="s">
        <v>92</v>
      </c>
      <c r="E557" s="10">
        <v>78733668</v>
      </c>
      <c r="F557" s="23" t="s">
        <v>3378</v>
      </c>
      <c r="G557" s="10" t="s">
        <v>26</v>
      </c>
      <c r="H557" s="10" t="s">
        <v>3379</v>
      </c>
      <c r="I557" s="16">
        <v>45499</v>
      </c>
      <c r="J557" s="10" t="str">
        <f t="shared" ca="1" si="64"/>
        <v xml:space="preserve">2  Años, 1  Mes, 0 Dias </v>
      </c>
      <c r="K557" s="10" t="s">
        <v>113</v>
      </c>
      <c r="L557" s="19"/>
      <c r="M557" s="19"/>
      <c r="N557" s="10" t="s">
        <v>120</v>
      </c>
      <c r="O557" s="10" t="s">
        <v>122</v>
      </c>
      <c r="P557" s="10" t="s">
        <v>142</v>
      </c>
      <c r="Q557" s="18" t="s">
        <v>128</v>
      </c>
      <c r="R557" s="10" t="s">
        <v>133</v>
      </c>
      <c r="S557" s="10" t="s">
        <v>3380</v>
      </c>
      <c r="T557" s="10" t="s">
        <v>136</v>
      </c>
      <c r="U557" s="10">
        <v>3016026142</v>
      </c>
      <c r="V557" s="19"/>
      <c r="W557" s="40" t="s">
        <v>3381</v>
      </c>
      <c r="X557" s="10" t="s">
        <v>136</v>
      </c>
      <c r="Y557" s="10" t="s">
        <v>539</v>
      </c>
      <c r="Z557" s="10" t="s">
        <v>1266</v>
      </c>
      <c r="AA557" s="33"/>
      <c r="AB557" s="33"/>
      <c r="AC557" s="35">
        <v>45656</v>
      </c>
      <c r="AD557" s="24"/>
    </row>
    <row r="558" spans="1:30" ht="15.75" customHeight="1" x14ac:dyDescent="0.25">
      <c r="A558" s="10" t="s">
        <v>77</v>
      </c>
      <c r="B558" s="10" t="s">
        <v>90</v>
      </c>
      <c r="C558" s="10" t="s">
        <v>175</v>
      </c>
      <c r="D558" s="10" t="s">
        <v>92</v>
      </c>
      <c r="E558" s="12">
        <v>72241513</v>
      </c>
      <c r="F558" s="23" t="s">
        <v>1118</v>
      </c>
      <c r="G558" s="12" t="s">
        <v>32</v>
      </c>
      <c r="H558" s="12" t="s">
        <v>1120</v>
      </c>
      <c r="I558" s="13">
        <v>45831</v>
      </c>
      <c r="J558" s="10" t="str">
        <f t="shared" ca="1" si="64"/>
        <v xml:space="preserve">1  Años, 2  Mes, 3 Dias </v>
      </c>
      <c r="K558" s="12" t="s">
        <v>113</v>
      </c>
      <c r="L558" s="20"/>
      <c r="M558" s="5"/>
      <c r="N558" s="10" t="s">
        <v>120</v>
      </c>
      <c r="O558" s="10" t="s">
        <v>277</v>
      </c>
      <c r="P558" s="12" t="s">
        <v>124</v>
      </c>
      <c r="Q558" s="18" t="s">
        <v>128</v>
      </c>
      <c r="R558" s="10" t="s">
        <v>133</v>
      </c>
      <c r="S558" s="12" t="s">
        <v>1127</v>
      </c>
      <c r="T558" s="12" t="s">
        <v>136</v>
      </c>
      <c r="U558" s="12" t="s">
        <v>1128</v>
      </c>
      <c r="V558" s="5"/>
      <c r="W558" s="12" t="s">
        <v>1129</v>
      </c>
      <c r="X558" s="12" t="s">
        <v>136</v>
      </c>
      <c r="Y558" s="5"/>
      <c r="Z558" s="12" t="s">
        <v>216</v>
      </c>
      <c r="AA558" s="20"/>
      <c r="AB558" s="20"/>
      <c r="AC558" s="20"/>
      <c r="AD558" s="13" t="s">
        <v>209</v>
      </c>
    </row>
    <row r="559" spans="1:30" ht="15.75" customHeight="1" x14ac:dyDescent="0.25">
      <c r="A559" s="10" t="s">
        <v>77</v>
      </c>
      <c r="B559" s="10" t="s">
        <v>90</v>
      </c>
      <c r="C559" s="10" t="s">
        <v>175</v>
      </c>
      <c r="D559" s="10" t="s">
        <v>92</v>
      </c>
      <c r="E559" s="12">
        <v>1052092211</v>
      </c>
      <c r="F559" s="23" t="s">
        <v>1860</v>
      </c>
      <c r="G559" s="10" t="s">
        <v>18</v>
      </c>
      <c r="H559" s="125" t="s">
        <v>1861</v>
      </c>
      <c r="I559" s="13">
        <v>45831</v>
      </c>
      <c r="J559" s="10" t="str">
        <f t="shared" ca="1" si="64"/>
        <v xml:space="preserve">1  Años, 2  Mes, 3 Dias </v>
      </c>
      <c r="K559" s="12" t="s">
        <v>113</v>
      </c>
      <c r="L559" s="16">
        <v>35041</v>
      </c>
      <c r="M559" s="10">
        <f ca="1">IF(L559=0,"", DATEDIF(L559,TODAY(),"y"))</f>
        <v>30</v>
      </c>
      <c r="N559" s="10" t="s">
        <v>120</v>
      </c>
      <c r="O559" s="10" t="s">
        <v>236</v>
      </c>
      <c r="P559" s="12" t="s">
        <v>142</v>
      </c>
      <c r="Q559" s="18" t="s">
        <v>128</v>
      </c>
      <c r="R559" s="10" t="s">
        <v>133</v>
      </c>
      <c r="S559" s="12" t="s">
        <v>1863</v>
      </c>
      <c r="T559" s="12" t="s">
        <v>151</v>
      </c>
      <c r="U559" s="12">
        <v>3235323198</v>
      </c>
      <c r="V559" s="5"/>
      <c r="W559" s="12" t="s">
        <v>1864</v>
      </c>
      <c r="X559" s="12" t="s">
        <v>136</v>
      </c>
      <c r="Y559" s="12" t="s">
        <v>203</v>
      </c>
      <c r="Z559" s="12" t="s">
        <v>170</v>
      </c>
      <c r="AA559" s="20"/>
      <c r="AB559" s="20"/>
      <c r="AC559" s="20"/>
      <c r="AD559" s="10" t="s">
        <v>209</v>
      </c>
    </row>
    <row r="560" spans="1:30" ht="15.75" customHeight="1" x14ac:dyDescent="0.25">
      <c r="A560" s="10" t="s">
        <v>77</v>
      </c>
      <c r="B560" s="10" t="s">
        <v>86</v>
      </c>
      <c r="C560" s="10" t="s">
        <v>91</v>
      </c>
      <c r="D560" s="10" t="s">
        <v>92</v>
      </c>
      <c r="E560" s="10">
        <v>1007321198</v>
      </c>
      <c r="F560" s="23" t="s">
        <v>3382</v>
      </c>
      <c r="G560" s="10" t="s">
        <v>26</v>
      </c>
      <c r="H560" s="10" t="s">
        <v>3383</v>
      </c>
      <c r="I560" s="13">
        <v>45469</v>
      </c>
      <c r="J560" s="10" t="str">
        <f t="shared" ca="1" si="64"/>
        <v xml:space="preserve">2  Años, 2  Mes, 0 Dias </v>
      </c>
      <c r="K560" s="10" t="s">
        <v>113</v>
      </c>
      <c r="L560" s="19"/>
      <c r="M560" s="19"/>
      <c r="N560" s="10" t="s">
        <v>120</v>
      </c>
      <c r="O560" s="10" t="s">
        <v>122</v>
      </c>
      <c r="P560" s="10" t="s">
        <v>142</v>
      </c>
      <c r="Q560" s="18" t="s">
        <v>128</v>
      </c>
      <c r="R560" s="10" t="s">
        <v>133</v>
      </c>
      <c r="S560" s="10" t="s">
        <v>3132</v>
      </c>
      <c r="T560" s="10" t="s">
        <v>136</v>
      </c>
      <c r="U560" s="10">
        <v>3227464436</v>
      </c>
      <c r="V560" s="19"/>
      <c r="W560" s="40" t="s">
        <v>3133</v>
      </c>
      <c r="X560" s="10" t="s">
        <v>136</v>
      </c>
      <c r="Y560" s="10" t="s">
        <v>155</v>
      </c>
      <c r="Z560" s="10" t="s">
        <v>170</v>
      </c>
      <c r="AA560" s="24"/>
      <c r="AB560" s="24"/>
      <c r="AC560" s="13">
        <v>45731</v>
      </c>
      <c r="AD560" s="10" t="s">
        <v>1515</v>
      </c>
    </row>
    <row r="561" spans="1:30" ht="15.75" customHeight="1" x14ac:dyDescent="0.25">
      <c r="A561" s="10" t="s">
        <v>77</v>
      </c>
      <c r="B561" s="10" t="s">
        <v>90</v>
      </c>
      <c r="C561" s="10" t="s">
        <v>175</v>
      </c>
      <c r="D561" s="10" t="s">
        <v>92</v>
      </c>
      <c r="E561" s="10">
        <v>1104008336</v>
      </c>
      <c r="F561" s="23" t="s">
        <v>304</v>
      </c>
      <c r="G561" s="10" t="s">
        <v>741</v>
      </c>
      <c r="H561" s="10" t="s">
        <v>1480</v>
      </c>
      <c r="I561" s="13">
        <v>45831</v>
      </c>
      <c r="J561" s="10" t="str">
        <f t="shared" ca="1" si="64"/>
        <v xml:space="preserve">1  Años, 2  Mes, 3 Dias </v>
      </c>
      <c r="K561" s="10" t="s">
        <v>113</v>
      </c>
      <c r="L561" s="19"/>
      <c r="M561" s="19" t="str">
        <f ca="1">IF(L561=0,"", DATEDIF(L561,TODAY(),"y"))</f>
        <v/>
      </c>
      <c r="N561" s="10" t="s">
        <v>120</v>
      </c>
      <c r="O561" s="10" t="s">
        <v>122</v>
      </c>
      <c r="P561" s="10" t="s">
        <v>142</v>
      </c>
      <c r="Q561" s="18" t="s">
        <v>128</v>
      </c>
      <c r="R561" s="10" t="s">
        <v>133</v>
      </c>
      <c r="S561" s="10" t="s">
        <v>1483</v>
      </c>
      <c r="T561" s="10" t="s">
        <v>136</v>
      </c>
      <c r="U561" s="10">
        <v>3207596406</v>
      </c>
      <c r="V561" s="19"/>
      <c r="W561" s="10" t="s">
        <v>1485</v>
      </c>
      <c r="X561" s="10" t="s">
        <v>136</v>
      </c>
      <c r="Y561" s="10" t="s">
        <v>206</v>
      </c>
      <c r="Z561" s="10" t="s">
        <v>216</v>
      </c>
      <c r="AA561" s="24"/>
      <c r="AB561" s="24"/>
      <c r="AC561" s="24"/>
      <c r="AD561" s="13" t="s">
        <v>209</v>
      </c>
    </row>
    <row r="562" spans="1:30" ht="15.75" customHeight="1" x14ac:dyDescent="0.25">
      <c r="A562" s="10" t="s">
        <v>77</v>
      </c>
      <c r="B562" s="10" t="s">
        <v>86</v>
      </c>
      <c r="C562" s="10" t="s">
        <v>175</v>
      </c>
      <c r="D562" s="12" t="s">
        <v>92</v>
      </c>
      <c r="E562" s="12">
        <v>1043000219</v>
      </c>
      <c r="F562" s="23" t="s">
        <v>3384</v>
      </c>
      <c r="G562" s="12" t="s">
        <v>11</v>
      </c>
      <c r="H562" s="12" t="s">
        <v>3385</v>
      </c>
      <c r="I562" s="13">
        <v>45831</v>
      </c>
      <c r="J562" s="10" t="str">
        <f t="shared" ca="1" si="64"/>
        <v xml:space="preserve">1  Años, 2  Mes, 3 Dias </v>
      </c>
      <c r="K562" s="12" t="s">
        <v>113</v>
      </c>
      <c r="L562" s="20"/>
      <c r="M562" s="5"/>
      <c r="N562" s="10" t="s">
        <v>120</v>
      </c>
      <c r="O562" s="10" t="s">
        <v>122</v>
      </c>
      <c r="P562" s="12" t="s">
        <v>142</v>
      </c>
      <c r="Q562" s="18" t="s">
        <v>128</v>
      </c>
      <c r="R562" s="12" t="s">
        <v>133</v>
      </c>
      <c r="S562" s="12" t="s">
        <v>3386</v>
      </c>
      <c r="T562" s="12" t="s">
        <v>136</v>
      </c>
      <c r="U562" s="12">
        <v>3046238274</v>
      </c>
      <c r="V562" s="5"/>
      <c r="W562" s="5"/>
      <c r="X562" s="12" t="s">
        <v>136</v>
      </c>
      <c r="Y562" s="12" t="s">
        <v>155</v>
      </c>
      <c r="Z562" s="12" t="s">
        <v>170</v>
      </c>
      <c r="AA562" s="5"/>
      <c r="AB562" s="5"/>
      <c r="AC562" s="20"/>
      <c r="AD562" s="10" t="s">
        <v>209</v>
      </c>
    </row>
    <row r="563" spans="1:30" ht="15.75" customHeight="1" x14ac:dyDescent="0.25">
      <c r="A563" s="10" t="s">
        <v>77</v>
      </c>
      <c r="B563" s="10" t="s">
        <v>86</v>
      </c>
      <c r="C563" s="10" t="s">
        <v>91</v>
      </c>
      <c r="D563" s="10" t="s">
        <v>92</v>
      </c>
      <c r="E563" s="29">
        <v>1048204889</v>
      </c>
      <c r="F563" s="146" t="s">
        <v>663</v>
      </c>
      <c r="G563" s="29" t="s">
        <v>26</v>
      </c>
      <c r="H563" s="29" t="s">
        <v>3387</v>
      </c>
      <c r="I563" s="39">
        <v>45416</v>
      </c>
      <c r="J563" s="10" t="str">
        <f t="shared" ca="1" si="64"/>
        <v xml:space="preserve">2  Años, 3  Mes, 22 Dias </v>
      </c>
      <c r="K563" s="29" t="s">
        <v>113</v>
      </c>
      <c r="L563" s="76"/>
      <c r="M563" s="76" t="str">
        <f t="shared" ref="M563:M564" ca="1" si="84">IF(L563=0,"", DATEDIF(L563,TODAY(),"y"))</f>
        <v/>
      </c>
      <c r="N563" s="29" t="s">
        <v>120</v>
      </c>
      <c r="O563" s="29" t="s">
        <v>122</v>
      </c>
      <c r="P563" s="29" t="s">
        <v>210</v>
      </c>
      <c r="Q563" s="29" t="s">
        <v>128</v>
      </c>
      <c r="R563" s="29" t="s">
        <v>133</v>
      </c>
      <c r="S563" s="29" t="s">
        <v>3388</v>
      </c>
      <c r="T563" s="29" t="s">
        <v>136</v>
      </c>
      <c r="U563" s="29">
        <v>3106048514</v>
      </c>
      <c r="V563" s="29">
        <v>3106048514</v>
      </c>
      <c r="W563" s="29" t="s">
        <v>3389</v>
      </c>
      <c r="X563" s="10" t="s">
        <v>136</v>
      </c>
      <c r="Y563" s="29" t="s">
        <v>253</v>
      </c>
      <c r="Z563" s="29" t="s">
        <v>170</v>
      </c>
      <c r="AA563" s="107"/>
      <c r="AB563" s="107"/>
      <c r="AC563" s="39">
        <v>45830</v>
      </c>
      <c r="AD563" s="29" t="s">
        <v>209</v>
      </c>
    </row>
    <row r="564" spans="1:30" ht="15.75" customHeight="1" x14ac:dyDescent="0.25">
      <c r="A564" s="10" t="s">
        <v>77</v>
      </c>
      <c r="B564" s="10" t="s">
        <v>90</v>
      </c>
      <c r="C564" s="10" t="s">
        <v>175</v>
      </c>
      <c r="D564" s="10" t="s">
        <v>92</v>
      </c>
      <c r="E564" s="10">
        <v>1130594323</v>
      </c>
      <c r="F564" s="23" t="s">
        <v>835</v>
      </c>
      <c r="G564" s="10" t="s">
        <v>26</v>
      </c>
      <c r="H564" s="10" t="s">
        <v>836</v>
      </c>
      <c r="I564" s="13">
        <v>45862</v>
      </c>
      <c r="J564" s="10" t="str">
        <f t="shared" ca="1" si="64"/>
        <v xml:space="preserve">1  Años, 1  Mes, 2 Dias </v>
      </c>
      <c r="K564" s="10" t="s">
        <v>113</v>
      </c>
      <c r="L564" s="13">
        <v>31980</v>
      </c>
      <c r="M564" s="10">
        <f t="shared" ca="1" si="84"/>
        <v>39</v>
      </c>
      <c r="N564" s="10" t="s">
        <v>120</v>
      </c>
      <c r="O564" s="10" t="s">
        <v>122</v>
      </c>
      <c r="P564" s="10" t="s">
        <v>142</v>
      </c>
      <c r="Q564" s="18" t="s">
        <v>648</v>
      </c>
      <c r="R564" s="10" t="s">
        <v>133</v>
      </c>
      <c r="S564" s="10" t="s">
        <v>840</v>
      </c>
      <c r="T564" s="10" t="s">
        <v>151</v>
      </c>
      <c r="U564" s="10">
        <v>3137884156</v>
      </c>
      <c r="V564" s="19"/>
      <c r="W564" s="10" t="s">
        <v>841</v>
      </c>
      <c r="X564" s="10" t="s">
        <v>136</v>
      </c>
      <c r="Y564" s="19"/>
      <c r="Z564" s="19"/>
      <c r="AA564" s="24"/>
      <c r="AB564" s="24"/>
      <c r="AC564" s="24"/>
      <c r="AD564" s="10" t="s">
        <v>209</v>
      </c>
    </row>
    <row r="565" spans="1:30" ht="15.75" customHeight="1" x14ac:dyDescent="0.25">
      <c r="A565" s="10" t="s">
        <v>77</v>
      </c>
      <c r="B565" s="10" t="s">
        <v>86</v>
      </c>
      <c r="C565" s="10" t="s">
        <v>91</v>
      </c>
      <c r="D565" s="10" t="s">
        <v>92</v>
      </c>
      <c r="E565" s="12">
        <v>1043876355</v>
      </c>
      <c r="F565" s="15" t="s">
        <v>3390</v>
      </c>
      <c r="G565" s="10" t="s">
        <v>26</v>
      </c>
      <c r="H565" s="12" t="s">
        <v>3391</v>
      </c>
      <c r="I565" s="53">
        <v>45649</v>
      </c>
      <c r="J565" s="5"/>
      <c r="K565" s="12" t="s">
        <v>113</v>
      </c>
      <c r="L565" s="53">
        <v>35217</v>
      </c>
      <c r="M565" s="12">
        <v>28</v>
      </c>
      <c r="N565" s="10" t="s">
        <v>120</v>
      </c>
      <c r="O565" s="10" t="s">
        <v>122</v>
      </c>
      <c r="P565" s="12" t="s">
        <v>142</v>
      </c>
      <c r="Q565" s="18" t="s">
        <v>128</v>
      </c>
      <c r="R565" s="12" t="s">
        <v>133</v>
      </c>
      <c r="S565" s="12" t="s">
        <v>3392</v>
      </c>
      <c r="T565" s="12" t="s">
        <v>136</v>
      </c>
      <c r="U565" s="12">
        <v>3028665155</v>
      </c>
      <c r="V565" s="5"/>
      <c r="W565" s="12" t="s">
        <v>3393</v>
      </c>
      <c r="X565" s="12" t="s">
        <v>136</v>
      </c>
      <c r="Y565" s="12" t="s">
        <v>574</v>
      </c>
      <c r="Z565" s="12" t="s">
        <v>170</v>
      </c>
      <c r="AA565" s="20"/>
      <c r="AB565" s="20"/>
      <c r="AC565" s="16">
        <v>45713</v>
      </c>
      <c r="AD565" s="13" t="s">
        <v>148</v>
      </c>
    </row>
    <row r="566" spans="1:30" ht="15.75" customHeight="1" x14ac:dyDescent="0.25">
      <c r="A566" s="10" t="s">
        <v>160</v>
      </c>
      <c r="B566" s="10" t="s">
        <v>86</v>
      </c>
      <c r="C566" s="10" t="s">
        <v>91</v>
      </c>
      <c r="D566" s="10" t="s">
        <v>92</v>
      </c>
      <c r="E566" s="12">
        <v>1068392203</v>
      </c>
      <c r="F566" s="15" t="s">
        <v>3394</v>
      </c>
      <c r="G566" s="12" t="s">
        <v>688</v>
      </c>
      <c r="H566" s="5"/>
      <c r="I566" s="16">
        <v>45789</v>
      </c>
      <c r="J566" s="10" t="str">
        <f t="shared" ref="J566:J603" ca="1" si="85">DATEDIF(I566,TODAY(),"Y")&amp;"  Años, "&amp;DATEDIF(I566,TODAY(),"Ym")&amp;"  Mes, "&amp;DATEDIF(I566,TODAY(),"MD")&amp;" Dias "</f>
        <v xml:space="preserve">1  Años, 3  Mes, 14 Dias </v>
      </c>
      <c r="K566" s="12" t="s">
        <v>113</v>
      </c>
      <c r="L566" s="13">
        <v>36408</v>
      </c>
      <c r="M566" s="10">
        <v>25</v>
      </c>
      <c r="N566" s="10" t="s">
        <v>120</v>
      </c>
      <c r="O566" s="10" t="s">
        <v>236</v>
      </c>
      <c r="P566" s="5"/>
      <c r="Q566" s="18" t="s">
        <v>128</v>
      </c>
      <c r="R566" s="10" t="s">
        <v>133</v>
      </c>
      <c r="S566" s="12" t="s">
        <v>3395</v>
      </c>
      <c r="T566" s="5"/>
      <c r="U566" s="12">
        <v>3011127782</v>
      </c>
      <c r="V566" s="5"/>
      <c r="W566" s="12" t="s">
        <v>3396</v>
      </c>
      <c r="X566" s="12" t="s">
        <v>136</v>
      </c>
      <c r="Y566" s="12" t="s">
        <v>539</v>
      </c>
      <c r="Z566" s="12" t="s">
        <v>72</v>
      </c>
      <c r="AA566" s="31"/>
      <c r="AB566" s="31"/>
      <c r="AC566" s="31"/>
      <c r="AD566" s="30" t="s">
        <v>209</v>
      </c>
    </row>
    <row r="567" spans="1:30" ht="15.75" customHeight="1" x14ac:dyDescent="0.25">
      <c r="A567" s="10" t="s">
        <v>77</v>
      </c>
      <c r="B567" s="10" t="s">
        <v>86</v>
      </c>
      <c r="C567" s="10" t="s">
        <v>91</v>
      </c>
      <c r="D567" s="10" t="s">
        <v>92</v>
      </c>
      <c r="E567" s="10">
        <v>1002027215</v>
      </c>
      <c r="F567" s="23" t="s">
        <v>89</v>
      </c>
      <c r="G567" s="10" t="s">
        <v>18</v>
      </c>
      <c r="H567" s="10" t="s">
        <v>3397</v>
      </c>
      <c r="I567" s="30">
        <v>45272</v>
      </c>
      <c r="J567" s="10" t="str">
        <f t="shared" ca="1" si="85"/>
        <v xml:space="preserve">2  Años, 8  Mes, 14 Dias </v>
      </c>
      <c r="K567" s="10" t="s">
        <v>113</v>
      </c>
      <c r="L567" s="19"/>
      <c r="M567" s="19" t="str">
        <f t="shared" ref="M567:M575" ca="1" si="86">IF(L567=0,"", DATEDIF(L567,TODAY(),"y"))</f>
        <v/>
      </c>
      <c r="N567" s="10" t="s">
        <v>120</v>
      </c>
      <c r="O567" s="10" t="s">
        <v>122</v>
      </c>
      <c r="P567" s="10" t="s">
        <v>210</v>
      </c>
      <c r="Q567" s="18" t="s">
        <v>128</v>
      </c>
      <c r="R567" s="10" t="s">
        <v>133</v>
      </c>
      <c r="S567" s="10" t="s">
        <v>3398</v>
      </c>
      <c r="T567" s="10" t="s">
        <v>136</v>
      </c>
      <c r="U567" s="10">
        <v>3004209055</v>
      </c>
      <c r="V567" s="10">
        <v>3004209055</v>
      </c>
      <c r="W567" s="10" t="s">
        <v>3399</v>
      </c>
      <c r="X567" s="10" t="s">
        <v>136</v>
      </c>
      <c r="Y567" s="10" t="s">
        <v>473</v>
      </c>
      <c r="Z567" s="10" t="s">
        <v>170</v>
      </c>
      <c r="AA567" s="24"/>
      <c r="AB567" s="24"/>
      <c r="AC567" s="13">
        <v>45331</v>
      </c>
      <c r="AD567" s="24"/>
    </row>
    <row r="568" spans="1:30" ht="15.75" customHeight="1" x14ac:dyDescent="0.25">
      <c r="A568" s="10" t="s">
        <v>77</v>
      </c>
      <c r="B568" s="10" t="s">
        <v>86</v>
      </c>
      <c r="C568" s="10" t="s">
        <v>91</v>
      </c>
      <c r="D568" s="10" t="s">
        <v>92</v>
      </c>
      <c r="E568" s="10">
        <v>1001823524</v>
      </c>
      <c r="F568" s="23" t="s">
        <v>3400</v>
      </c>
      <c r="G568" s="10" t="s">
        <v>11</v>
      </c>
      <c r="H568" s="10" t="s">
        <v>3401</v>
      </c>
      <c r="I568" s="13">
        <v>45323</v>
      </c>
      <c r="J568" s="10" t="str">
        <f t="shared" ca="1" si="85"/>
        <v xml:space="preserve">2  Años, 6  Mes, 25 Dias </v>
      </c>
      <c r="K568" s="10" t="s">
        <v>113</v>
      </c>
      <c r="L568" s="13">
        <v>36840</v>
      </c>
      <c r="M568" s="10">
        <f t="shared" ca="1" si="86"/>
        <v>25</v>
      </c>
      <c r="N568" s="10" t="s">
        <v>120</v>
      </c>
      <c r="O568" s="10" t="s">
        <v>236</v>
      </c>
      <c r="P568" s="10" t="s">
        <v>124</v>
      </c>
      <c r="Q568" s="18" t="s">
        <v>128</v>
      </c>
      <c r="R568" s="10" t="s">
        <v>133</v>
      </c>
      <c r="S568" s="10" t="s">
        <v>3402</v>
      </c>
      <c r="T568" s="10" t="s">
        <v>136</v>
      </c>
      <c r="U568" s="10">
        <v>3016709177</v>
      </c>
      <c r="V568" s="19"/>
      <c r="W568" s="40" t="s">
        <v>3403</v>
      </c>
      <c r="X568" s="10" t="s">
        <v>136</v>
      </c>
      <c r="Y568" s="10" t="s">
        <v>155</v>
      </c>
      <c r="Z568" s="10" t="s">
        <v>1208</v>
      </c>
      <c r="AA568" s="24"/>
      <c r="AB568" s="24"/>
      <c r="AC568" s="13">
        <v>45352</v>
      </c>
      <c r="AD568" s="24"/>
    </row>
    <row r="569" spans="1:30" ht="15.75" customHeight="1" x14ac:dyDescent="0.25">
      <c r="A569" s="10" t="s">
        <v>77</v>
      </c>
      <c r="B569" s="10" t="s">
        <v>86</v>
      </c>
      <c r="C569" s="10" t="s">
        <v>91</v>
      </c>
      <c r="D569" s="10" t="s">
        <v>92</v>
      </c>
      <c r="E569" s="10">
        <v>1045715732</v>
      </c>
      <c r="F569" s="43" t="s">
        <v>85</v>
      </c>
      <c r="G569" s="10" t="s">
        <v>18</v>
      </c>
      <c r="H569" s="10" t="s">
        <v>3404</v>
      </c>
      <c r="I569" s="13">
        <v>45423</v>
      </c>
      <c r="J569" s="10" t="str">
        <f t="shared" ca="1" si="85"/>
        <v xml:space="preserve">2  Años, 3  Mes, 15 Dias </v>
      </c>
      <c r="K569" s="10" t="s">
        <v>113</v>
      </c>
      <c r="L569" s="19"/>
      <c r="M569" s="19" t="str">
        <f t="shared" ca="1" si="86"/>
        <v/>
      </c>
      <c r="N569" s="10" t="s">
        <v>120</v>
      </c>
      <c r="O569" s="10" t="s">
        <v>122</v>
      </c>
      <c r="P569" s="10" t="s">
        <v>142</v>
      </c>
      <c r="Q569" s="18" t="s">
        <v>128</v>
      </c>
      <c r="R569" s="10" t="s">
        <v>133</v>
      </c>
      <c r="S569" s="10" t="s">
        <v>3405</v>
      </c>
      <c r="T569" s="10" t="s">
        <v>136</v>
      </c>
      <c r="U569" s="10">
        <v>3007414995</v>
      </c>
      <c r="V569" s="19"/>
      <c r="W569" s="10" t="s">
        <v>3406</v>
      </c>
      <c r="X569" s="10" t="s">
        <v>136</v>
      </c>
      <c r="Y569" s="10" t="s">
        <v>206</v>
      </c>
      <c r="Z569" s="10" t="s">
        <v>170</v>
      </c>
      <c r="AA569" s="24"/>
      <c r="AB569" s="24"/>
      <c r="AC569" s="13">
        <v>45731</v>
      </c>
      <c r="AD569" s="13" t="s">
        <v>1515</v>
      </c>
    </row>
    <row r="570" spans="1:30" ht="15.75" customHeight="1" x14ac:dyDescent="0.25">
      <c r="A570" s="10" t="s">
        <v>77</v>
      </c>
      <c r="B570" s="10" t="s">
        <v>86</v>
      </c>
      <c r="C570" s="10" t="s">
        <v>91</v>
      </c>
      <c r="D570" s="10" t="s">
        <v>92</v>
      </c>
      <c r="E570" s="10">
        <v>1002182876</v>
      </c>
      <c r="F570" s="23" t="s">
        <v>83</v>
      </c>
      <c r="G570" s="10" t="s">
        <v>18</v>
      </c>
      <c r="H570" s="10" t="s">
        <v>3407</v>
      </c>
      <c r="I570" s="13">
        <v>45395</v>
      </c>
      <c r="J570" s="10" t="str">
        <f t="shared" ca="1" si="85"/>
        <v xml:space="preserve">2  Años, 4  Mes, 13 Dias </v>
      </c>
      <c r="K570" s="10" t="s">
        <v>113</v>
      </c>
      <c r="L570" s="19"/>
      <c r="M570" s="19" t="str">
        <f t="shared" ca="1" si="86"/>
        <v/>
      </c>
      <c r="N570" s="10" t="s">
        <v>120</v>
      </c>
      <c r="O570" s="10" t="s">
        <v>122</v>
      </c>
      <c r="P570" s="10" t="s">
        <v>142</v>
      </c>
      <c r="Q570" s="18" t="s">
        <v>128</v>
      </c>
      <c r="R570" s="10" t="s">
        <v>133</v>
      </c>
      <c r="S570" s="10" t="s">
        <v>3408</v>
      </c>
      <c r="T570" s="10" t="s">
        <v>136</v>
      </c>
      <c r="U570" s="10">
        <v>3242778518</v>
      </c>
      <c r="V570" s="19"/>
      <c r="W570" s="10" t="s">
        <v>3409</v>
      </c>
      <c r="X570" s="10" t="s">
        <v>136</v>
      </c>
      <c r="Y570" s="10" t="s">
        <v>206</v>
      </c>
      <c r="Z570" s="10" t="s">
        <v>170</v>
      </c>
      <c r="AA570" s="24"/>
      <c r="AB570" s="24"/>
      <c r="AC570" s="13">
        <v>45830</v>
      </c>
      <c r="AD570" s="13" t="s">
        <v>209</v>
      </c>
    </row>
    <row r="571" spans="1:30" ht="15.75" customHeight="1" x14ac:dyDescent="0.25">
      <c r="A571" s="10" t="s">
        <v>77</v>
      </c>
      <c r="B571" s="10" t="s">
        <v>86</v>
      </c>
      <c r="C571" s="10" t="s">
        <v>91</v>
      </c>
      <c r="D571" s="10" t="s">
        <v>92</v>
      </c>
      <c r="E571" s="10">
        <v>72328728</v>
      </c>
      <c r="F571" s="23" t="s">
        <v>81</v>
      </c>
      <c r="G571" s="10" t="s">
        <v>26</v>
      </c>
      <c r="H571" s="10" t="s">
        <v>3410</v>
      </c>
      <c r="I571" s="30">
        <v>45251</v>
      </c>
      <c r="J571" s="10" t="str">
        <f t="shared" ca="1" si="85"/>
        <v xml:space="preserve">2  Años, 9  Mes, 5 Dias </v>
      </c>
      <c r="K571" s="10" t="s">
        <v>113</v>
      </c>
      <c r="L571" s="19"/>
      <c r="M571" s="19" t="str">
        <f t="shared" ca="1" si="86"/>
        <v/>
      </c>
      <c r="N571" s="10" t="s">
        <v>120</v>
      </c>
      <c r="O571" s="10" t="s">
        <v>122</v>
      </c>
      <c r="P571" s="10" t="s">
        <v>124</v>
      </c>
      <c r="Q571" s="18" t="s">
        <v>128</v>
      </c>
      <c r="R571" s="10" t="s">
        <v>133</v>
      </c>
      <c r="S571" s="10" t="s">
        <v>3411</v>
      </c>
      <c r="T571" s="10" t="s">
        <v>136</v>
      </c>
      <c r="U571" s="10">
        <v>3016335021</v>
      </c>
      <c r="V571" s="10">
        <v>3016335021</v>
      </c>
      <c r="W571" s="10" t="s">
        <v>3412</v>
      </c>
      <c r="X571" s="10" t="s">
        <v>136</v>
      </c>
      <c r="Y571" s="10" t="s">
        <v>791</v>
      </c>
      <c r="Z571" s="10" t="s">
        <v>216</v>
      </c>
      <c r="AA571" s="24"/>
      <c r="AB571" s="24"/>
      <c r="AC571" s="13">
        <v>45363</v>
      </c>
      <c r="AD571" s="24"/>
    </row>
    <row r="572" spans="1:30" ht="15.75" customHeight="1" x14ac:dyDescent="0.25">
      <c r="A572" s="10" t="s">
        <v>77</v>
      </c>
      <c r="B572" s="10" t="s">
        <v>90</v>
      </c>
      <c r="C572" s="10" t="s">
        <v>175</v>
      </c>
      <c r="D572" s="10" t="s">
        <v>92</v>
      </c>
      <c r="E572" s="10">
        <v>1005575305</v>
      </c>
      <c r="F572" s="23" t="s">
        <v>1492</v>
      </c>
      <c r="G572" s="10" t="s">
        <v>18</v>
      </c>
      <c r="H572" s="10" t="s">
        <v>1493</v>
      </c>
      <c r="I572" s="13">
        <v>45847</v>
      </c>
      <c r="J572" s="10" t="str">
        <f t="shared" ca="1" si="85"/>
        <v xml:space="preserve">1  Años, 1  Mes, 17 Dias </v>
      </c>
      <c r="K572" s="10" t="s">
        <v>113</v>
      </c>
      <c r="L572" s="13">
        <v>33490</v>
      </c>
      <c r="M572" s="10">
        <f t="shared" ca="1" si="86"/>
        <v>34</v>
      </c>
      <c r="N572" s="10" t="s">
        <v>120</v>
      </c>
      <c r="O572" s="10" t="s">
        <v>122</v>
      </c>
      <c r="P572" s="10" t="s">
        <v>142</v>
      </c>
      <c r="Q572" s="18" t="s">
        <v>128</v>
      </c>
      <c r="R572" s="10" t="s">
        <v>133</v>
      </c>
      <c r="S572" s="19"/>
      <c r="T572" s="10" t="s">
        <v>136</v>
      </c>
      <c r="U572" s="10">
        <v>3215627486</v>
      </c>
      <c r="V572" s="19"/>
      <c r="W572" s="10" t="s">
        <v>1500</v>
      </c>
      <c r="X572" s="10" t="s">
        <v>136</v>
      </c>
      <c r="Y572" s="19"/>
      <c r="Z572" s="19"/>
      <c r="AA572" s="13">
        <v>3215627486</v>
      </c>
      <c r="AB572" s="13" t="s">
        <v>420</v>
      </c>
      <c r="AC572" s="24"/>
      <c r="AD572" s="13" t="s">
        <v>209</v>
      </c>
    </row>
    <row r="573" spans="1:30" ht="15.75" customHeight="1" x14ac:dyDescent="0.25">
      <c r="A573" s="10" t="s">
        <v>77</v>
      </c>
      <c r="B573" s="10" t="s">
        <v>86</v>
      </c>
      <c r="C573" s="10" t="s">
        <v>91</v>
      </c>
      <c r="D573" s="10" t="s">
        <v>92</v>
      </c>
      <c r="E573" s="10">
        <v>72149857</v>
      </c>
      <c r="F573" s="23" t="s">
        <v>78</v>
      </c>
      <c r="G573" s="10" t="s">
        <v>741</v>
      </c>
      <c r="H573" s="10" t="s">
        <v>3413</v>
      </c>
      <c r="I573" s="13">
        <v>44843</v>
      </c>
      <c r="J573" s="10" t="str">
        <f t="shared" ca="1" si="85"/>
        <v xml:space="preserve">3  Años, 10  Mes, 17 Dias </v>
      </c>
      <c r="K573" s="10" t="s">
        <v>113</v>
      </c>
      <c r="L573" s="19"/>
      <c r="M573" s="19" t="str">
        <f t="shared" ca="1" si="86"/>
        <v/>
      </c>
      <c r="N573" s="10" t="s">
        <v>120</v>
      </c>
      <c r="O573" s="10" t="s">
        <v>122</v>
      </c>
      <c r="P573" s="10" t="s">
        <v>142</v>
      </c>
      <c r="Q573" s="18" t="s">
        <v>128</v>
      </c>
      <c r="R573" s="10" t="s">
        <v>133</v>
      </c>
      <c r="S573" s="10" t="s">
        <v>3414</v>
      </c>
      <c r="T573" s="10" t="s">
        <v>136</v>
      </c>
      <c r="U573" s="10">
        <v>3002253638</v>
      </c>
      <c r="V573" s="19"/>
      <c r="W573" s="10" t="s">
        <v>3415</v>
      </c>
      <c r="X573" s="10" t="s">
        <v>136</v>
      </c>
      <c r="Y573" s="10" t="s">
        <v>253</v>
      </c>
      <c r="Z573" s="10" t="s">
        <v>216</v>
      </c>
      <c r="AA573" s="24"/>
      <c r="AB573" s="24"/>
      <c r="AC573" s="24"/>
      <c r="AD573" s="13" t="s">
        <v>209</v>
      </c>
    </row>
    <row r="574" spans="1:30" ht="15.75" customHeight="1" x14ac:dyDescent="0.25">
      <c r="A574" s="10" t="s">
        <v>77</v>
      </c>
      <c r="B574" s="10" t="s">
        <v>86</v>
      </c>
      <c r="C574" s="10" t="s">
        <v>91</v>
      </c>
      <c r="D574" s="10" t="s">
        <v>92</v>
      </c>
      <c r="E574" s="10">
        <v>78703850</v>
      </c>
      <c r="F574" s="23" t="s">
        <v>76</v>
      </c>
      <c r="G574" s="10" t="s">
        <v>18</v>
      </c>
      <c r="H574" s="10" t="s">
        <v>3416</v>
      </c>
      <c r="I574" s="13">
        <v>44843</v>
      </c>
      <c r="J574" s="10" t="str">
        <f t="shared" ca="1" si="85"/>
        <v xml:space="preserve">3  Años, 10  Mes, 17 Dias </v>
      </c>
      <c r="K574" s="10" t="s">
        <v>113</v>
      </c>
      <c r="L574" s="24"/>
      <c r="M574" s="19" t="str">
        <f t="shared" ca="1" si="86"/>
        <v/>
      </c>
      <c r="N574" s="10" t="s">
        <v>120</v>
      </c>
      <c r="O574" s="10" t="s">
        <v>122</v>
      </c>
      <c r="P574" s="10" t="s">
        <v>142</v>
      </c>
      <c r="Q574" s="18" t="s">
        <v>128</v>
      </c>
      <c r="R574" s="10" t="s">
        <v>133</v>
      </c>
      <c r="S574" s="10" t="s">
        <v>3417</v>
      </c>
      <c r="T574" s="10" t="s">
        <v>136</v>
      </c>
      <c r="U574" s="10">
        <v>3205629672</v>
      </c>
      <c r="V574" s="19"/>
      <c r="W574" s="10" t="s">
        <v>3418</v>
      </c>
      <c r="X574" s="10" t="s">
        <v>136</v>
      </c>
      <c r="Y574" s="10" t="s">
        <v>206</v>
      </c>
      <c r="Z574" s="10" t="s">
        <v>170</v>
      </c>
      <c r="AA574" s="33"/>
      <c r="AB574" s="33"/>
      <c r="AC574" s="35">
        <v>44896</v>
      </c>
      <c r="AD574" s="19"/>
    </row>
    <row r="575" spans="1:30" ht="15.75" customHeight="1" x14ac:dyDescent="0.25">
      <c r="A575" s="10" t="s">
        <v>160</v>
      </c>
      <c r="B575" s="10" t="s">
        <v>86</v>
      </c>
      <c r="C575" s="10" t="s">
        <v>91</v>
      </c>
      <c r="D575" s="10" t="s">
        <v>92</v>
      </c>
      <c r="E575" s="10">
        <v>8781433</v>
      </c>
      <c r="F575" s="23" t="s">
        <v>3419</v>
      </c>
      <c r="G575" s="10" t="s">
        <v>754</v>
      </c>
      <c r="H575" s="10" t="s">
        <v>3420</v>
      </c>
      <c r="I575" s="13">
        <v>44843</v>
      </c>
      <c r="J575" s="10" t="str">
        <f t="shared" ca="1" si="85"/>
        <v xml:space="preserve">3  Años, 10  Mes, 17 Dias </v>
      </c>
      <c r="K575" s="10" t="s">
        <v>113</v>
      </c>
      <c r="L575" s="19"/>
      <c r="M575" s="19" t="str">
        <f t="shared" ca="1" si="86"/>
        <v/>
      </c>
      <c r="N575" s="10" t="s">
        <v>120</v>
      </c>
      <c r="O575" s="10" t="s">
        <v>122</v>
      </c>
      <c r="P575" s="10" t="s">
        <v>142</v>
      </c>
      <c r="Q575" s="18" t="s">
        <v>128</v>
      </c>
      <c r="R575" s="10" t="s">
        <v>133</v>
      </c>
      <c r="S575" s="10" t="s">
        <v>3421</v>
      </c>
      <c r="T575" s="10" t="s">
        <v>136</v>
      </c>
      <c r="U575" s="10">
        <v>3014743184</v>
      </c>
      <c r="V575" s="19"/>
      <c r="W575" s="10" t="s">
        <v>3422</v>
      </c>
      <c r="X575" s="10" t="s">
        <v>136</v>
      </c>
      <c r="Y575" s="10" t="s">
        <v>1299</v>
      </c>
      <c r="Z575" s="10" t="s">
        <v>170</v>
      </c>
      <c r="AA575" s="24"/>
      <c r="AB575" s="24"/>
      <c r="AC575" s="13">
        <v>45343</v>
      </c>
      <c r="AD575" s="24"/>
    </row>
    <row r="576" spans="1:30" ht="15.75" customHeight="1" x14ac:dyDescent="0.25">
      <c r="A576" s="10" t="s">
        <v>77</v>
      </c>
      <c r="B576" s="10" t="s">
        <v>86</v>
      </c>
      <c r="C576" s="10" t="s">
        <v>91</v>
      </c>
      <c r="D576" s="12" t="s">
        <v>92</v>
      </c>
      <c r="E576" s="12">
        <v>1143257483</v>
      </c>
      <c r="F576" s="15" t="s">
        <v>3423</v>
      </c>
      <c r="G576" s="12" t="s">
        <v>11</v>
      </c>
      <c r="H576" s="10" t="s">
        <v>3424</v>
      </c>
      <c r="I576" s="16">
        <v>45631</v>
      </c>
      <c r="J576" s="10" t="str">
        <f t="shared" ca="1" si="85"/>
        <v xml:space="preserve">1  Años, 8  Mes, 21 Dias </v>
      </c>
      <c r="K576" s="12" t="s">
        <v>113</v>
      </c>
      <c r="L576" s="20"/>
      <c r="M576" s="5"/>
      <c r="N576" s="10" t="s">
        <v>120</v>
      </c>
      <c r="O576" s="10" t="s">
        <v>236</v>
      </c>
      <c r="P576" s="12" t="s">
        <v>142</v>
      </c>
      <c r="Q576" s="18" t="s">
        <v>128</v>
      </c>
      <c r="R576" s="12" t="s">
        <v>133</v>
      </c>
      <c r="S576" s="12" t="s">
        <v>3425</v>
      </c>
      <c r="T576" s="12" t="s">
        <v>136</v>
      </c>
      <c r="U576" s="12">
        <v>3009440709</v>
      </c>
      <c r="V576" s="5"/>
      <c r="W576" s="5"/>
      <c r="X576" s="12" t="s">
        <v>136</v>
      </c>
      <c r="Y576" s="5"/>
      <c r="Z576" s="5"/>
      <c r="AA576" s="31"/>
      <c r="AB576" s="31"/>
      <c r="AC576" s="53">
        <v>45638</v>
      </c>
      <c r="AD576" s="31"/>
    </row>
    <row r="577" spans="1:30" ht="15.75" customHeight="1" x14ac:dyDescent="0.25">
      <c r="A577" s="10" t="s">
        <v>77</v>
      </c>
      <c r="B577" s="10" t="s">
        <v>86</v>
      </c>
      <c r="C577" s="10" t="s">
        <v>91</v>
      </c>
      <c r="D577" s="10" t="s">
        <v>92</v>
      </c>
      <c r="E577" s="10">
        <v>1045231373</v>
      </c>
      <c r="F577" s="23" t="s">
        <v>74</v>
      </c>
      <c r="G577" s="10" t="s">
        <v>11</v>
      </c>
      <c r="H577" s="10" t="s">
        <v>3426</v>
      </c>
      <c r="I577" s="13">
        <v>44843</v>
      </c>
      <c r="J577" s="10" t="str">
        <f t="shared" ca="1" si="85"/>
        <v xml:space="preserve">3  Años, 10  Mes, 17 Dias </v>
      </c>
      <c r="K577" s="10" t="s">
        <v>113</v>
      </c>
      <c r="L577" s="19"/>
      <c r="M577" s="19" t="str">
        <f t="shared" ref="M577:M584" ca="1" si="87">IF(L577=0,"", DATEDIF(L577,TODAY(),"y"))</f>
        <v/>
      </c>
      <c r="N577" s="10" t="s">
        <v>120</v>
      </c>
      <c r="O577" s="10" t="s">
        <v>122</v>
      </c>
      <c r="P577" s="10" t="s">
        <v>142</v>
      </c>
      <c r="Q577" s="18" t="s">
        <v>128</v>
      </c>
      <c r="R577" s="10" t="s">
        <v>133</v>
      </c>
      <c r="S577" s="10" t="s">
        <v>3427</v>
      </c>
      <c r="T577" s="10" t="s">
        <v>136</v>
      </c>
      <c r="U577" s="10">
        <v>3136059072</v>
      </c>
      <c r="V577" s="19"/>
      <c r="W577" s="10" t="s">
        <v>3428</v>
      </c>
      <c r="X577" s="10" t="s">
        <v>136</v>
      </c>
      <c r="Y577" s="10" t="s">
        <v>203</v>
      </c>
      <c r="Z577" s="10" t="s">
        <v>216</v>
      </c>
      <c r="AA577" s="63"/>
      <c r="AB577" s="63"/>
      <c r="AC577" s="30" t="s">
        <v>3429</v>
      </c>
      <c r="AD577" s="19"/>
    </row>
    <row r="578" spans="1:30" ht="15.75" customHeight="1" x14ac:dyDescent="0.25">
      <c r="A578" s="10" t="s">
        <v>77</v>
      </c>
      <c r="B578" s="10" t="s">
        <v>86</v>
      </c>
      <c r="C578" s="10" t="s">
        <v>91</v>
      </c>
      <c r="D578" s="10" t="s">
        <v>92</v>
      </c>
      <c r="E578" s="10">
        <v>1143440660</v>
      </c>
      <c r="F578" s="23" t="s">
        <v>71</v>
      </c>
      <c r="G578" s="10" t="s">
        <v>18</v>
      </c>
      <c r="H578" s="10" t="s">
        <v>3430</v>
      </c>
      <c r="I578" s="13">
        <v>44843</v>
      </c>
      <c r="J578" s="10" t="str">
        <f t="shared" ca="1" si="85"/>
        <v xml:space="preserve">3  Años, 10  Mes, 17 Dias </v>
      </c>
      <c r="K578" s="10" t="s">
        <v>113</v>
      </c>
      <c r="L578" s="108"/>
      <c r="M578" s="19" t="str">
        <f t="shared" ca="1" si="87"/>
        <v/>
      </c>
      <c r="N578" s="10" t="s">
        <v>120</v>
      </c>
      <c r="O578" s="10" t="s">
        <v>122</v>
      </c>
      <c r="P578" s="10" t="s">
        <v>142</v>
      </c>
      <c r="Q578" s="18" t="s">
        <v>128</v>
      </c>
      <c r="R578" s="10" t="s">
        <v>133</v>
      </c>
      <c r="S578" s="10" t="s">
        <v>3431</v>
      </c>
      <c r="T578" s="10" t="s">
        <v>136</v>
      </c>
      <c r="U578" s="10">
        <v>3014044552</v>
      </c>
      <c r="V578" s="19"/>
      <c r="W578" s="10" t="s">
        <v>3432</v>
      </c>
      <c r="X578" s="10" t="s">
        <v>136</v>
      </c>
      <c r="Y578" s="10" t="s">
        <v>206</v>
      </c>
      <c r="Z578" s="10" t="s">
        <v>170</v>
      </c>
      <c r="AA578" s="24"/>
      <c r="AB578" s="24"/>
      <c r="AC578" s="13">
        <v>45336</v>
      </c>
      <c r="AD578" s="24"/>
    </row>
    <row r="579" spans="1:30" ht="15.75" customHeight="1" x14ac:dyDescent="0.25">
      <c r="A579" s="10" t="s">
        <v>160</v>
      </c>
      <c r="B579" s="10" t="s">
        <v>86</v>
      </c>
      <c r="C579" s="10" t="s">
        <v>91</v>
      </c>
      <c r="D579" s="10" t="s">
        <v>92</v>
      </c>
      <c r="E579" s="10">
        <v>1002092387</v>
      </c>
      <c r="F579" s="23" t="s">
        <v>3433</v>
      </c>
      <c r="G579" s="10" t="s">
        <v>3434</v>
      </c>
      <c r="H579" s="10" t="s">
        <v>3435</v>
      </c>
      <c r="I579" s="13">
        <v>44843</v>
      </c>
      <c r="J579" s="10" t="str">
        <f t="shared" ca="1" si="85"/>
        <v xml:space="preserve">3  Años, 10  Mes, 17 Dias </v>
      </c>
      <c r="K579" s="10" t="s">
        <v>113</v>
      </c>
      <c r="L579" s="19"/>
      <c r="M579" s="19" t="str">
        <f t="shared" ca="1" si="87"/>
        <v/>
      </c>
      <c r="N579" s="10" t="s">
        <v>120</v>
      </c>
      <c r="O579" s="10" t="s">
        <v>122</v>
      </c>
      <c r="P579" s="10" t="s">
        <v>142</v>
      </c>
      <c r="Q579" s="18" t="s">
        <v>128</v>
      </c>
      <c r="R579" s="10" t="s">
        <v>133</v>
      </c>
      <c r="S579" s="10" t="s">
        <v>3436</v>
      </c>
      <c r="T579" s="10" t="s">
        <v>136</v>
      </c>
      <c r="U579" s="10">
        <v>3124695681</v>
      </c>
      <c r="V579" s="19"/>
      <c r="W579" s="10" t="s">
        <v>3437</v>
      </c>
      <c r="X579" s="10" t="s">
        <v>136</v>
      </c>
      <c r="Y579" s="10" t="s">
        <v>203</v>
      </c>
      <c r="Z579" s="10" t="s">
        <v>216</v>
      </c>
      <c r="AA579" s="24"/>
      <c r="AB579" s="24"/>
      <c r="AC579" s="13">
        <v>45339</v>
      </c>
      <c r="AD579" s="24"/>
    </row>
    <row r="580" spans="1:30" ht="15.75" customHeight="1" x14ac:dyDescent="0.25">
      <c r="A580" s="10" t="s">
        <v>160</v>
      </c>
      <c r="B580" s="10" t="s">
        <v>86</v>
      </c>
      <c r="C580" s="10" t="s">
        <v>91</v>
      </c>
      <c r="D580" s="10" t="s">
        <v>92</v>
      </c>
      <c r="E580" s="10">
        <v>1001824247</v>
      </c>
      <c r="F580" s="23" t="s">
        <v>3438</v>
      </c>
      <c r="G580" s="10" t="s">
        <v>583</v>
      </c>
      <c r="H580" s="10" t="s">
        <v>3439</v>
      </c>
      <c r="I580" s="13">
        <v>44986</v>
      </c>
      <c r="J580" s="10" t="str">
        <f t="shared" ca="1" si="85"/>
        <v xml:space="preserve">3  Años, 5  Mes, 25 Dias </v>
      </c>
      <c r="K580" s="10" t="s">
        <v>113</v>
      </c>
      <c r="L580" s="24"/>
      <c r="M580" s="19" t="str">
        <f t="shared" ca="1" si="87"/>
        <v/>
      </c>
      <c r="N580" s="10" t="s">
        <v>120</v>
      </c>
      <c r="O580" s="10" t="s">
        <v>122</v>
      </c>
      <c r="P580" s="10" t="s">
        <v>124</v>
      </c>
      <c r="Q580" s="18" t="s">
        <v>128</v>
      </c>
      <c r="R580" s="10" t="s">
        <v>133</v>
      </c>
      <c r="S580" s="10" t="s">
        <v>3440</v>
      </c>
      <c r="T580" s="10" t="s">
        <v>136</v>
      </c>
      <c r="U580" s="10">
        <v>3122095900</v>
      </c>
      <c r="V580" s="10">
        <v>3122095900</v>
      </c>
      <c r="W580" s="10" t="s">
        <v>3441</v>
      </c>
      <c r="X580" s="10" t="s">
        <v>136</v>
      </c>
      <c r="Y580" s="10" t="s">
        <v>169</v>
      </c>
      <c r="Z580" s="10" t="s">
        <v>216</v>
      </c>
      <c r="AA580" s="24"/>
      <c r="AB580" s="24"/>
      <c r="AC580" s="13">
        <v>45444</v>
      </c>
      <c r="AD580" s="24"/>
    </row>
    <row r="581" spans="1:30" ht="15.75" customHeight="1" x14ac:dyDescent="0.25">
      <c r="A581" s="10" t="s">
        <v>77</v>
      </c>
      <c r="B581" s="10" t="s">
        <v>86</v>
      </c>
      <c r="C581" s="10" t="s">
        <v>91</v>
      </c>
      <c r="D581" s="10" t="s">
        <v>92</v>
      </c>
      <c r="E581" s="10">
        <v>1044630265</v>
      </c>
      <c r="F581" s="23" t="s">
        <v>338</v>
      </c>
      <c r="G581" s="10" t="s">
        <v>741</v>
      </c>
      <c r="H581" s="10" t="s">
        <v>3442</v>
      </c>
      <c r="I581" s="13">
        <v>44843</v>
      </c>
      <c r="J581" s="10" t="str">
        <f t="shared" ca="1" si="85"/>
        <v xml:space="preserve">3  Años, 10  Mes, 17 Dias </v>
      </c>
      <c r="K581" s="10" t="s">
        <v>113</v>
      </c>
      <c r="L581" s="19"/>
      <c r="M581" s="19" t="str">
        <f t="shared" ca="1" si="87"/>
        <v/>
      </c>
      <c r="N581" s="10" t="s">
        <v>120</v>
      </c>
      <c r="O581" s="10" t="s">
        <v>122</v>
      </c>
      <c r="P581" s="10" t="s">
        <v>142</v>
      </c>
      <c r="Q581" s="18" t="s">
        <v>128</v>
      </c>
      <c r="R581" s="10" t="s">
        <v>133</v>
      </c>
      <c r="S581" s="10" t="s">
        <v>3443</v>
      </c>
      <c r="T581" s="10" t="s">
        <v>136</v>
      </c>
      <c r="U581" s="10">
        <v>3004330649</v>
      </c>
      <c r="V581" s="19"/>
      <c r="W581" s="10" t="s">
        <v>3444</v>
      </c>
      <c r="X581" s="10" t="s">
        <v>136</v>
      </c>
      <c r="Y581" s="10" t="s">
        <v>253</v>
      </c>
      <c r="Z581" s="10" t="s">
        <v>216</v>
      </c>
      <c r="AA581" s="24"/>
      <c r="AB581" s="24"/>
      <c r="AC581" s="13">
        <v>45830</v>
      </c>
      <c r="AD581" s="13" t="s">
        <v>209</v>
      </c>
    </row>
    <row r="582" spans="1:30" ht="15.75" customHeight="1" x14ac:dyDescent="0.25">
      <c r="A582" s="10" t="s">
        <v>77</v>
      </c>
      <c r="B582" s="10" t="s">
        <v>86</v>
      </c>
      <c r="C582" s="10" t="s">
        <v>91</v>
      </c>
      <c r="D582" s="10" t="s">
        <v>92</v>
      </c>
      <c r="E582" s="37">
        <v>1098777788</v>
      </c>
      <c r="F582" s="38" t="s">
        <v>3445</v>
      </c>
      <c r="G582" s="10" t="s">
        <v>18</v>
      </c>
      <c r="H582" s="10" t="s">
        <v>3446</v>
      </c>
      <c r="I582" s="13">
        <v>45365</v>
      </c>
      <c r="J582" s="10" t="str">
        <f t="shared" ca="1" si="85"/>
        <v xml:space="preserve">2  Años, 5  Mes, 12 Dias </v>
      </c>
      <c r="K582" s="10" t="s">
        <v>113</v>
      </c>
      <c r="L582" s="36">
        <v>35007</v>
      </c>
      <c r="M582" s="10">
        <f t="shared" ca="1" si="87"/>
        <v>30</v>
      </c>
      <c r="N582" s="10" t="s">
        <v>120</v>
      </c>
      <c r="O582" s="10" t="s">
        <v>122</v>
      </c>
      <c r="P582" s="10" t="s">
        <v>210</v>
      </c>
      <c r="Q582" s="18" t="s">
        <v>128</v>
      </c>
      <c r="R582" s="10" t="s">
        <v>133</v>
      </c>
      <c r="S582" s="19"/>
      <c r="T582" s="10" t="s">
        <v>1122</v>
      </c>
      <c r="U582" s="37">
        <v>3106275363</v>
      </c>
      <c r="V582" s="19"/>
      <c r="W582" s="40" t="s">
        <v>3447</v>
      </c>
      <c r="X582" s="10" t="s">
        <v>136</v>
      </c>
      <c r="Y582" s="37" t="s">
        <v>203</v>
      </c>
      <c r="Z582" s="10" t="s">
        <v>170</v>
      </c>
      <c r="AA582" s="24"/>
      <c r="AB582" s="24"/>
      <c r="AC582" s="13">
        <v>45476</v>
      </c>
      <c r="AD582" s="24"/>
    </row>
    <row r="583" spans="1:30" ht="15.75" customHeight="1" x14ac:dyDescent="0.25">
      <c r="A583" s="10" t="s">
        <v>77</v>
      </c>
      <c r="B583" s="10" t="s">
        <v>86</v>
      </c>
      <c r="C583" s="10" t="s">
        <v>91</v>
      </c>
      <c r="D583" s="10" t="s">
        <v>92</v>
      </c>
      <c r="E583" s="10">
        <v>1048205569</v>
      </c>
      <c r="F583" s="23" t="s">
        <v>64</v>
      </c>
      <c r="G583" s="10" t="s">
        <v>26</v>
      </c>
      <c r="H583" s="10" t="s">
        <v>3448</v>
      </c>
      <c r="I583" s="13">
        <v>45115</v>
      </c>
      <c r="J583" s="10" t="str">
        <f t="shared" ca="1" si="85"/>
        <v xml:space="preserve">3  Años, 1  Mes, 18 Dias </v>
      </c>
      <c r="K583" s="10" t="s">
        <v>113</v>
      </c>
      <c r="L583" s="19"/>
      <c r="M583" s="19" t="str">
        <f t="shared" ca="1" si="87"/>
        <v/>
      </c>
      <c r="N583" s="10" t="s">
        <v>120</v>
      </c>
      <c r="O583" s="10" t="s">
        <v>122</v>
      </c>
      <c r="P583" s="10" t="s">
        <v>142</v>
      </c>
      <c r="Q583" s="18" t="s">
        <v>648</v>
      </c>
      <c r="R583" s="10" t="s">
        <v>133</v>
      </c>
      <c r="S583" s="10" t="s">
        <v>3449</v>
      </c>
      <c r="T583" s="10" t="s">
        <v>136</v>
      </c>
      <c r="U583" s="10">
        <v>3003236918</v>
      </c>
      <c r="V583" s="19"/>
      <c r="W583" s="10" t="s">
        <v>3450</v>
      </c>
      <c r="X583" s="10" t="s">
        <v>136</v>
      </c>
      <c r="Y583" s="10" t="s">
        <v>473</v>
      </c>
      <c r="Z583" s="10" t="s">
        <v>170</v>
      </c>
      <c r="AA583" s="24"/>
      <c r="AB583" s="24"/>
      <c r="AC583" s="13">
        <v>45440</v>
      </c>
      <c r="AD583" s="24"/>
    </row>
    <row r="584" spans="1:30" ht="15.75" customHeight="1" x14ac:dyDescent="0.25">
      <c r="A584" s="10" t="s">
        <v>77</v>
      </c>
      <c r="B584" s="10" t="s">
        <v>86</v>
      </c>
      <c r="C584" s="10" t="s">
        <v>91</v>
      </c>
      <c r="D584" s="10" t="s">
        <v>92</v>
      </c>
      <c r="E584" s="12">
        <v>1046875297</v>
      </c>
      <c r="F584" s="15" t="s">
        <v>3451</v>
      </c>
      <c r="G584" s="12" t="s">
        <v>26</v>
      </c>
      <c r="H584" s="12" t="s">
        <v>3452</v>
      </c>
      <c r="I584" s="16">
        <v>45772</v>
      </c>
      <c r="J584" s="10" t="str">
        <f t="shared" ca="1" si="85"/>
        <v xml:space="preserve">1  Años, 4  Mes, 1 Dias </v>
      </c>
      <c r="K584" s="12" t="s">
        <v>113</v>
      </c>
      <c r="L584" s="16">
        <v>36510</v>
      </c>
      <c r="M584" s="10">
        <f t="shared" ca="1" si="87"/>
        <v>26</v>
      </c>
      <c r="N584" s="10" t="s">
        <v>120</v>
      </c>
      <c r="O584" s="10" t="s">
        <v>236</v>
      </c>
      <c r="P584" s="12" t="s">
        <v>124</v>
      </c>
      <c r="Q584" s="18" t="s">
        <v>128</v>
      </c>
      <c r="R584" s="19"/>
      <c r="S584" s="12" t="s">
        <v>3453</v>
      </c>
      <c r="T584" s="12" t="s">
        <v>136</v>
      </c>
      <c r="U584" s="12">
        <v>3013671584</v>
      </c>
      <c r="V584" s="5"/>
      <c r="W584" s="12" t="s">
        <v>3454</v>
      </c>
      <c r="X584" s="12" t="s">
        <v>136</v>
      </c>
      <c r="Y584" s="12" t="s">
        <v>206</v>
      </c>
      <c r="Z584" s="5"/>
      <c r="AA584" s="20"/>
      <c r="AB584" s="20"/>
      <c r="AC584" s="16">
        <v>45793</v>
      </c>
      <c r="AD584" s="10" t="s">
        <v>209</v>
      </c>
    </row>
    <row r="585" spans="1:30" ht="15.75" customHeight="1" x14ac:dyDescent="0.25">
      <c r="A585" s="10" t="s">
        <v>77</v>
      </c>
      <c r="B585" s="10" t="s">
        <v>86</v>
      </c>
      <c r="C585" s="10" t="s">
        <v>91</v>
      </c>
      <c r="D585" s="10" t="s">
        <v>92</v>
      </c>
      <c r="E585" s="10">
        <v>1047236064</v>
      </c>
      <c r="F585" s="23" t="s">
        <v>3455</v>
      </c>
      <c r="G585" s="12" t="s">
        <v>11</v>
      </c>
      <c r="H585" s="12" t="s">
        <v>3456</v>
      </c>
      <c r="I585" s="53">
        <v>45590</v>
      </c>
      <c r="J585" s="10" t="str">
        <f t="shared" ca="1" si="85"/>
        <v xml:space="preserve">1  Años, 10  Mes, 1 Dias </v>
      </c>
      <c r="K585" s="12" t="s">
        <v>113</v>
      </c>
      <c r="L585" s="5"/>
      <c r="M585" s="5"/>
      <c r="N585" s="10" t="s">
        <v>120</v>
      </c>
      <c r="O585" s="10" t="s">
        <v>236</v>
      </c>
      <c r="P585" s="10" t="s">
        <v>124</v>
      </c>
      <c r="Q585" s="18" t="s">
        <v>128</v>
      </c>
      <c r="R585" s="12" t="s">
        <v>133</v>
      </c>
      <c r="S585" s="10" t="s">
        <v>3457</v>
      </c>
      <c r="T585" s="10" t="s">
        <v>136</v>
      </c>
      <c r="U585" s="10">
        <v>3046132367</v>
      </c>
      <c r="V585" s="19"/>
      <c r="W585" s="10" t="s">
        <v>3458</v>
      </c>
      <c r="X585" s="10" t="s">
        <v>136</v>
      </c>
      <c r="Y585" s="10" t="s">
        <v>155</v>
      </c>
      <c r="Z585" s="10" t="s">
        <v>288</v>
      </c>
      <c r="AA585" s="31"/>
      <c r="AB585" s="31"/>
      <c r="AC585" s="53">
        <v>45609</v>
      </c>
      <c r="AD585" s="31"/>
    </row>
    <row r="586" spans="1:30" ht="15.75" customHeight="1" x14ac:dyDescent="0.25">
      <c r="A586" s="10" t="s">
        <v>77</v>
      </c>
      <c r="B586" s="10" t="s">
        <v>86</v>
      </c>
      <c r="C586" s="10" t="s">
        <v>91</v>
      </c>
      <c r="D586" s="10" t="s">
        <v>92</v>
      </c>
      <c r="E586" s="10">
        <v>1130265279</v>
      </c>
      <c r="F586" s="23" t="s">
        <v>3459</v>
      </c>
      <c r="G586" s="10" t="s">
        <v>11</v>
      </c>
      <c r="H586" s="10" t="s">
        <v>3460</v>
      </c>
      <c r="I586" s="13">
        <v>45309</v>
      </c>
      <c r="J586" s="10" t="str">
        <f t="shared" ca="1" si="85"/>
        <v xml:space="preserve">2  Años, 7  Mes, 8 Dias </v>
      </c>
      <c r="K586" s="10" t="s">
        <v>113</v>
      </c>
      <c r="L586" s="13">
        <v>33255</v>
      </c>
      <c r="M586" s="10">
        <f ca="1">IF(L586=0,"", DATEDIF(L586,TODAY(),"y"))</f>
        <v>35</v>
      </c>
      <c r="N586" s="10" t="s">
        <v>120</v>
      </c>
      <c r="O586" s="10" t="s">
        <v>122</v>
      </c>
      <c r="P586" s="10" t="s">
        <v>142</v>
      </c>
      <c r="Q586" s="18" t="s">
        <v>128</v>
      </c>
      <c r="R586" s="10" t="s">
        <v>133</v>
      </c>
      <c r="S586" s="10" t="s">
        <v>3461</v>
      </c>
      <c r="T586" s="10" t="s">
        <v>151</v>
      </c>
      <c r="U586" s="10">
        <v>3136947208</v>
      </c>
      <c r="V586" s="19"/>
      <c r="W586" s="40" t="s">
        <v>3462</v>
      </c>
      <c r="X586" s="10" t="s">
        <v>136</v>
      </c>
      <c r="Y586" s="10" t="s">
        <v>673</v>
      </c>
      <c r="Z586" s="10" t="s">
        <v>288</v>
      </c>
      <c r="AA586" s="24"/>
      <c r="AB586" s="24"/>
      <c r="AC586" s="13">
        <v>45362</v>
      </c>
      <c r="AD586" s="24"/>
    </row>
    <row r="587" spans="1:30" ht="15.75" customHeight="1" x14ac:dyDescent="0.25">
      <c r="A587" s="10" t="s">
        <v>160</v>
      </c>
      <c r="B587" s="10" t="s">
        <v>86</v>
      </c>
      <c r="C587" s="10" t="s">
        <v>91</v>
      </c>
      <c r="D587" s="10" t="s">
        <v>92</v>
      </c>
      <c r="E587" s="10">
        <v>1002023282</v>
      </c>
      <c r="F587" s="23" t="s">
        <v>3463</v>
      </c>
      <c r="G587" s="10" t="s">
        <v>2874</v>
      </c>
      <c r="H587" s="19"/>
      <c r="I587" s="13">
        <v>45521</v>
      </c>
      <c r="J587" s="10" t="str">
        <f t="shared" ca="1" si="85"/>
        <v xml:space="preserve">2  Años, 0  Mes, 9 Dias </v>
      </c>
      <c r="K587" s="10" t="s">
        <v>113</v>
      </c>
      <c r="L587" s="24"/>
      <c r="M587" s="19"/>
      <c r="N587" s="10" t="s">
        <v>320</v>
      </c>
      <c r="O587" s="10" t="s">
        <v>236</v>
      </c>
      <c r="P587" s="10" t="s">
        <v>142</v>
      </c>
      <c r="Q587" s="18" t="s">
        <v>128</v>
      </c>
      <c r="R587" s="10" t="s">
        <v>133</v>
      </c>
      <c r="S587" s="10" t="s">
        <v>3464</v>
      </c>
      <c r="T587" s="10" t="s">
        <v>136</v>
      </c>
      <c r="U587" s="10">
        <v>3245480110</v>
      </c>
      <c r="V587" s="19"/>
      <c r="W587" s="10" t="s">
        <v>3198</v>
      </c>
      <c r="X587" s="10" t="s">
        <v>3465</v>
      </c>
      <c r="Y587" s="10" t="s">
        <v>215</v>
      </c>
      <c r="Z587" s="10" t="s">
        <v>288</v>
      </c>
      <c r="AA587" s="33"/>
      <c r="AB587" s="33"/>
      <c r="AC587" s="35">
        <v>45656</v>
      </c>
      <c r="AD587" s="19"/>
    </row>
    <row r="588" spans="1:30" ht="15.75" customHeight="1" x14ac:dyDescent="0.25">
      <c r="A588" s="10" t="s">
        <v>77</v>
      </c>
      <c r="B588" s="10" t="s">
        <v>86</v>
      </c>
      <c r="C588" s="10" t="s">
        <v>91</v>
      </c>
      <c r="D588" s="10" t="s">
        <v>92</v>
      </c>
      <c r="E588" s="10">
        <v>1042969762</v>
      </c>
      <c r="F588" s="23" t="s">
        <v>3466</v>
      </c>
      <c r="G588" s="10" t="s">
        <v>11</v>
      </c>
      <c r="H588" s="10" t="s">
        <v>3467</v>
      </c>
      <c r="I588" s="13">
        <v>45303</v>
      </c>
      <c r="J588" s="10" t="str">
        <f t="shared" ca="1" si="85"/>
        <v xml:space="preserve">2  Años, 7  Mes, 14 Dias </v>
      </c>
      <c r="K588" s="10" t="s">
        <v>113</v>
      </c>
      <c r="L588" s="52">
        <v>31693</v>
      </c>
      <c r="M588" s="10">
        <f t="shared" ref="M588:M595" ca="1" si="88">IF(L588=0,"", DATEDIF(L588,TODAY(),"y"))</f>
        <v>39</v>
      </c>
      <c r="N588" s="10" t="s">
        <v>120</v>
      </c>
      <c r="O588" s="10" t="s">
        <v>236</v>
      </c>
      <c r="P588" s="10" t="s">
        <v>142</v>
      </c>
      <c r="Q588" s="18" t="s">
        <v>128</v>
      </c>
      <c r="R588" s="10" t="s">
        <v>133</v>
      </c>
      <c r="S588" s="10" t="s">
        <v>3468</v>
      </c>
      <c r="T588" s="10" t="s">
        <v>3469</v>
      </c>
      <c r="U588" s="10" t="s">
        <v>3470</v>
      </c>
      <c r="V588" s="19"/>
      <c r="W588" s="10" t="s">
        <v>3471</v>
      </c>
      <c r="X588" s="10" t="s">
        <v>136</v>
      </c>
      <c r="Y588" s="10" t="s">
        <v>831</v>
      </c>
      <c r="Z588" s="10" t="s">
        <v>288</v>
      </c>
      <c r="AA588" s="24"/>
      <c r="AB588" s="24"/>
      <c r="AC588" s="13">
        <v>45391</v>
      </c>
      <c r="AD588" s="24"/>
    </row>
    <row r="589" spans="1:30" ht="15.75" customHeight="1" x14ac:dyDescent="0.25">
      <c r="A589" s="10" t="s">
        <v>77</v>
      </c>
      <c r="B589" s="10" t="s">
        <v>86</v>
      </c>
      <c r="C589" s="10" t="s">
        <v>91</v>
      </c>
      <c r="D589" s="10" t="s">
        <v>92</v>
      </c>
      <c r="E589" s="10">
        <v>8789551</v>
      </c>
      <c r="F589" s="23" t="s">
        <v>59</v>
      </c>
      <c r="G589" s="10" t="s">
        <v>26</v>
      </c>
      <c r="H589" s="10" t="s">
        <v>3472</v>
      </c>
      <c r="I589" s="13">
        <v>45142</v>
      </c>
      <c r="J589" s="10" t="str">
        <f t="shared" ca="1" si="85"/>
        <v xml:space="preserve">3  Años, 0  Mes, 22 Dias </v>
      </c>
      <c r="K589" s="10" t="s">
        <v>113</v>
      </c>
      <c r="L589" s="19"/>
      <c r="M589" s="19" t="str">
        <f t="shared" ca="1" si="88"/>
        <v/>
      </c>
      <c r="N589" s="10" t="s">
        <v>120</v>
      </c>
      <c r="O589" s="10" t="s">
        <v>122</v>
      </c>
      <c r="P589" s="10" t="s">
        <v>210</v>
      </c>
      <c r="Q589" s="18" t="s">
        <v>128</v>
      </c>
      <c r="R589" s="10" t="s">
        <v>133</v>
      </c>
      <c r="S589" s="10" t="s">
        <v>3473</v>
      </c>
      <c r="T589" s="10" t="s">
        <v>151</v>
      </c>
      <c r="U589" s="10">
        <v>3242295033</v>
      </c>
      <c r="V589" s="10">
        <v>3242295033</v>
      </c>
      <c r="W589" s="10" t="s">
        <v>3474</v>
      </c>
      <c r="X589" s="10" t="s">
        <v>136</v>
      </c>
      <c r="Y589" s="10" t="s">
        <v>206</v>
      </c>
      <c r="Z589" s="10" t="s">
        <v>170</v>
      </c>
      <c r="AA589" s="24"/>
      <c r="AB589" s="24"/>
      <c r="AC589" s="13">
        <v>45505</v>
      </c>
      <c r="AD589" s="24"/>
    </row>
    <row r="590" spans="1:30" ht="15.75" customHeight="1" x14ac:dyDescent="0.25">
      <c r="A590" s="10" t="s">
        <v>77</v>
      </c>
      <c r="B590" s="10" t="s">
        <v>86</v>
      </c>
      <c r="C590" s="10" t="s">
        <v>91</v>
      </c>
      <c r="D590" s="10" t="s">
        <v>92</v>
      </c>
      <c r="E590" s="12">
        <v>1073328512</v>
      </c>
      <c r="F590" s="23" t="s">
        <v>258</v>
      </c>
      <c r="G590" s="12" t="s">
        <v>26</v>
      </c>
      <c r="H590" s="12" t="s">
        <v>260</v>
      </c>
      <c r="I590" s="13">
        <v>45831</v>
      </c>
      <c r="J590" s="10" t="str">
        <f t="shared" ca="1" si="85"/>
        <v xml:space="preserve">1  Años, 2  Mes, 3 Dias </v>
      </c>
      <c r="K590" s="12" t="s">
        <v>113</v>
      </c>
      <c r="L590" s="16">
        <v>36420</v>
      </c>
      <c r="M590" s="10">
        <f t="shared" ca="1" si="88"/>
        <v>26</v>
      </c>
      <c r="N590" s="10" t="s">
        <v>120</v>
      </c>
      <c r="O590" s="10" t="s">
        <v>122</v>
      </c>
      <c r="P590" s="12" t="s">
        <v>124</v>
      </c>
      <c r="Q590" s="18" t="s">
        <v>128</v>
      </c>
      <c r="R590" s="10" t="s">
        <v>133</v>
      </c>
      <c r="S590" s="12" t="s">
        <v>285</v>
      </c>
      <c r="T590" s="12" t="s">
        <v>136</v>
      </c>
      <c r="U590" s="12">
        <v>3186306774</v>
      </c>
      <c r="V590" s="5"/>
      <c r="W590" s="12" t="s">
        <v>287</v>
      </c>
      <c r="X590" s="12" t="s">
        <v>136</v>
      </c>
      <c r="Y590" s="12" t="s">
        <v>203</v>
      </c>
      <c r="Z590" s="12" t="s">
        <v>288</v>
      </c>
      <c r="AA590" s="20"/>
      <c r="AB590" s="20"/>
      <c r="AC590" s="16">
        <v>45851</v>
      </c>
      <c r="AD590" s="10" t="s">
        <v>148</v>
      </c>
    </row>
    <row r="591" spans="1:30" ht="15.75" customHeight="1" x14ac:dyDescent="0.25">
      <c r="A591" s="10" t="s">
        <v>77</v>
      </c>
      <c r="B591" s="10" t="s">
        <v>86</v>
      </c>
      <c r="C591" s="10" t="s">
        <v>91</v>
      </c>
      <c r="D591" s="10" t="s">
        <v>92</v>
      </c>
      <c r="E591" s="10">
        <v>1143268290</v>
      </c>
      <c r="F591" s="23" t="s">
        <v>54</v>
      </c>
      <c r="G591" s="10" t="s">
        <v>18</v>
      </c>
      <c r="H591" s="10" t="s">
        <v>3475</v>
      </c>
      <c r="I591" s="13">
        <v>45070</v>
      </c>
      <c r="J591" s="10" t="str">
        <f t="shared" ca="1" si="85"/>
        <v xml:space="preserve">3  Años, 3  Mes, 2 Dias </v>
      </c>
      <c r="K591" s="10" t="s">
        <v>113</v>
      </c>
      <c r="L591" s="24"/>
      <c r="M591" s="19" t="str">
        <f t="shared" ca="1" si="88"/>
        <v/>
      </c>
      <c r="N591" s="10" t="s">
        <v>120</v>
      </c>
      <c r="O591" s="10" t="s">
        <v>122</v>
      </c>
      <c r="P591" s="10" t="s">
        <v>124</v>
      </c>
      <c r="Q591" s="18" t="s">
        <v>128</v>
      </c>
      <c r="R591" s="10" t="s">
        <v>133</v>
      </c>
      <c r="S591" s="10" t="s">
        <v>3476</v>
      </c>
      <c r="T591" s="10" t="s">
        <v>136</v>
      </c>
      <c r="U591" s="10">
        <v>3114035309</v>
      </c>
      <c r="V591" s="19"/>
      <c r="W591" s="10" t="s">
        <v>3477</v>
      </c>
      <c r="X591" s="10" t="s">
        <v>136</v>
      </c>
      <c r="Y591" s="10" t="s">
        <v>203</v>
      </c>
      <c r="Z591" s="10" t="s">
        <v>170</v>
      </c>
      <c r="AA591" s="24"/>
      <c r="AB591" s="24"/>
      <c r="AC591" s="13">
        <v>45336</v>
      </c>
      <c r="AD591" s="24"/>
    </row>
    <row r="592" spans="1:30" ht="15.75" customHeight="1" x14ac:dyDescent="0.25">
      <c r="A592" s="10" t="s">
        <v>77</v>
      </c>
      <c r="B592" s="10" t="s">
        <v>86</v>
      </c>
      <c r="C592" s="10" t="s">
        <v>91</v>
      </c>
      <c r="D592" s="10" t="s">
        <v>92</v>
      </c>
      <c r="E592" s="10">
        <v>72044297</v>
      </c>
      <c r="F592" s="23" t="s">
        <v>49</v>
      </c>
      <c r="G592" s="10" t="s">
        <v>26</v>
      </c>
      <c r="H592" s="10" t="s">
        <v>3478</v>
      </c>
      <c r="I592" s="30">
        <v>45279</v>
      </c>
      <c r="J592" s="10" t="str">
        <f t="shared" ca="1" si="85"/>
        <v xml:space="preserve">2  Años, 8  Mes, 7 Dias </v>
      </c>
      <c r="K592" s="10" t="s">
        <v>113</v>
      </c>
      <c r="L592" s="19"/>
      <c r="M592" s="19" t="str">
        <f t="shared" ca="1" si="88"/>
        <v/>
      </c>
      <c r="N592" s="10" t="s">
        <v>120</v>
      </c>
      <c r="O592" s="10" t="s">
        <v>277</v>
      </c>
      <c r="P592" s="10" t="s">
        <v>142</v>
      </c>
      <c r="Q592" s="18" t="s">
        <v>128</v>
      </c>
      <c r="R592" s="10" t="s">
        <v>133</v>
      </c>
      <c r="S592" s="10" t="s">
        <v>3479</v>
      </c>
      <c r="T592" s="10" t="s">
        <v>136</v>
      </c>
      <c r="U592" s="10">
        <v>3022721012</v>
      </c>
      <c r="V592" s="10">
        <v>3022721012</v>
      </c>
      <c r="W592" s="10" t="s">
        <v>3480</v>
      </c>
      <c r="X592" s="10" t="s">
        <v>136</v>
      </c>
      <c r="Y592" s="10" t="s">
        <v>206</v>
      </c>
      <c r="Z592" s="10" t="s">
        <v>216</v>
      </c>
      <c r="AA592" s="33"/>
      <c r="AB592" s="33"/>
      <c r="AC592" s="35">
        <v>45290</v>
      </c>
      <c r="AD592" s="19"/>
    </row>
    <row r="593" spans="1:30" ht="15.75" customHeight="1" x14ac:dyDescent="0.25">
      <c r="A593" s="10" t="s">
        <v>77</v>
      </c>
      <c r="B593" s="10" t="s">
        <v>86</v>
      </c>
      <c r="C593" s="10" t="s">
        <v>91</v>
      </c>
      <c r="D593" s="10" t="s">
        <v>92</v>
      </c>
      <c r="E593" s="10">
        <v>1007171152</v>
      </c>
      <c r="F593" s="23" t="s">
        <v>44</v>
      </c>
      <c r="G593" s="10" t="s">
        <v>26</v>
      </c>
      <c r="H593" s="10" t="s">
        <v>3481</v>
      </c>
      <c r="I593" s="13">
        <v>45121</v>
      </c>
      <c r="J593" s="10" t="str">
        <f t="shared" ca="1" si="85"/>
        <v xml:space="preserve">3  Años, 1  Mes, 12 Dias </v>
      </c>
      <c r="K593" s="10" t="s">
        <v>113</v>
      </c>
      <c r="L593" s="19"/>
      <c r="M593" s="19" t="str">
        <f t="shared" ca="1" si="88"/>
        <v/>
      </c>
      <c r="N593" s="10" t="s">
        <v>120</v>
      </c>
      <c r="O593" s="10" t="s">
        <v>122</v>
      </c>
      <c r="P593" s="10" t="s">
        <v>124</v>
      </c>
      <c r="Q593" s="18" t="s">
        <v>128</v>
      </c>
      <c r="R593" s="10" t="s">
        <v>133</v>
      </c>
      <c r="S593" s="10" t="s">
        <v>3482</v>
      </c>
      <c r="T593" s="10" t="s">
        <v>151</v>
      </c>
      <c r="U593" s="10">
        <v>3024309989</v>
      </c>
      <c r="V593" s="10">
        <v>3024309989</v>
      </c>
      <c r="W593" s="10" t="s">
        <v>3483</v>
      </c>
      <c r="X593" s="10" t="s">
        <v>136</v>
      </c>
      <c r="Y593" s="10" t="s">
        <v>206</v>
      </c>
      <c r="Z593" s="10" t="s">
        <v>170</v>
      </c>
      <c r="AA593" s="24"/>
      <c r="AB593" s="24"/>
      <c r="AC593" s="13">
        <v>45344</v>
      </c>
      <c r="AD593" s="24"/>
    </row>
    <row r="594" spans="1:30" ht="15.75" customHeight="1" x14ac:dyDescent="0.25">
      <c r="A594" s="10" t="s">
        <v>77</v>
      </c>
      <c r="B594" s="10" t="s">
        <v>90</v>
      </c>
      <c r="C594" s="10" t="s">
        <v>175</v>
      </c>
      <c r="D594" s="10" t="s">
        <v>92</v>
      </c>
      <c r="E594" s="10">
        <v>72199584</v>
      </c>
      <c r="F594" s="23" t="s">
        <v>1732</v>
      </c>
      <c r="G594" s="10" t="s">
        <v>26</v>
      </c>
      <c r="H594" s="10" t="s">
        <v>1733</v>
      </c>
      <c r="I594" s="13">
        <v>45847</v>
      </c>
      <c r="J594" s="10" t="str">
        <f t="shared" ca="1" si="85"/>
        <v xml:space="preserve">1  Años, 1  Mes, 17 Dias </v>
      </c>
      <c r="K594" s="10" t="s">
        <v>113</v>
      </c>
      <c r="L594" s="13">
        <v>26119</v>
      </c>
      <c r="M594" s="10">
        <f t="shared" ca="1" si="88"/>
        <v>55</v>
      </c>
      <c r="N594" s="10" t="s">
        <v>120</v>
      </c>
      <c r="O594" s="10" t="s">
        <v>122</v>
      </c>
      <c r="P594" s="10" t="s">
        <v>142</v>
      </c>
      <c r="Q594" s="18" t="s">
        <v>128</v>
      </c>
      <c r="R594" s="10" t="s">
        <v>133</v>
      </c>
      <c r="S594" s="10" t="s">
        <v>1738</v>
      </c>
      <c r="T594" s="10" t="s">
        <v>136</v>
      </c>
      <c r="U594" s="10">
        <v>3245687723</v>
      </c>
      <c r="V594" s="19"/>
      <c r="W594" s="10" t="s">
        <v>1739</v>
      </c>
      <c r="X594" s="10" t="s">
        <v>136</v>
      </c>
      <c r="Y594" s="19"/>
      <c r="Z594" s="19"/>
      <c r="AA594" s="10">
        <v>47716105888</v>
      </c>
      <c r="AB594" s="10" t="s">
        <v>393</v>
      </c>
      <c r="AC594" s="24"/>
      <c r="AD594" s="10" t="s">
        <v>209</v>
      </c>
    </row>
    <row r="595" spans="1:30" ht="15.75" customHeight="1" x14ac:dyDescent="0.25">
      <c r="A595" s="10" t="s">
        <v>77</v>
      </c>
      <c r="B595" s="10" t="s">
        <v>86</v>
      </c>
      <c r="C595" s="10" t="s">
        <v>91</v>
      </c>
      <c r="D595" s="10" t="s">
        <v>92</v>
      </c>
      <c r="E595" s="10">
        <v>72045930</v>
      </c>
      <c r="F595" s="23" t="s">
        <v>30</v>
      </c>
      <c r="G595" s="10" t="s">
        <v>32</v>
      </c>
      <c r="H595" s="10" t="s">
        <v>3484</v>
      </c>
      <c r="I595" s="30">
        <v>44877</v>
      </c>
      <c r="J595" s="10" t="str">
        <f t="shared" ca="1" si="85"/>
        <v xml:space="preserve">3  Años, 9  Mes, 14 Dias </v>
      </c>
      <c r="K595" s="10" t="s">
        <v>113</v>
      </c>
      <c r="L595" s="19"/>
      <c r="M595" s="19" t="str">
        <f t="shared" ca="1" si="88"/>
        <v/>
      </c>
      <c r="N595" s="10" t="s">
        <v>120</v>
      </c>
      <c r="O595" s="10" t="s">
        <v>122</v>
      </c>
      <c r="P595" s="10" t="s">
        <v>142</v>
      </c>
      <c r="Q595" s="18" t="s">
        <v>128</v>
      </c>
      <c r="R595" s="10" t="s">
        <v>133</v>
      </c>
      <c r="S595" s="10" t="s">
        <v>3485</v>
      </c>
      <c r="T595" s="10" t="s">
        <v>136</v>
      </c>
      <c r="U595" s="10">
        <v>3023252992</v>
      </c>
      <c r="V595" s="19"/>
      <c r="W595" s="10" t="s">
        <v>3486</v>
      </c>
      <c r="X595" s="10" t="s">
        <v>136</v>
      </c>
      <c r="Y595" s="10" t="s">
        <v>253</v>
      </c>
      <c r="Z595" s="10" t="s">
        <v>216</v>
      </c>
      <c r="AA595" s="19"/>
      <c r="AB595" s="19"/>
      <c r="AC595" s="19"/>
      <c r="AD595" s="10" t="s">
        <v>209</v>
      </c>
    </row>
    <row r="596" spans="1:30" ht="15.75" customHeight="1" x14ac:dyDescent="0.25">
      <c r="A596" s="10" t="s">
        <v>160</v>
      </c>
      <c r="B596" s="10" t="s">
        <v>86</v>
      </c>
      <c r="C596" s="10" t="s">
        <v>91</v>
      </c>
      <c r="D596" s="10" t="s">
        <v>92</v>
      </c>
      <c r="E596" s="12">
        <v>4614715</v>
      </c>
      <c r="F596" s="15" t="s">
        <v>3487</v>
      </c>
      <c r="G596" s="12" t="s">
        <v>688</v>
      </c>
      <c r="H596" s="12" t="s">
        <v>3488</v>
      </c>
      <c r="I596" s="16">
        <v>45731</v>
      </c>
      <c r="J596" s="10" t="str">
        <f t="shared" ca="1" si="85"/>
        <v xml:space="preserve">1  Años, 5  Mes, 11 Dias </v>
      </c>
      <c r="K596" s="12" t="s">
        <v>113</v>
      </c>
      <c r="L596" s="20"/>
      <c r="M596" s="19"/>
      <c r="N596" s="10" t="s">
        <v>320</v>
      </c>
      <c r="O596" s="10" t="s">
        <v>236</v>
      </c>
      <c r="P596" s="12" t="s">
        <v>142</v>
      </c>
      <c r="Q596" s="18" t="s">
        <v>128</v>
      </c>
      <c r="R596" s="10" t="s">
        <v>133</v>
      </c>
      <c r="S596" s="12" t="s">
        <v>3489</v>
      </c>
      <c r="T596" s="12" t="s">
        <v>136</v>
      </c>
      <c r="U596" s="12">
        <v>3026013845</v>
      </c>
      <c r="V596" s="5"/>
      <c r="W596" s="5"/>
      <c r="X596" s="12" t="s">
        <v>136</v>
      </c>
      <c r="Y596" s="12" t="s">
        <v>3490</v>
      </c>
      <c r="Z596" s="12" t="s">
        <v>3490</v>
      </c>
      <c r="AA596" s="5"/>
      <c r="AB596" s="5"/>
      <c r="AC596" s="5"/>
      <c r="AD596" s="10" t="s">
        <v>209</v>
      </c>
    </row>
    <row r="597" spans="1:30" ht="15.75" customHeight="1" x14ac:dyDescent="0.25">
      <c r="A597" s="10" t="s">
        <v>77</v>
      </c>
      <c r="B597" s="10" t="s">
        <v>90</v>
      </c>
      <c r="C597" s="10" t="s">
        <v>175</v>
      </c>
      <c r="D597" s="10" t="s">
        <v>92</v>
      </c>
      <c r="E597" s="10">
        <v>1048293756</v>
      </c>
      <c r="F597" s="23" t="s">
        <v>762</v>
      </c>
      <c r="G597" s="10" t="s">
        <v>11</v>
      </c>
      <c r="H597" s="5" t="s">
        <v>764</v>
      </c>
      <c r="I597" s="13">
        <v>45847</v>
      </c>
      <c r="J597" s="10" t="str">
        <f t="shared" ca="1" si="85"/>
        <v xml:space="preserve">1  Años, 1  Mes, 17 Dias </v>
      </c>
      <c r="K597" s="10" t="s">
        <v>113</v>
      </c>
      <c r="L597" s="13">
        <v>34510</v>
      </c>
      <c r="M597" s="10">
        <f t="shared" ref="M597:M598" ca="1" si="89">IF(L597=0,"", DATEDIF(L597,TODAY(),"y"))</f>
        <v>32</v>
      </c>
      <c r="N597" s="10" t="s">
        <v>120</v>
      </c>
      <c r="O597" s="10" t="s">
        <v>122</v>
      </c>
      <c r="P597" s="10" t="s">
        <v>142</v>
      </c>
      <c r="Q597" s="18" t="s">
        <v>128</v>
      </c>
      <c r="R597" s="10" t="s">
        <v>133</v>
      </c>
      <c r="S597" s="10" t="s">
        <v>767</v>
      </c>
      <c r="T597" s="10" t="s">
        <v>136</v>
      </c>
      <c r="U597" s="10">
        <v>3001770584</v>
      </c>
      <c r="V597" s="19"/>
      <c r="W597" s="10" t="s">
        <v>770</v>
      </c>
      <c r="X597" s="10" t="s">
        <v>136</v>
      </c>
      <c r="Y597" s="19"/>
      <c r="Z597" s="19"/>
      <c r="AA597" s="10">
        <v>48163545252</v>
      </c>
      <c r="AB597" s="10" t="s">
        <v>393</v>
      </c>
      <c r="AC597" s="24"/>
      <c r="AD597" s="10" t="s">
        <v>209</v>
      </c>
    </row>
    <row r="598" spans="1:30" ht="15.75" customHeight="1" x14ac:dyDescent="0.25">
      <c r="A598" s="10" t="s">
        <v>77</v>
      </c>
      <c r="B598" s="10" t="s">
        <v>86</v>
      </c>
      <c r="C598" s="10" t="s">
        <v>91</v>
      </c>
      <c r="D598" s="10" t="s">
        <v>92</v>
      </c>
      <c r="E598" s="10">
        <v>85430233</v>
      </c>
      <c r="F598" s="23" t="s">
        <v>176</v>
      </c>
      <c r="G598" s="10" t="s">
        <v>11</v>
      </c>
      <c r="H598" s="10" t="s">
        <v>3491</v>
      </c>
      <c r="I598" s="13">
        <v>45063</v>
      </c>
      <c r="J598" s="10" t="str">
        <f t="shared" ca="1" si="85"/>
        <v xml:space="preserve">3  Años, 3  Mes, 9 Dias </v>
      </c>
      <c r="K598" s="10" t="s">
        <v>113</v>
      </c>
      <c r="L598" s="19"/>
      <c r="M598" s="19" t="str">
        <f t="shared" ca="1" si="89"/>
        <v/>
      </c>
      <c r="N598" s="10" t="s">
        <v>120</v>
      </c>
      <c r="O598" s="10" t="s">
        <v>122</v>
      </c>
      <c r="P598" s="10" t="s">
        <v>142</v>
      </c>
      <c r="Q598" s="18" t="s">
        <v>128</v>
      </c>
      <c r="R598" s="10" t="s">
        <v>133</v>
      </c>
      <c r="S598" s="10" t="s">
        <v>3492</v>
      </c>
      <c r="T598" s="10" t="s">
        <v>136</v>
      </c>
      <c r="U598" s="10">
        <v>3135550599</v>
      </c>
      <c r="V598" s="19"/>
      <c r="W598" s="10" t="s">
        <v>845</v>
      </c>
      <c r="X598" s="10" t="s">
        <v>136</v>
      </c>
      <c r="Y598" s="10" t="s">
        <v>473</v>
      </c>
      <c r="Z598" s="10" t="s">
        <v>373</v>
      </c>
      <c r="AA598" s="24"/>
      <c r="AB598" s="24"/>
      <c r="AC598" s="13">
        <v>45356</v>
      </c>
      <c r="AD598" s="24"/>
    </row>
    <row r="599" spans="1:30" ht="15.75" customHeight="1" x14ac:dyDescent="0.25">
      <c r="A599" s="10" t="s">
        <v>77</v>
      </c>
      <c r="B599" s="10" t="s">
        <v>86</v>
      </c>
      <c r="C599" s="10" t="s">
        <v>91</v>
      </c>
      <c r="D599" s="12" t="s">
        <v>92</v>
      </c>
      <c r="E599" s="12">
        <v>72226450</v>
      </c>
      <c r="F599" s="15" t="s">
        <v>3493</v>
      </c>
      <c r="G599" s="10" t="s">
        <v>26</v>
      </c>
      <c r="H599" s="5"/>
      <c r="I599" s="16">
        <v>45693</v>
      </c>
      <c r="J599" s="10" t="str">
        <f t="shared" ca="1" si="85"/>
        <v xml:space="preserve">1  Años, 6  Mes, 21 Dias </v>
      </c>
      <c r="K599" s="12" t="s">
        <v>113</v>
      </c>
      <c r="L599" s="5"/>
      <c r="M599" s="12">
        <v>48</v>
      </c>
      <c r="N599" s="10" t="s">
        <v>120</v>
      </c>
      <c r="O599" s="10" t="s">
        <v>122</v>
      </c>
      <c r="P599" s="12" t="s">
        <v>142</v>
      </c>
      <c r="Q599" s="18" t="s">
        <v>128</v>
      </c>
      <c r="R599" s="10" t="s">
        <v>133</v>
      </c>
      <c r="S599" s="12" t="s">
        <v>3494</v>
      </c>
      <c r="T599" s="12" t="s">
        <v>136</v>
      </c>
      <c r="U599" s="12">
        <v>3023471697</v>
      </c>
      <c r="V599" s="5"/>
      <c r="W599" s="12" t="s">
        <v>3495</v>
      </c>
      <c r="X599" s="12" t="s">
        <v>136</v>
      </c>
      <c r="Y599" s="12" t="s">
        <v>539</v>
      </c>
      <c r="Z599" s="12" t="s">
        <v>170</v>
      </c>
      <c r="AA599" s="20"/>
      <c r="AB599" s="20"/>
      <c r="AC599" s="16">
        <v>45693</v>
      </c>
      <c r="AD599" s="10" t="s">
        <v>148</v>
      </c>
    </row>
    <row r="600" spans="1:30" ht="15.75" customHeight="1" x14ac:dyDescent="0.25">
      <c r="A600" s="10" t="s">
        <v>160</v>
      </c>
      <c r="B600" s="10" t="s">
        <v>86</v>
      </c>
      <c r="C600" s="10" t="s">
        <v>91</v>
      </c>
      <c r="D600" s="10" t="s">
        <v>92</v>
      </c>
      <c r="E600" s="12">
        <v>1005469408</v>
      </c>
      <c r="F600" s="15" t="s">
        <v>3496</v>
      </c>
      <c r="G600" s="12" t="s">
        <v>688</v>
      </c>
      <c r="H600" s="10" t="s">
        <v>3497</v>
      </c>
      <c r="I600" s="16">
        <v>45538</v>
      </c>
      <c r="J600" s="10" t="str">
        <f t="shared" ca="1" si="85"/>
        <v xml:space="preserve">1  Años, 11  Mes, 23 Dias </v>
      </c>
      <c r="K600" s="10" t="s">
        <v>113</v>
      </c>
      <c r="L600" s="19"/>
      <c r="M600" s="19"/>
      <c r="N600" s="10" t="s">
        <v>320</v>
      </c>
      <c r="O600" s="10" t="s">
        <v>236</v>
      </c>
      <c r="P600" s="12" t="s">
        <v>142</v>
      </c>
      <c r="Q600" s="18" t="s">
        <v>128</v>
      </c>
      <c r="R600" s="10" t="s">
        <v>133</v>
      </c>
      <c r="S600" s="12" t="s">
        <v>3498</v>
      </c>
      <c r="T600" s="10" t="s">
        <v>136</v>
      </c>
      <c r="U600" s="12">
        <v>3147266580</v>
      </c>
      <c r="V600" s="19"/>
      <c r="W600" s="12" t="s">
        <v>3499</v>
      </c>
      <c r="X600" s="10" t="s">
        <v>136</v>
      </c>
      <c r="Y600" s="12" t="s">
        <v>3500</v>
      </c>
      <c r="Z600" s="12" t="s">
        <v>170</v>
      </c>
      <c r="AA600" s="33"/>
      <c r="AB600" s="33"/>
      <c r="AC600" s="35">
        <v>45656</v>
      </c>
      <c r="AD600" s="19"/>
    </row>
    <row r="601" spans="1:30" ht="15.75" customHeight="1" x14ac:dyDescent="0.25">
      <c r="A601" s="10" t="s">
        <v>77</v>
      </c>
      <c r="B601" s="10" t="s">
        <v>90</v>
      </c>
      <c r="C601" s="10" t="s">
        <v>175</v>
      </c>
      <c r="D601" s="10" t="s">
        <v>92</v>
      </c>
      <c r="E601" s="10">
        <v>72043763</v>
      </c>
      <c r="F601" s="23" t="s">
        <v>38</v>
      </c>
      <c r="G601" s="10" t="s">
        <v>1614</v>
      </c>
      <c r="H601" s="10" t="s">
        <v>1506</v>
      </c>
      <c r="I601" s="13">
        <v>45841</v>
      </c>
      <c r="J601" s="10" t="str">
        <f t="shared" ca="1" si="85"/>
        <v xml:space="preserve">1  Años, 1  Mes, 23 Dias </v>
      </c>
      <c r="K601" s="10" t="s">
        <v>113</v>
      </c>
      <c r="L601" s="19"/>
      <c r="M601" s="19" t="str">
        <f t="shared" ref="M601:M603" ca="1" si="90">IF(L601=0,"", DATEDIF(L601,TODAY(),"y"))</f>
        <v/>
      </c>
      <c r="N601" s="10" t="s">
        <v>120</v>
      </c>
      <c r="O601" s="10" t="s">
        <v>122</v>
      </c>
      <c r="P601" s="10" t="s">
        <v>142</v>
      </c>
      <c r="Q601" s="18" t="s">
        <v>128</v>
      </c>
      <c r="R601" s="10" t="s">
        <v>133</v>
      </c>
      <c r="S601" s="10" t="s">
        <v>348</v>
      </c>
      <c r="T601" s="10" t="s">
        <v>136</v>
      </c>
      <c r="U601" s="10">
        <v>3022256443</v>
      </c>
      <c r="V601" s="19"/>
      <c r="W601" s="10" t="s">
        <v>839</v>
      </c>
      <c r="X601" s="10" t="s">
        <v>136</v>
      </c>
      <c r="Y601" s="10" t="s">
        <v>253</v>
      </c>
      <c r="Z601" s="10" t="s">
        <v>373</v>
      </c>
      <c r="AA601" s="10">
        <v>8600003890</v>
      </c>
      <c r="AB601" s="10" t="s">
        <v>393</v>
      </c>
      <c r="AC601" s="24"/>
      <c r="AD601" s="10" t="s">
        <v>209</v>
      </c>
    </row>
    <row r="602" spans="1:30" ht="15.75" customHeight="1" x14ac:dyDescent="0.25">
      <c r="A602" s="10" t="s">
        <v>77</v>
      </c>
      <c r="B602" s="10" t="s">
        <v>90</v>
      </c>
      <c r="C602" s="10" t="s">
        <v>175</v>
      </c>
      <c r="D602" s="10" t="s">
        <v>92</v>
      </c>
      <c r="E602" s="10">
        <v>72178274</v>
      </c>
      <c r="F602" s="23" t="s">
        <v>1627</v>
      </c>
      <c r="G602" s="10" t="s">
        <v>32</v>
      </c>
      <c r="H602" s="10" t="s">
        <v>3501</v>
      </c>
      <c r="I602" s="13">
        <v>45856</v>
      </c>
      <c r="J602" s="10" t="str">
        <f t="shared" ca="1" si="85"/>
        <v xml:space="preserve">1  Años, 1  Mes, 8 Dias </v>
      </c>
      <c r="K602" s="10" t="s">
        <v>113</v>
      </c>
      <c r="L602" s="24"/>
      <c r="M602" s="19" t="str">
        <f t="shared" ca="1" si="90"/>
        <v/>
      </c>
      <c r="N602" s="10" t="s">
        <v>120</v>
      </c>
      <c r="O602" s="10" t="s">
        <v>122</v>
      </c>
      <c r="P602" s="19"/>
      <c r="Q602" s="18" t="s">
        <v>128</v>
      </c>
      <c r="R602" s="10" t="s">
        <v>133</v>
      </c>
      <c r="S602" s="10" t="s">
        <v>1633</v>
      </c>
      <c r="T602" s="10" t="s">
        <v>151</v>
      </c>
      <c r="U602" s="10">
        <v>3006022341</v>
      </c>
      <c r="V602" s="19"/>
      <c r="W602" s="10" t="s">
        <v>1635</v>
      </c>
      <c r="X602" s="10" t="s">
        <v>136</v>
      </c>
      <c r="Y602" s="19"/>
      <c r="Z602" s="19"/>
      <c r="AA602" s="24"/>
      <c r="AB602" s="24"/>
      <c r="AC602" s="24"/>
      <c r="AD602" s="10" t="s">
        <v>209</v>
      </c>
    </row>
    <row r="603" spans="1:30" ht="15.75" customHeight="1" x14ac:dyDescent="0.25">
      <c r="A603" s="10" t="s">
        <v>77</v>
      </c>
      <c r="B603" s="10" t="s">
        <v>90</v>
      </c>
      <c r="C603" s="10" t="s">
        <v>175</v>
      </c>
      <c r="D603" s="10" t="s">
        <v>92</v>
      </c>
      <c r="E603" s="12">
        <v>70754197</v>
      </c>
      <c r="F603" s="15" t="s">
        <v>1533</v>
      </c>
      <c r="G603" s="10" t="s">
        <v>32</v>
      </c>
      <c r="H603" s="10" t="s">
        <v>1534</v>
      </c>
      <c r="I603" s="16">
        <v>45869</v>
      </c>
      <c r="J603" s="10" t="str">
        <f t="shared" ca="1" si="85"/>
        <v xml:space="preserve">1  Años, 0  Mes, 26 Dias </v>
      </c>
      <c r="K603" s="12" t="s">
        <v>113</v>
      </c>
      <c r="L603" s="5"/>
      <c r="M603" s="19" t="str">
        <f t="shared" ca="1" si="90"/>
        <v/>
      </c>
      <c r="N603" s="10" t="s">
        <v>120</v>
      </c>
      <c r="O603" s="10" t="s">
        <v>122</v>
      </c>
      <c r="P603" s="5"/>
      <c r="Q603" s="18" t="s">
        <v>128</v>
      </c>
      <c r="R603" s="10" t="s">
        <v>133</v>
      </c>
      <c r="S603" s="5"/>
      <c r="T603" s="5"/>
      <c r="U603" s="5"/>
      <c r="V603" s="5"/>
      <c r="W603" s="5"/>
      <c r="X603" s="10" t="s">
        <v>136</v>
      </c>
      <c r="Y603" s="5"/>
      <c r="Z603" s="5"/>
      <c r="AA603" s="5"/>
      <c r="AB603" s="5"/>
      <c r="AC603" s="5"/>
      <c r="AD603" s="10" t="s">
        <v>209</v>
      </c>
    </row>
    <row r="604" spans="1:30" ht="15.75" customHeight="1" x14ac:dyDescent="0.25">
      <c r="A604" s="22"/>
      <c r="B604" s="22"/>
      <c r="C604" s="22"/>
      <c r="D604" s="22"/>
      <c r="E604" s="22"/>
      <c r="F604" s="149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25">
      <c r="A605" s="22"/>
      <c r="B605" s="22"/>
      <c r="C605" s="22"/>
      <c r="D605" s="22"/>
      <c r="E605" s="22"/>
      <c r="F605" s="149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25">
      <c r="A606" s="22"/>
      <c r="B606" s="22"/>
      <c r="C606" s="22"/>
      <c r="D606" s="22"/>
      <c r="E606" s="22"/>
      <c r="F606" s="149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25">
      <c r="A607" s="22"/>
      <c r="B607" s="22"/>
      <c r="C607" s="22"/>
      <c r="D607" s="22"/>
      <c r="E607" s="22"/>
      <c r="F607" s="149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25">
      <c r="A608" s="22"/>
      <c r="B608" s="22"/>
      <c r="C608" s="22"/>
      <c r="D608" s="22"/>
      <c r="E608" s="22"/>
      <c r="F608" s="149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25">
      <c r="A609" s="22"/>
      <c r="B609" s="22"/>
      <c r="C609" s="22"/>
      <c r="D609" s="22"/>
      <c r="E609" s="22"/>
      <c r="F609" s="149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25">
      <c r="A610" s="22"/>
      <c r="B610" s="22"/>
      <c r="C610" s="22"/>
      <c r="D610" s="22"/>
      <c r="E610" s="22"/>
      <c r="F610" s="149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25">
      <c r="A611" s="22"/>
      <c r="B611" s="22"/>
      <c r="C611" s="22"/>
      <c r="D611" s="22"/>
      <c r="E611" s="22"/>
      <c r="F611" s="149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25">
      <c r="A612" s="22"/>
      <c r="B612" s="22"/>
      <c r="C612" s="22"/>
      <c r="D612" s="22"/>
      <c r="E612" s="22"/>
      <c r="F612" s="149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25">
      <c r="A613" s="22"/>
      <c r="B613" s="22"/>
      <c r="C613" s="22"/>
      <c r="D613" s="22"/>
      <c r="E613" s="22"/>
      <c r="F613" s="149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25">
      <c r="A614" s="22"/>
      <c r="B614" s="22"/>
      <c r="C614" s="22"/>
      <c r="D614" s="22"/>
      <c r="E614" s="22"/>
      <c r="F614" s="149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25">
      <c r="A615" s="22"/>
      <c r="B615" s="22"/>
      <c r="C615" s="22"/>
      <c r="D615" s="22"/>
      <c r="E615" s="22"/>
      <c r="F615" s="149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25">
      <c r="A616" s="22"/>
      <c r="B616" s="22"/>
      <c r="C616" s="22"/>
      <c r="D616" s="22"/>
      <c r="E616" s="22"/>
      <c r="F616" s="149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25">
      <c r="A617" s="22"/>
      <c r="B617" s="22"/>
      <c r="C617" s="22"/>
      <c r="D617" s="22"/>
      <c r="E617" s="22"/>
      <c r="F617" s="149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25">
      <c r="A618" s="22"/>
      <c r="B618" s="22"/>
      <c r="C618" s="22"/>
      <c r="D618" s="22"/>
      <c r="E618" s="22"/>
      <c r="F618" s="149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25">
      <c r="A619" s="22"/>
      <c r="B619" s="22"/>
      <c r="C619" s="22"/>
      <c r="D619" s="22"/>
      <c r="E619" s="22"/>
      <c r="F619" s="149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25">
      <c r="A620" s="22"/>
      <c r="B620" s="22"/>
      <c r="C620" s="22"/>
      <c r="D620" s="22"/>
      <c r="E620" s="22"/>
      <c r="F620" s="149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25">
      <c r="A621" s="22"/>
      <c r="B621" s="22"/>
      <c r="C621" s="22"/>
      <c r="D621" s="22"/>
      <c r="E621" s="22"/>
      <c r="F621" s="149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25">
      <c r="A622" s="22"/>
      <c r="B622" s="22"/>
      <c r="C622" s="22"/>
      <c r="D622" s="22"/>
      <c r="E622" s="22"/>
      <c r="F622" s="149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25">
      <c r="A623" s="22"/>
      <c r="B623" s="22"/>
      <c r="C623" s="22"/>
      <c r="D623" s="22"/>
      <c r="E623" s="22"/>
      <c r="F623" s="149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25">
      <c r="A624" s="22"/>
      <c r="B624" s="22"/>
      <c r="C624" s="22"/>
      <c r="D624" s="22"/>
      <c r="E624" s="22"/>
      <c r="F624" s="149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25">
      <c r="A625" s="22"/>
      <c r="B625" s="22"/>
      <c r="C625" s="22"/>
      <c r="D625" s="22"/>
      <c r="E625" s="22"/>
      <c r="F625" s="149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25">
      <c r="A626" s="22"/>
      <c r="B626" s="22"/>
      <c r="C626" s="22"/>
      <c r="D626" s="22"/>
      <c r="E626" s="22"/>
      <c r="F626" s="149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25">
      <c r="A627" s="22"/>
      <c r="B627" s="22"/>
      <c r="C627" s="22"/>
      <c r="D627" s="22"/>
      <c r="E627" s="22"/>
      <c r="F627" s="149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25">
      <c r="A628" s="22"/>
      <c r="B628" s="22"/>
      <c r="C628" s="22"/>
      <c r="D628" s="22"/>
      <c r="E628" s="22"/>
      <c r="F628" s="149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25">
      <c r="A629" s="22"/>
      <c r="B629" s="22"/>
      <c r="C629" s="22"/>
      <c r="D629" s="22"/>
      <c r="E629" s="22"/>
      <c r="F629" s="149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25">
      <c r="A630" s="22"/>
      <c r="B630" s="22"/>
      <c r="C630" s="22"/>
      <c r="D630" s="22"/>
      <c r="E630" s="22"/>
      <c r="F630" s="149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25">
      <c r="A631" s="22"/>
      <c r="B631" s="22"/>
      <c r="C631" s="22"/>
      <c r="D631" s="22"/>
      <c r="E631" s="22"/>
      <c r="F631" s="149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25">
      <c r="A632" s="22"/>
      <c r="B632" s="22"/>
      <c r="C632" s="22"/>
      <c r="D632" s="22"/>
      <c r="E632" s="22"/>
      <c r="F632" s="149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25">
      <c r="A633" s="22"/>
      <c r="B633" s="22"/>
      <c r="C633" s="22"/>
      <c r="D633" s="22"/>
      <c r="E633" s="22"/>
      <c r="F633" s="149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25">
      <c r="A634" s="22"/>
      <c r="B634" s="22"/>
      <c r="C634" s="22"/>
      <c r="D634" s="22"/>
      <c r="E634" s="22"/>
      <c r="F634" s="149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25">
      <c r="A635" s="22"/>
      <c r="B635" s="22"/>
      <c r="C635" s="22"/>
      <c r="D635" s="22"/>
      <c r="E635" s="22"/>
      <c r="F635" s="149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25">
      <c r="A636" s="22"/>
      <c r="B636" s="22"/>
      <c r="C636" s="22"/>
      <c r="D636" s="22"/>
      <c r="E636" s="22"/>
      <c r="F636" s="149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25">
      <c r="A637" s="22"/>
      <c r="B637" s="22"/>
      <c r="C637" s="22"/>
      <c r="D637" s="22"/>
      <c r="E637" s="22"/>
      <c r="F637" s="149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25">
      <c r="A638" s="22"/>
      <c r="B638" s="22"/>
      <c r="C638" s="22"/>
      <c r="D638" s="22"/>
      <c r="E638" s="22"/>
      <c r="F638" s="149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25">
      <c r="A639" s="22"/>
      <c r="B639" s="22"/>
      <c r="C639" s="22"/>
      <c r="D639" s="22"/>
      <c r="E639" s="22"/>
      <c r="F639" s="149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25">
      <c r="A640" s="22"/>
      <c r="B640" s="22"/>
      <c r="C640" s="22"/>
      <c r="D640" s="22"/>
      <c r="E640" s="22"/>
      <c r="F640" s="149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25">
      <c r="A641" s="22"/>
      <c r="B641" s="22"/>
      <c r="C641" s="22"/>
      <c r="D641" s="22"/>
      <c r="E641" s="22"/>
      <c r="F641" s="149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25">
      <c r="A642" s="22"/>
      <c r="B642" s="22"/>
      <c r="C642" s="22"/>
      <c r="D642" s="22"/>
      <c r="E642" s="22"/>
      <c r="F642" s="149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25">
      <c r="A643" s="22"/>
      <c r="B643" s="22"/>
      <c r="C643" s="22"/>
      <c r="D643" s="22"/>
      <c r="E643" s="22"/>
      <c r="F643" s="149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25">
      <c r="A644" s="22"/>
      <c r="B644" s="22"/>
      <c r="C644" s="22"/>
      <c r="D644" s="22"/>
      <c r="E644" s="22"/>
      <c r="F644" s="149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25">
      <c r="A645" s="22"/>
      <c r="B645" s="22"/>
      <c r="C645" s="22"/>
      <c r="D645" s="22"/>
      <c r="E645" s="22"/>
      <c r="F645" s="149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25">
      <c r="A646" s="22"/>
      <c r="B646" s="22"/>
      <c r="C646" s="22"/>
      <c r="D646" s="22"/>
      <c r="E646" s="22"/>
      <c r="F646" s="149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25">
      <c r="A647" s="22"/>
      <c r="B647" s="22"/>
      <c r="C647" s="22"/>
      <c r="D647" s="22"/>
      <c r="E647" s="22"/>
      <c r="F647" s="149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25">
      <c r="A648" s="22"/>
      <c r="B648" s="22"/>
      <c r="C648" s="22"/>
      <c r="D648" s="22"/>
      <c r="E648" s="22"/>
      <c r="F648" s="149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25">
      <c r="A649" s="22"/>
      <c r="B649" s="22"/>
      <c r="C649" s="22"/>
      <c r="D649" s="22"/>
      <c r="E649" s="22"/>
      <c r="F649" s="149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25">
      <c r="A650" s="22"/>
      <c r="B650" s="22"/>
      <c r="C650" s="22"/>
      <c r="D650" s="22"/>
      <c r="E650" s="22"/>
      <c r="F650" s="149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25">
      <c r="A651" s="22"/>
      <c r="B651" s="22"/>
      <c r="C651" s="22"/>
      <c r="D651" s="22"/>
      <c r="E651" s="22"/>
      <c r="F651" s="149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25">
      <c r="A652" s="22"/>
      <c r="B652" s="22"/>
      <c r="C652" s="22"/>
      <c r="D652" s="22"/>
      <c r="E652" s="22"/>
      <c r="F652" s="149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25">
      <c r="A653" s="22"/>
      <c r="B653" s="22"/>
      <c r="C653" s="22"/>
      <c r="D653" s="22"/>
      <c r="E653" s="22"/>
      <c r="F653" s="149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25">
      <c r="A654" s="22"/>
      <c r="B654" s="22"/>
      <c r="C654" s="22"/>
      <c r="D654" s="22"/>
      <c r="E654" s="22"/>
      <c r="F654" s="149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25">
      <c r="A655" s="22"/>
      <c r="B655" s="22"/>
      <c r="C655" s="22"/>
      <c r="D655" s="22"/>
      <c r="E655" s="22"/>
      <c r="F655" s="149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25">
      <c r="A656" s="22"/>
      <c r="B656" s="22"/>
      <c r="C656" s="22"/>
      <c r="D656" s="22"/>
      <c r="E656" s="22"/>
      <c r="F656" s="149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25">
      <c r="A657" s="22"/>
      <c r="B657" s="22"/>
      <c r="C657" s="22"/>
      <c r="D657" s="22"/>
      <c r="E657" s="22"/>
      <c r="F657" s="149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25">
      <c r="A658" s="22"/>
      <c r="B658" s="22"/>
      <c r="C658" s="22"/>
      <c r="D658" s="22"/>
      <c r="E658" s="22"/>
      <c r="F658" s="149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25">
      <c r="A659" s="22"/>
      <c r="B659" s="22"/>
      <c r="C659" s="22"/>
      <c r="D659" s="22"/>
      <c r="E659" s="22"/>
      <c r="F659" s="149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25">
      <c r="A660" s="22"/>
      <c r="B660" s="22"/>
      <c r="C660" s="22"/>
      <c r="D660" s="22"/>
      <c r="E660" s="22"/>
      <c r="F660" s="149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25">
      <c r="A661" s="22"/>
      <c r="B661" s="22"/>
      <c r="C661" s="22"/>
      <c r="D661" s="22"/>
      <c r="E661" s="22"/>
      <c r="F661" s="149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25">
      <c r="A662" s="22"/>
      <c r="B662" s="22"/>
      <c r="C662" s="22"/>
      <c r="D662" s="22"/>
      <c r="E662" s="22"/>
      <c r="F662" s="149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25">
      <c r="A663" s="22"/>
      <c r="B663" s="22"/>
      <c r="C663" s="22"/>
      <c r="D663" s="22"/>
      <c r="E663" s="22"/>
      <c r="F663" s="149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25">
      <c r="A664" s="22"/>
      <c r="B664" s="22"/>
      <c r="C664" s="22"/>
      <c r="D664" s="22"/>
      <c r="E664" s="22"/>
      <c r="F664" s="149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25">
      <c r="A665" s="22"/>
      <c r="B665" s="22"/>
      <c r="C665" s="22"/>
      <c r="D665" s="22"/>
      <c r="E665" s="22"/>
      <c r="F665" s="149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25">
      <c r="A666" s="22"/>
      <c r="B666" s="22"/>
      <c r="C666" s="22"/>
      <c r="D666" s="22"/>
      <c r="E666" s="22"/>
      <c r="F666" s="149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25">
      <c r="A667" s="22"/>
      <c r="B667" s="22"/>
      <c r="C667" s="22"/>
      <c r="D667" s="22"/>
      <c r="E667" s="22"/>
      <c r="F667" s="149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25">
      <c r="A668" s="22"/>
      <c r="B668" s="22"/>
      <c r="C668" s="22"/>
      <c r="D668" s="22"/>
      <c r="E668" s="22"/>
      <c r="F668" s="149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25">
      <c r="A669" s="22"/>
      <c r="B669" s="22"/>
      <c r="C669" s="22"/>
      <c r="D669" s="22"/>
      <c r="E669" s="22"/>
      <c r="F669" s="149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25">
      <c r="A670" s="22"/>
      <c r="B670" s="22"/>
      <c r="C670" s="22"/>
      <c r="D670" s="22"/>
      <c r="E670" s="22"/>
      <c r="F670" s="149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25">
      <c r="A671" s="22"/>
      <c r="B671" s="22"/>
      <c r="C671" s="22"/>
      <c r="D671" s="22"/>
      <c r="E671" s="22"/>
      <c r="F671" s="149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25">
      <c r="A672" s="22"/>
      <c r="B672" s="22"/>
      <c r="C672" s="22"/>
      <c r="D672" s="22"/>
      <c r="E672" s="22"/>
      <c r="F672" s="149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25">
      <c r="A673" s="22"/>
      <c r="B673" s="22"/>
      <c r="C673" s="22"/>
      <c r="D673" s="22"/>
      <c r="E673" s="22"/>
      <c r="F673" s="149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25">
      <c r="A674" s="22"/>
      <c r="B674" s="22"/>
      <c r="C674" s="22"/>
      <c r="D674" s="22"/>
      <c r="E674" s="22"/>
      <c r="F674" s="149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25">
      <c r="A675" s="22"/>
      <c r="B675" s="22"/>
      <c r="C675" s="22"/>
      <c r="D675" s="22"/>
      <c r="E675" s="22"/>
      <c r="F675" s="149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25">
      <c r="A676" s="22"/>
      <c r="B676" s="22"/>
      <c r="C676" s="22"/>
      <c r="D676" s="22"/>
      <c r="E676" s="22"/>
      <c r="F676" s="149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25">
      <c r="A677" s="22"/>
      <c r="B677" s="22"/>
      <c r="C677" s="22"/>
      <c r="D677" s="22"/>
      <c r="E677" s="22"/>
      <c r="F677" s="149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25">
      <c r="A678" s="22"/>
      <c r="B678" s="22"/>
      <c r="C678" s="22"/>
      <c r="D678" s="22"/>
      <c r="E678" s="22"/>
      <c r="F678" s="149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25">
      <c r="A679" s="22"/>
      <c r="B679" s="22"/>
      <c r="C679" s="22"/>
      <c r="D679" s="22"/>
      <c r="E679" s="22"/>
      <c r="F679" s="149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25">
      <c r="A680" s="22"/>
      <c r="B680" s="22"/>
      <c r="C680" s="22"/>
      <c r="D680" s="22"/>
      <c r="E680" s="22"/>
      <c r="F680" s="149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25">
      <c r="A681" s="22"/>
      <c r="B681" s="22"/>
      <c r="C681" s="22"/>
      <c r="D681" s="22"/>
      <c r="E681" s="22"/>
      <c r="F681" s="149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25">
      <c r="A682" s="22"/>
      <c r="B682" s="22"/>
      <c r="C682" s="22"/>
      <c r="D682" s="22"/>
      <c r="E682" s="22"/>
      <c r="F682" s="149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25">
      <c r="A683" s="22"/>
      <c r="B683" s="22"/>
      <c r="C683" s="22"/>
      <c r="D683" s="22"/>
      <c r="E683" s="22"/>
      <c r="F683" s="149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25">
      <c r="A684" s="22"/>
      <c r="B684" s="22"/>
      <c r="C684" s="22"/>
      <c r="D684" s="22"/>
      <c r="E684" s="22"/>
      <c r="F684" s="149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25">
      <c r="A685" s="22"/>
      <c r="B685" s="22"/>
      <c r="C685" s="22"/>
      <c r="D685" s="22"/>
      <c r="E685" s="22"/>
      <c r="F685" s="149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25">
      <c r="A686" s="22"/>
      <c r="B686" s="22"/>
      <c r="C686" s="22"/>
      <c r="D686" s="22"/>
      <c r="E686" s="22"/>
      <c r="F686" s="149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25">
      <c r="A687" s="22"/>
      <c r="B687" s="22"/>
      <c r="C687" s="22"/>
      <c r="D687" s="22"/>
      <c r="E687" s="22"/>
      <c r="F687" s="149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25">
      <c r="A688" s="22"/>
      <c r="B688" s="22"/>
      <c r="C688" s="22"/>
      <c r="D688" s="22"/>
      <c r="E688" s="22"/>
      <c r="F688" s="149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25">
      <c r="A689" s="22"/>
      <c r="B689" s="22"/>
      <c r="C689" s="22"/>
      <c r="D689" s="22"/>
      <c r="E689" s="22"/>
      <c r="F689" s="149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25">
      <c r="A690" s="22"/>
      <c r="B690" s="22"/>
      <c r="C690" s="22"/>
      <c r="D690" s="22"/>
      <c r="E690" s="22"/>
      <c r="F690" s="149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25">
      <c r="A691" s="22"/>
      <c r="B691" s="22"/>
      <c r="C691" s="22"/>
      <c r="D691" s="22"/>
      <c r="E691" s="22"/>
      <c r="F691" s="149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25">
      <c r="A692" s="22"/>
      <c r="B692" s="22"/>
      <c r="C692" s="22"/>
      <c r="D692" s="22"/>
      <c r="E692" s="22"/>
      <c r="F692" s="149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25">
      <c r="A693" s="22"/>
      <c r="B693" s="22"/>
      <c r="C693" s="22"/>
      <c r="D693" s="22"/>
      <c r="E693" s="22"/>
      <c r="F693" s="149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25">
      <c r="A694" s="22"/>
      <c r="B694" s="22"/>
      <c r="C694" s="22"/>
      <c r="D694" s="22"/>
      <c r="E694" s="22"/>
      <c r="F694" s="149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25">
      <c r="A695" s="22"/>
      <c r="B695" s="22"/>
      <c r="C695" s="22"/>
      <c r="D695" s="22"/>
      <c r="E695" s="22"/>
      <c r="F695" s="149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25">
      <c r="A696" s="22"/>
      <c r="B696" s="22"/>
      <c r="C696" s="22"/>
      <c r="D696" s="22"/>
      <c r="E696" s="22"/>
      <c r="F696" s="149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25">
      <c r="A697" s="22"/>
      <c r="B697" s="22"/>
      <c r="C697" s="22"/>
      <c r="D697" s="22"/>
      <c r="E697" s="22"/>
      <c r="F697" s="149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25">
      <c r="A698" s="22"/>
      <c r="B698" s="22"/>
      <c r="C698" s="22"/>
      <c r="D698" s="22"/>
      <c r="E698" s="22"/>
      <c r="F698" s="149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25">
      <c r="A699" s="22"/>
      <c r="B699" s="22"/>
      <c r="C699" s="22"/>
      <c r="D699" s="22"/>
      <c r="E699" s="22"/>
      <c r="F699" s="149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25">
      <c r="A700" s="22"/>
      <c r="B700" s="22"/>
      <c r="C700" s="22"/>
      <c r="D700" s="22"/>
      <c r="E700" s="22"/>
      <c r="F700" s="149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25">
      <c r="A701" s="22"/>
      <c r="B701" s="22"/>
      <c r="C701" s="22"/>
      <c r="D701" s="22"/>
      <c r="E701" s="22"/>
      <c r="F701" s="149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25">
      <c r="A702" s="22"/>
      <c r="B702" s="22"/>
      <c r="C702" s="22"/>
      <c r="D702" s="22"/>
      <c r="E702" s="22"/>
      <c r="F702" s="149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25">
      <c r="A703" s="22"/>
      <c r="B703" s="22"/>
      <c r="C703" s="22"/>
      <c r="D703" s="22"/>
      <c r="E703" s="22"/>
      <c r="F703" s="149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25">
      <c r="A704" s="22"/>
      <c r="B704" s="22"/>
      <c r="C704" s="22"/>
      <c r="D704" s="22"/>
      <c r="E704" s="22"/>
      <c r="F704" s="149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25">
      <c r="A705" s="22"/>
      <c r="B705" s="22"/>
      <c r="C705" s="22"/>
      <c r="D705" s="22"/>
      <c r="E705" s="22"/>
      <c r="F705" s="149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25">
      <c r="A706" s="22"/>
      <c r="B706" s="22"/>
      <c r="C706" s="22"/>
      <c r="D706" s="22"/>
      <c r="E706" s="22"/>
      <c r="F706" s="149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25">
      <c r="A707" s="22"/>
      <c r="B707" s="22"/>
      <c r="C707" s="22"/>
      <c r="D707" s="22"/>
      <c r="E707" s="22"/>
      <c r="F707" s="149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25">
      <c r="A708" s="22"/>
      <c r="B708" s="22"/>
      <c r="C708" s="22"/>
      <c r="D708" s="22"/>
      <c r="E708" s="22"/>
      <c r="F708" s="149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25">
      <c r="A709" s="22"/>
      <c r="B709" s="22"/>
      <c r="C709" s="22"/>
      <c r="D709" s="22"/>
      <c r="E709" s="22"/>
      <c r="F709" s="149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25">
      <c r="A710" s="22"/>
      <c r="B710" s="22"/>
      <c r="C710" s="22"/>
      <c r="D710" s="22"/>
      <c r="E710" s="22"/>
      <c r="F710" s="149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25">
      <c r="A711" s="22"/>
      <c r="B711" s="22"/>
      <c r="C711" s="22"/>
      <c r="D711" s="22"/>
      <c r="E711" s="22"/>
      <c r="F711" s="149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25">
      <c r="A712" s="22"/>
      <c r="B712" s="22"/>
      <c r="C712" s="22"/>
      <c r="D712" s="22"/>
      <c r="E712" s="22"/>
      <c r="F712" s="149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25">
      <c r="A713" s="22"/>
      <c r="B713" s="22"/>
      <c r="C713" s="22"/>
      <c r="D713" s="22"/>
      <c r="E713" s="22"/>
      <c r="F713" s="149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25">
      <c r="A714" s="22"/>
      <c r="B714" s="22"/>
      <c r="C714" s="22"/>
      <c r="D714" s="22"/>
      <c r="E714" s="22"/>
      <c r="F714" s="149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25">
      <c r="A715" s="22"/>
      <c r="B715" s="22"/>
      <c r="C715" s="22"/>
      <c r="D715" s="22"/>
      <c r="E715" s="22"/>
      <c r="F715" s="149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25">
      <c r="A716" s="22"/>
      <c r="B716" s="22"/>
      <c r="C716" s="22"/>
      <c r="D716" s="22"/>
      <c r="E716" s="22"/>
      <c r="F716" s="149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25">
      <c r="A717" s="22"/>
      <c r="B717" s="22"/>
      <c r="C717" s="22"/>
      <c r="D717" s="22"/>
      <c r="E717" s="22"/>
      <c r="F717" s="149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25">
      <c r="A718" s="22"/>
      <c r="B718" s="22"/>
      <c r="C718" s="22"/>
      <c r="D718" s="22"/>
      <c r="E718" s="22"/>
      <c r="F718" s="149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25">
      <c r="A719" s="22"/>
      <c r="B719" s="22"/>
      <c r="C719" s="22"/>
      <c r="D719" s="22"/>
      <c r="E719" s="22"/>
      <c r="F719" s="149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25">
      <c r="A720" s="22"/>
      <c r="B720" s="22"/>
      <c r="C720" s="22"/>
      <c r="D720" s="22"/>
      <c r="E720" s="22"/>
      <c r="F720" s="149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25">
      <c r="A721" s="22"/>
      <c r="B721" s="22"/>
      <c r="C721" s="22"/>
      <c r="D721" s="22"/>
      <c r="E721" s="22"/>
      <c r="F721" s="149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25">
      <c r="A722" s="22"/>
      <c r="B722" s="22"/>
      <c r="C722" s="22"/>
      <c r="D722" s="22"/>
      <c r="E722" s="22"/>
      <c r="F722" s="149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25">
      <c r="A723" s="22"/>
      <c r="B723" s="22"/>
      <c r="C723" s="22"/>
      <c r="D723" s="22"/>
      <c r="E723" s="22"/>
      <c r="F723" s="149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25">
      <c r="A724" s="22"/>
      <c r="B724" s="22"/>
      <c r="C724" s="22"/>
      <c r="D724" s="22"/>
      <c r="E724" s="22"/>
      <c r="F724" s="149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25">
      <c r="A725" s="22"/>
      <c r="B725" s="22"/>
      <c r="C725" s="22"/>
      <c r="D725" s="22"/>
      <c r="E725" s="22"/>
      <c r="F725" s="149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25">
      <c r="A726" s="22"/>
      <c r="B726" s="22"/>
      <c r="C726" s="22"/>
      <c r="D726" s="22"/>
      <c r="E726" s="22"/>
      <c r="F726" s="149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25">
      <c r="A727" s="22"/>
      <c r="B727" s="22"/>
      <c r="C727" s="22"/>
      <c r="D727" s="22"/>
      <c r="E727" s="22"/>
      <c r="F727" s="149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25">
      <c r="A728" s="22"/>
      <c r="B728" s="22"/>
      <c r="C728" s="22"/>
      <c r="D728" s="22"/>
      <c r="E728" s="22"/>
      <c r="F728" s="149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25">
      <c r="A729" s="22"/>
      <c r="B729" s="22"/>
      <c r="C729" s="22"/>
      <c r="D729" s="22"/>
      <c r="E729" s="22"/>
      <c r="F729" s="149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25">
      <c r="A730" s="22"/>
      <c r="B730" s="22"/>
      <c r="C730" s="22"/>
      <c r="D730" s="22"/>
      <c r="E730" s="22"/>
      <c r="F730" s="149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25">
      <c r="A731" s="22"/>
      <c r="B731" s="22"/>
      <c r="C731" s="22"/>
      <c r="D731" s="22"/>
      <c r="E731" s="22"/>
      <c r="F731" s="149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25">
      <c r="A732" s="22"/>
      <c r="B732" s="22"/>
      <c r="C732" s="22"/>
      <c r="D732" s="22"/>
      <c r="E732" s="22"/>
      <c r="F732" s="149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25">
      <c r="A733" s="22"/>
      <c r="B733" s="22"/>
      <c r="C733" s="22"/>
      <c r="D733" s="22"/>
      <c r="E733" s="22"/>
      <c r="F733" s="149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25">
      <c r="A734" s="22"/>
      <c r="B734" s="22"/>
      <c r="C734" s="22"/>
      <c r="D734" s="22"/>
      <c r="E734" s="22"/>
      <c r="F734" s="149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25">
      <c r="A735" s="22"/>
      <c r="B735" s="22"/>
      <c r="C735" s="22"/>
      <c r="D735" s="22"/>
      <c r="E735" s="22"/>
      <c r="F735" s="149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25">
      <c r="A736" s="22"/>
      <c r="B736" s="22"/>
      <c r="C736" s="22"/>
      <c r="D736" s="22"/>
      <c r="E736" s="22"/>
      <c r="F736" s="149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25">
      <c r="A737" s="22"/>
      <c r="B737" s="22"/>
      <c r="C737" s="22"/>
      <c r="D737" s="22"/>
      <c r="E737" s="22"/>
      <c r="F737" s="149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25">
      <c r="A738" s="22"/>
      <c r="B738" s="22"/>
      <c r="C738" s="22"/>
      <c r="D738" s="22"/>
      <c r="E738" s="22"/>
      <c r="F738" s="149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25">
      <c r="A739" s="22"/>
      <c r="B739" s="22"/>
      <c r="C739" s="22"/>
      <c r="D739" s="22"/>
      <c r="E739" s="22"/>
      <c r="F739" s="149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25">
      <c r="A740" s="22"/>
      <c r="B740" s="22"/>
      <c r="C740" s="22"/>
      <c r="D740" s="22"/>
      <c r="E740" s="22"/>
      <c r="F740" s="149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25">
      <c r="A741" s="22"/>
      <c r="B741" s="22"/>
      <c r="C741" s="22"/>
      <c r="D741" s="22"/>
      <c r="E741" s="22"/>
      <c r="F741" s="149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25">
      <c r="A742" s="22"/>
      <c r="B742" s="22"/>
      <c r="C742" s="22"/>
      <c r="D742" s="22"/>
      <c r="E742" s="22"/>
      <c r="F742" s="149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25">
      <c r="A743" s="22"/>
      <c r="B743" s="22"/>
      <c r="C743" s="22"/>
      <c r="D743" s="22"/>
      <c r="E743" s="22"/>
      <c r="F743" s="149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25">
      <c r="A744" s="22"/>
      <c r="B744" s="22"/>
      <c r="C744" s="22"/>
      <c r="D744" s="22"/>
      <c r="E744" s="22"/>
      <c r="F744" s="149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25">
      <c r="A745" s="22"/>
      <c r="B745" s="22"/>
      <c r="C745" s="22"/>
      <c r="D745" s="22"/>
      <c r="E745" s="22"/>
      <c r="F745" s="149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25">
      <c r="A746" s="22"/>
      <c r="B746" s="22"/>
      <c r="C746" s="22"/>
      <c r="D746" s="22"/>
      <c r="E746" s="22"/>
      <c r="F746" s="149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25">
      <c r="A747" s="22"/>
      <c r="B747" s="22"/>
      <c r="C747" s="22"/>
      <c r="D747" s="22"/>
      <c r="E747" s="22"/>
      <c r="F747" s="149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25">
      <c r="A748" s="22"/>
      <c r="B748" s="22"/>
      <c r="C748" s="22"/>
      <c r="D748" s="22"/>
      <c r="E748" s="22"/>
      <c r="F748" s="149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25">
      <c r="A749" s="22"/>
      <c r="B749" s="22"/>
      <c r="C749" s="22"/>
      <c r="D749" s="22"/>
      <c r="E749" s="22"/>
      <c r="F749" s="149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25">
      <c r="A750" s="22"/>
      <c r="B750" s="22"/>
      <c r="C750" s="22"/>
      <c r="D750" s="22"/>
      <c r="E750" s="22"/>
      <c r="F750" s="149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25">
      <c r="A751" s="22"/>
      <c r="B751" s="22"/>
      <c r="C751" s="22"/>
      <c r="D751" s="22"/>
      <c r="E751" s="22"/>
      <c r="F751" s="149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autoFilter ref="A1:AD603" xr:uid="{00000000-0009-0000-0000-000001000000}"/>
  <customSheetViews>
    <customSheetView guid="{A2E0186D-424E-4895-9072-D0EDDD8CCE69}" filter="1" showAutoFilter="1">
      <pageMargins left="0.7" right="0.7" top="0.75" bottom="0.75" header="0.3" footer="0.3"/>
      <autoFilter ref="A1:AC363" xr:uid="{A93AEDA4-C907-4C1A-9D52-8804E3D6AF7A}"/>
    </customSheetView>
    <customSheetView guid="{DFB6F231-9A14-431F-9B10-6FF6D4042E99}" filter="1" showAutoFilter="1">
      <pageMargins left="0.7" right="0.7" top="0.75" bottom="0.75" header="0.3" footer="0.3"/>
      <autoFilter ref="A1:AC363" xr:uid="{AD7D6D47-47D0-4925-B31C-81A3A7B53216}"/>
    </customSheetView>
    <customSheetView guid="{9FEA7BA0-182F-4904-B747-0F06627DA2E3}" filter="1" showAutoFilter="1">
      <pageMargins left="0.7" right="0.7" top="0.75" bottom="0.75" header="0.3" footer="0.3"/>
      <autoFilter ref="A1:AD570" xr:uid="{835C59DE-5737-4307-A613-0F610B8FBBB0}">
        <filterColumn colId="0">
          <filters>
            <filter val="OPERATIVO"/>
          </filters>
        </filterColumn>
        <filterColumn colId="5">
          <filters>
            <filter val="AGAMEZ SOLANO SHEYLA MARIA"/>
            <filter val="ALBARRACIN CARDENAS CAROLAIN"/>
            <filter val="ALBOR CHARRIS JESUS MARIA"/>
            <filter val="ALVAREZ GONZALEZ LUIS ANGEL"/>
            <filter val="ANAYA NIÑO ANIBAL RAFAEL"/>
            <filter val="ARGUELLES BARRAZA ANGIE PAOLA"/>
            <filter val="ARIZA TAMAYO GERMAN DAVID"/>
            <filter val="AVILA GONZALEZ JAVIER JOSE"/>
            <filter val="AVILA JIMENEZ HERNAN GONZALO"/>
            <filter val="AYUBB ROHENEZ FABIANA ANDREA"/>
            <filter val="BADILLO VILORIA JOSE LUIS"/>
            <filter val="BALCINILLA SERRANO DARCY MARY"/>
            <filter val="BALZA SOTO YURIS MARIA"/>
            <filter val="BARRIOS ESCORCIA ROBERTO ANTONIO"/>
            <filter val="BELTRAN JIMENEZ SANDRA MARCELA"/>
            <filter val="BERDUGO CHARRIS LORAINE"/>
            <filter val="BETIN VILLAR CARLOS DAVID"/>
            <filter val="BOLAÑO TRILLOS MARIANA JOSUE"/>
            <filter val="BONADIEZ MEJIA HUMBERTO"/>
            <filter val="BUJATO RENTERIA MAYRA ALEJANDRA"/>
            <filter val="CALLE INSIGNARES LEONARDO ANTONIO"/>
            <filter val="CANTILLO CASTRO LAURA VANESSA"/>
            <filter val="CAÑATE VALDEZ ARTURO JAVIER"/>
            <filter val="CAROLINA DEL CARMEN DE LA HOZ ESCORCIA"/>
            <filter val="CHARRIS CASTILLO JEFFERSON"/>
            <filter val="CHAVEZ TORRES LEONEL SEGUNDO"/>
            <filter val="CHICO SILVERA ROBERTO"/>
            <filter val="COBA ARIZA DAYVER JOSE"/>
            <filter val="COLON CAPDEVILLA LUCIA FERNANDA"/>
            <filter val="CONTRERAS CADENAS SAUL ANDRES"/>
            <filter val="CORREA ARELLANA MAURICIO ANDRES"/>
            <filter val="CUELLO BARRAZA STEFANNY"/>
            <filter val="DE ALBA FONTALVO INGRID SARAY"/>
            <filter val="DIAZ CANTILLO WENDY PAOLA"/>
            <filter val="DIAZ PEREZ FRANCISCO JAVIER"/>
            <filter val="DOMINGUEZ MARTINEZ LEIDYS"/>
            <filter val="DURAN ALVAREZ JORGE ELIECER"/>
            <filter val="ESCOBAR MANJARRES GERARDO ENRIQUE"/>
            <filter val="ESTRADA CHARRIS ALONSO DE JESUS"/>
            <filter val="FLOREZ DIAZ EDUARDO ANTONIO"/>
            <filter val="FLOREZ SALGADO JUAN JOSE"/>
            <filter val="FONTALVO BOLAÑO ENMANUEL"/>
            <filter val="FRUTOS CHARRIS CAROLINA"/>
            <filter val="FUENTES PEREZ LUIS DAVID"/>
            <filter val="GOMEZ ESTEVEZ AURA VANESSA"/>
            <filter val="GRATEROL ESQUIVEL LUIS ALBERTO"/>
            <filter val="GUTIERREZ BARRETO JOSE ARISTIDES"/>
            <filter val="GUTIERREZ GONZALEZ DANIELA PAOLA"/>
            <filter val="GUTIERREZ OLARTE TONY STIVEN"/>
            <filter val="HAYDAR REYES ANA SOFIA"/>
            <filter val="HEIDY SHARITH URQUIJO PEREZ"/>
            <filter val="HIDALGO OCHOA ANA MILENA"/>
            <filter val="JIMENEZ ARAGON CARLOS ANDRES"/>
            <filter val="JIMENEZ PEÑALOZA KEVIS EDUARDO"/>
            <filter val="JIMENEZ TORRES YACIR ALEJANDRO"/>
            <filter val="JUAN PABLO FERNÁNDEZ DE CASTRO MONTERO"/>
            <filter val="JULIO VARGAS JOSE MANUEL"/>
            <filter val="LINDARTE JAIMES FARIK LEONEL"/>
            <filter val="LUNA MURILLO ELKIN JOSE"/>
            <filter val="LUNA QUINTERO CINDY MELISSA"/>
            <filter val="MARENCO RUA ESTEBAN JOSE"/>
            <filter val="MARENCO RUA SERGIO ENRIQUE"/>
            <filter val="MARTELO RIVERA ALBERTO DE JESUS"/>
            <filter val="MAYERLIS DEULOFEUT PEREZ"/>
            <filter val="MEJIA CRESCENTE JUAN PABLO"/>
            <filter val="MENDEZ SIMANCA HORACIO"/>
            <filter val="MENDOZA ALVAREZ MIGUEL ANDRES"/>
            <filter val="MENDOZA CARRILLO KELLY KENDRY"/>
            <filter val="MENDOZA IBAÑEZ JENNIFER EDITH"/>
            <filter val="MERCADO PAJARO MARINELA PATRICIA"/>
            <filter val="MIRANDA SOLANO BRAYAN JOSE"/>
            <filter val="MOLINA LAURENS LEONILDA ROSA"/>
            <filter val="MUNIVE PEREZ MARIA LUISA"/>
            <filter val="MUÑOZ DOMINGUEZ DAVID"/>
            <filter val="OLMOS REYES JHOIMER"/>
            <filter val="OROZCO JIMENEZ MARI NELLY"/>
            <filter val="ORTEGA BARRERA MIGUEL ANGEL"/>
            <filter val="ORTEGA OTERO KAROL TATIANA"/>
            <filter val="OSPINO BOVEA LEYDIS PAOLA"/>
            <filter val="OTERO URUETA JASSIR ANDRES"/>
            <filter val="PALMA MENDOZA JOSSIE ESTEBAN"/>
            <filter val="PAREJA REALES JONATHAN"/>
            <filter val="PEREZ ESCORCIA LEIDER JUNIOR"/>
            <filter val="PEREZ MONZON MARIBEL"/>
            <filter val="PICON FLOREZ JARLEN DAVID"/>
            <filter val="POSADA PADILLA LITSY CAROLINA"/>
            <filter val="RADA CABALLERO MARIA DEL SOCORRO"/>
            <filter val="RAMIREZ VASQUEZ ANA ISABEL"/>
            <filter val="RAMON ANTONIO GONZALEZ RIVALDO"/>
            <filter val="REBOLLEDO BELTRAN RANDY ENRIQUE"/>
            <filter val="ROBLES HILL NATHALIA MARIA"/>
            <filter val="RODRIGUEZ ESCALANTE GERARDO"/>
            <filter val="ROMERO BLANCO JHON EDUARD"/>
            <filter val="RUDAS BERBESI WALTER MIGUEL"/>
            <filter val="SALAS ORTIZ LAURA VANESA"/>
            <filter val="SANDOVAL MARCHENA LEYDER DE JESUS"/>
            <filter val="SANDOVAL NIETO DANNYS ALBERTO"/>
            <filter val="SARMIENTO SARMIENTO ISRAEL"/>
            <filter val="SARMIENTOS JIMENEZ ELKIN GREGORIO"/>
            <filter val="SOTO DEL ALBA KEILLYN DANIELA"/>
            <filter val="TAIBEL HERRERA JULIO CESAR"/>
            <filter val="TINOCO E LA ROSA JHON DAVID"/>
            <filter val="TOBAR CERVANTES JOSE LUIS"/>
            <filter val="TOLOZA RUIZ LUIS FERNANDO"/>
            <filter val="TORRES ANDRADE  CARLOS DANIEL"/>
            <filter val="URREGO JIMENEZ JOSE MIGUEL"/>
          </filters>
        </filterColumn>
      </autoFilter>
    </customSheetView>
    <customSheetView guid="{309776D3-C190-4335-B619-BE34F91EE46E}" filter="1" showAutoFilter="1">
      <pageMargins left="0.7" right="0.7" top="0.75" bottom="0.75" header="0.3" footer="0.3"/>
      <autoFilter ref="D265:D273" xr:uid="{D6E4635B-F614-4EE1-AE19-9525E0640E09}"/>
    </customSheetView>
  </customSheetViews>
  <conditionalFormatting sqref="E424">
    <cfRule type="notContainsBlanks" dxfId="6" priority="2">
      <formula>LEN(TRIM(E424))&gt;0</formula>
    </cfRule>
  </conditionalFormatting>
  <conditionalFormatting sqref="Q2:Q425 P309:P425 P427:P430 Q427:Q530 Q532:Q562 Q564:Q591">
    <cfRule type="notContainsBlanks" dxfId="5" priority="1">
      <formula>LEN(TRIM(Q2))&gt;0</formula>
    </cfRule>
  </conditionalFormatting>
  <dataValidations count="8">
    <dataValidation type="list" allowBlank="1" showErrorMessage="1" sqref="O2:O603" xr:uid="{00000000-0002-0000-0100-000000000000}">
      <formula1>"Casado(a),Desconocido,Separado(a),Soltero(a),Unión Libre"</formula1>
    </dataValidation>
    <dataValidation type="list" allowBlank="1" showErrorMessage="1" sqref="Q2:Q603" xr:uid="{00000000-0002-0000-0100-000001000000}">
      <formula1>"POSITIVO,#¡REF!,NEGATIVO"</formula1>
    </dataValidation>
    <dataValidation type="list" allowBlank="1" showErrorMessage="1" sqref="A2:A603" xr:uid="{00000000-0002-0000-0100-000002000000}">
      <formula1>"ADMINISTRATIVO,OPERATIVO"</formula1>
    </dataValidation>
    <dataValidation type="list" allowBlank="1" showErrorMessage="1" sqref="AD3:AD5 AD7 AD10 AD15:AD17 AD22 AD26:AD27 AD29 AD32:AD40 AD42:AD46 AD48:AD56 AD58:AD59 AD62:AD63 AD66:AD68 AD74:AD76 AD85:AD89 AD91 AD94:AD96 AD98 AD100 AD102:AD104 AD106 AD109:AD110 AD112:AD113 AD115 AD122:AD126 AD129:AD138 AD140:AD141 AD145:AD146 AD149:AD151 AD153 AD155:AD165 AD167:AD168 AD171:AD172 AD174:AD176 AD178 AD180 AD182 AD185:AD186 AD189:AD190 AD192:AD193 AD196:AD197 AD201:AD203 AD206:AD207 AD210 AD214:AD215 AD218:AD219 AD223 AD225:AD233 AD235:AD243 AD249:AD250 AD252:AD254 AD257:AD258 AD260:AD261 AD264:AD267 AD269:AD272 AD275:AD278 AD281:AD282 AD284:AD285 AD290:AD297 AD299 AD303:AD304 AD307:AD309 AD311:AD315 AD318:AD320 AD322 AD324:AD325 AD327 AD329 AD331 AD333 AD337 AD339 AD343 AD345:AD347 AD349:AD355 AD357 AD360 AD364 AD368 AD372:AD373 AD376:AD377 AD380:AD381 AD383:AD384 AD387 AD389:AD390 AD392 AD394:AD395 AD397:AD398 AD402 AD405:AD406 AD408:AD410 AD412 AD414 AD416 AD420 AD423:AD424 AD426 AD428:AD432 AD434:AD441 AD443 AD445 AD449 AD451:AD453 AD455 AD458:AD460 AD462 AD470 AD472 AD476:AD477 AD480:AD482 AD484:AD485 AD488:AD490 AD495:AD496 AD500:AD504 AD506:AD508 AD511 AD513:AD515 AD518 AD522 AD524 AD526:AD528 AD531 AD533 AD535:AD536 AD540:AD542 AD545:AD546 AD549:AD551 AD553 AD555:AD556 AD558:AD559 AD561:AD564 AD570:AD574 AD580:AD581 AD584:AD587 AD590:AD591 AD594:AD597 AD601:AD603" xr:uid="{00000000-0002-0000-0100-000003000000}">
      <formula1>"CON JUSTA CAUSA,SIN JUSTA CAUSA,PERIODO DE PRUEBA,VOLUNTARIO,TERMINACION DE PRACTICAS,SIN NOVEDAD,RETIRADO"</formula1>
    </dataValidation>
    <dataValidation type="list" allowBlank="1" showErrorMessage="1" sqref="B2:B603" xr:uid="{00000000-0002-0000-0100-000004000000}">
      <formula1>"ACTIVO,INACTIVO"</formula1>
    </dataValidation>
    <dataValidation type="list" allowBlank="1" showErrorMessage="1" sqref="N2:N603" xr:uid="{00000000-0002-0000-0100-000005000000}">
      <formula1>"Femenino,Masculino,Otros"</formula1>
    </dataValidation>
    <dataValidation type="list" allowBlank="1" showErrorMessage="1" sqref="AD18 AD25 AD28 AD30 AD41 AD64 AD69:AD72 AD79:AD82 AD90 AD92:AD93 AD97 AD99 AD101 AD105 AD107:AD108 AD116:AD118 AD128 AD139 AD144 AD148 AD184 AD188 AD191 AD194:AD195 AD199:AD200 AD204:AD205 AD213 AD217 AD220 AD224 AD234 AD244 AD247:AD248 AD251 AD256 AD259 AD263 AD273:AD274 AD289 AD300:AD302 AD305:AD306 AD328 AD332 AD334:AD335 AD338 AD341:AD342 AD348 AD358:AD359 AD361:AD363 AD371 AD375 AD379 AD385 AD388 AD393 AD399 AD403:AD404 AD407 AD411 AD413 AD417:AD418 AD422 AD427 AD433 AD442 AD444 AD446:AD448 AD450 AD454 AD456:AD457 AD461 AD463:AD464 AD467:AD468 AD471 AD474:AD475 AD478 AD494 AD510 AD523 AD529 AD532 AD537:AD539 AD544 AD548 AD552 AD554 AD560 AD565:AD566 AD569 AD589 AD599" xr:uid="{00000000-0002-0000-0100-000006000000}">
      <formula1>"CON JUSTA CAUSA,SIN JUSTA CAUSA,PERIODO DE PRUEBA,VOLUNTARIO,TERMINACION DE PRACTICAS,SIN NOVEDAD,RETIRO SIZING"</formula1>
    </dataValidation>
    <dataValidation type="list" allowBlank="1" showErrorMessage="1" sqref="C2:C603" xr:uid="{00000000-0002-0000-0100-000007000000}">
      <formula1>"CON GEOVICTORIA,SIN GEOVICTORIA"</formula1>
    </dataValidation>
  </dataValidations>
  <hyperlinks>
    <hyperlink ref="W8" r:id="rId1" xr:uid="{00000000-0004-0000-0100-000000000000}"/>
    <hyperlink ref="W35" r:id="rId2" xr:uid="{00000000-0004-0000-0100-000001000000}"/>
    <hyperlink ref="W60" r:id="rId3" xr:uid="{00000000-0004-0000-0100-000002000000}"/>
    <hyperlink ref="W65" r:id="rId4" xr:uid="{00000000-0004-0000-0100-000003000000}"/>
    <hyperlink ref="W66" r:id="rId5" xr:uid="{00000000-0004-0000-0100-000004000000}"/>
    <hyperlink ref="W73" r:id="rId6" xr:uid="{00000000-0004-0000-0100-000005000000}"/>
    <hyperlink ref="W77" r:id="rId7" xr:uid="{00000000-0004-0000-0100-000006000000}"/>
    <hyperlink ref="W78" r:id="rId8" xr:uid="{00000000-0004-0000-0100-000007000000}"/>
    <hyperlink ref="W99" r:id="rId9" xr:uid="{00000000-0004-0000-0100-000008000000}"/>
    <hyperlink ref="W109" r:id="rId10" xr:uid="{00000000-0004-0000-0100-000009000000}"/>
    <hyperlink ref="W114" r:id="rId11" xr:uid="{00000000-0004-0000-0100-00000A000000}"/>
    <hyperlink ref="W122" r:id="rId12" xr:uid="{00000000-0004-0000-0100-00000B000000}"/>
    <hyperlink ref="W124" r:id="rId13" xr:uid="{00000000-0004-0000-0100-00000C000000}"/>
    <hyperlink ref="W141" r:id="rId14" xr:uid="{00000000-0004-0000-0100-00000D000000}"/>
    <hyperlink ref="W143" r:id="rId15" xr:uid="{00000000-0004-0000-0100-00000E000000}"/>
    <hyperlink ref="W146" r:id="rId16" xr:uid="{00000000-0004-0000-0100-00000F000000}"/>
    <hyperlink ref="W151" r:id="rId17" xr:uid="{00000000-0004-0000-0100-000010000000}"/>
    <hyperlink ref="W152" r:id="rId18" xr:uid="{00000000-0004-0000-0100-000011000000}"/>
    <hyperlink ref="W154" r:id="rId19" xr:uid="{00000000-0004-0000-0100-000012000000}"/>
    <hyperlink ref="W170" r:id="rId20" xr:uid="{00000000-0004-0000-0100-000013000000}"/>
    <hyperlink ref="W171" r:id="rId21" xr:uid="{00000000-0004-0000-0100-000014000000}"/>
    <hyperlink ref="W176" r:id="rId22" xr:uid="{00000000-0004-0000-0100-000015000000}"/>
    <hyperlink ref="W178" r:id="rId23" xr:uid="{00000000-0004-0000-0100-000016000000}"/>
    <hyperlink ref="W181" r:id="rId24" xr:uid="{00000000-0004-0000-0100-000017000000}"/>
    <hyperlink ref="W211" r:id="rId25" xr:uid="{00000000-0004-0000-0100-000018000000}"/>
    <hyperlink ref="W214" r:id="rId26" xr:uid="{00000000-0004-0000-0100-000019000000}"/>
    <hyperlink ref="W215" r:id="rId27" xr:uid="{00000000-0004-0000-0100-00001A000000}"/>
    <hyperlink ref="W216" r:id="rId28" xr:uid="{00000000-0004-0000-0100-00001B000000}"/>
    <hyperlink ref="W225" r:id="rId29" xr:uid="{00000000-0004-0000-0100-00001C000000}"/>
    <hyperlink ref="W234" r:id="rId30" xr:uid="{00000000-0004-0000-0100-00001D000000}"/>
    <hyperlink ref="W236" r:id="rId31" xr:uid="{00000000-0004-0000-0100-00001E000000}"/>
    <hyperlink ref="W238" r:id="rId32" xr:uid="{00000000-0004-0000-0100-00001F000000}"/>
    <hyperlink ref="W243" r:id="rId33" xr:uid="{00000000-0004-0000-0100-000020000000}"/>
    <hyperlink ref="W245" r:id="rId34" xr:uid="{00000000-0004-0000-0100-000021000000}"/>
    <hyperlink ref="W246" r:id="rId35" xr:uid="{00000000-0004-0000-0100-000022000000}"/>
    <hyperlink ref="W249" r:id="rId36" xr:uid="{00000000-0004-0000-0100-000023000000}"/>
    <hyperlink ref="W260" r:id="rId37" xr:uid="{00000000-0004-0000-0100-000024000000}"/>
    <hyperlink ref="W262" r:id="rId38" xr:uid="{00000000-0004-0000-0100-000025000000}"/>
    <hyperlink ref="W264" r:id="rId39" xr:uid="{00000000-0004-0000-0100-000026000000}"/>
    <hyperlink ref="W272" r:id="rId40" xr:uid="{00000000-0004-0000-0100-000027000000}"/>
    <hyperlink ref="W273" r:id="rId41" xr:uid="{00000000-0004-0000-0100-000028000000}"/>
    <hyperlink ref="W279" r:id="rId42" xr:uid="{00000000-0004-0000-0100-000029000000}"/>
    <hyperlink ref="W280" r:id="rId43" xr:uid="{00000000-0004-0000-0100-00002A000000}"/>
    <hyperlink ref="W286" r:id="rId44" xr:uid="{00000000-0004-0000-0100-00002B000000}"/>
    <hyperlink ref="W291" r:id="rId45" xr:uid="{00000000-0004-0000-0100-00002C000000}"/>
    <hyperlink ref="W297" r:id="rId46" xr:uid="{00000000-0004-0000-0100-00002D000000}"/>
    <hyperlink ref="W298" r:id="rId47" xr:uid="{00000000-0004-0000-0100-00002E000000}"/>
    <hyperlink ref="W300" r:id="rId48" xr:uid="{00000000-0004-0000-0100-00002F000000}"/>
    <hyperlink ref="W301" r:id="rId49" xr:uid="{00000000-0004-0000-0100-000030000000}"/>
    <hyperlink ref="W315" r:id="rId50" xr:uid="{00000000-0004-0000-0100-000031000000}"/>
    <hyperlink ref="W319" r:id="rId51" xr:uid="{00000000-0004-0000-0100-000032000000}"/>
    <hyperlink ref="W321" r:id="rId52" xr:uid="{00000000-0004-0000-0100-000033000000}"/>
    <hyperlink ref="W324" r:id="rId53" xr:uid="{00000000-0004-0000-0100-000034000000}"/>
    <hyperlink ref="W327" r:id="rId54" xr:uid="{00000000-0004-0000-0100-000035000000}"/>
    <hyperlink ref="W330" r:id="rId55" xr:uid="{00000000-0004-0000-0100-000036000000}"/>
    <hyperlink ref="W334" r:id="rId56" xr:uid="{00000000-0004-0000-0100-000037000000}"/>
    <hyperlink ref="W336" r:id="rId57" xr:uid="{00000000-0004-0000-0100-000038000000}"/>
    <hyperlink ref="W341" r:id="rId58" xr:uid="{00000000-0004-0000-0100-000039000000}"/>
    <hyperlink ref="W342" r:id="rId59" xr:uid="{00000000-0004-0000-0100-00003A000000}"/>
    <hyperlink ref="W355" r:id="rId60" xr:uid="{00000000-0004-0000-0100-00003B000000}"/>
    <hyperlink ref="W361" r:id="rId61" xr:uid="{00000000-0004-0000-0100-00003C000000}"/>
    <hyperlink ref="W364" r:id="rId62" xr:uid="{00000000-0004-0000-0100-00003D000000}"/>
    <hyperlink ref="W367" r:id="rId63" xr:uid="{00000000-0004-0000-0100-00003E000000}"/>
    <hyperlink ref="W384" r:id="rId64" xr:uid="{00000000-0004-0000-0100-00003F000000}"/>
    <hyperlink ref="W394" r:id="rId65" xr:uid="{00000000-0004-0000-0100-000040000000}"/>
    <hyperlink ref="W400" r:id="rId66" xr:uid="{00000000-0004-0000-0100-000041000000}"/>
    <hyperlink ref="W403" r:id="rId67" xr:uid="{00000000-0004-0000-0100-000042000000}"/>
    <hyperlink ref="W415" r:id="rId68" xr:uid="{00000000-0004-0000-0100-000043000000}"/>
    <hyperlink ref="W424" r:id="rId69" xr:uid="{00000000-0004-0000-0100-000044000000}"/>
    <hyperlink ref="W425" r:id="rId70" xr:uid="{00000000-0004-0000-0100-000045000000}"/>
    <hyperlink ref="W428" r:id="rId71" xr:uid="{00000000-0004-0000-0100-000046000000}"/>
    <hyperlink ref="W433" r:id="rId72" xr:uid="{00000000-0004-0000-0100-000047000000}"/>
    <hyperlink ref="W440" r:id="rId73" xr:uid="{00000000-0004-0000-0100-000048000000}"/>
    <hyperlink ref="W442" r:id="rId74" xr:uid="{00000000-0004-0000-0100-000049000000}"/>
    <hyperlink ref="W447" r:id="rId75" xr:uid="{00000000-0004-0000-0100-00004A000000}"/>
    <hyperlink ref="W450" r:id="rId76" xr:uid="{00000000-0004-0000-0100-00004B000000}"/>
    <hyperlink ref="W453" r:id="rId77" xr:uid="{00000000-0004-0000-0100-00004C000000}"/>
    <hyperlink ref="W455" r:id="rId78" xr:uid="{00000000-0004-0000-0100-00004D000000}"/>
    <hyperlink ref="W463" r:id="rId79" xr:uid="{00000000-0004-0000-0100-00004E000000}"/>
    <hyperlink ref="W467" r:id="rId80" xr:uid="{00000000-0004-0000-0100-00004F000000}"/>
    <hyperlink ref="W482" r:id="rId81" xr:uid="{00000000-0004-0000-0100-000050000000}"/>
    <hyperlink ref="W486" r:id="rId82" xr:uid="{00000000-0004-0000-0100-000051000000}"/>
    <hyperlink ref="W489" r:id="rId83" xr:uid="{00000000-0004-0000-0100-000052000000}"/>
    <hyperlink ref="V492" r:id="rId84" xr:uid="{00000000-0004-0000-0100-000053000000}"/>
    <hyperlink ref="W492" r:id="rId85" xr:uid="{00000000-0004-0000-0100-000054000000}"/>
    <hyperlink ref="W504" r:id="rId86" xr:uid="{00000000-0004-0000-0100-000055000000}"/>
    <hyperlink ref="W521" r:id="rId87" xr:uid="{00000000-0004-0000-0100-000056000000}"/>
    <hyperlink ref="W531" r:id="rId88" xr:uid="{00000000-0004-0000-0100-000057000000}"/>
    <hyperlink ref="W537" r:id="rId89" xr:uid="{00000000-0004-0000-0100-000058000000}"/>
    <hyperlink ref="W557" r:id="rId90" xr:uid="{00000000-0004-0000-0100-000059000000}"/>
    <hyperlink ref="W560" r:id="rId91" xr:uid="{00000000-0004-0000-0100-00005A000000}"/>
    <hyperlink ref="W568" r:id="rId92" xr:uid="{00000000-0004-0000-0100-00005B000000}"/>
    <hyperlink ref="W582" r:id="rId93" xr:uid="{00000000-0004-0000-0100-00005C000000}"/>
    <hyperlink ref="W586" r:id="rId94" xr:uid="{00000000-0004-0000-0100-00005D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FF"/>
    <outlinePr summaryBelow="0" summaryRight="0"/>
  </sheetPr>
  <dimension ref="A1:AG187"/>
  <sheetViews>
    <sheetView tabSelected="1" workbookViewId="0">
      <pane xSplit="1" topLeftCell="B1" activePane="topRight" state="frozen"/>
      <selection pane="topRight" activeCell="F2" sqref="F2:F183"/>
    </sheetView>
  </sheetViews>
  <sheetFormatPr baseColWidth="10" defaultColWidth="12.5703125" defaultRowHeight="15" customHeight="1" x14ac:dyDescent="0.2"/>
  <cols>
    <col min="1" max="1" width="16.5703125" customWidth="1"/>
    <col min="2" max="2" width="13" customWidth="1"/>
    <col min="3" max="3" width="17.42578125" hidden="1" customWidth="1"/>
    <col min="4" max="4" width="28.140625" customWidth="1"/>
    <col min="5" max="5" width="22.7109375" customWidth="1"/>
    <col min="6" max="6" width="39.42578125" customWidth="1"/>
    <col min="7" max="7" width="30.5703125" customWidth="1"/>
    <col min="8" max="8" width="11.7109375" hidden="1" customWidth="1"/>
    <col min="9" max="9" width="14.42578125" customWidth="1"/>
    <col min="10" max="10" width="13.85546875" customWidth="1"/>
    <col min="11" max="11" width="14.42578125" customWidth="1"/>
    <col min="12" max="12" width="7.85546875" customWidth="1"/>
    <col min="13" max="13" width="11.140625" customWidth="1"/>
    <col min="14" max="14" width="14.42578125" customWidth="1"/>
    <col min="15" max="15" width="13.85546875" customWidth="1"/>
    <col min="17" max="17" width="15.85546875" customWidth="1"/>
    <col min="18" max="18" width="34.42578125" customWidth="1"/>
    <col min="19" max="19" width="23.42578125" customWidth="1"/>
    <col min="20" max="20" width="24.28515625" customWidth="1"/>
    <col min="21" max="21" width="20.42578125" customWidth="1"/>
    <col min="22" max="22" width="37.85546875" customWidth="1"/>
    <col min="23" max="23" width="20.42578125" customWidth="1"/>
    <col min="24" max="24" width="49" customWidth="1"/>
    <col min="25" max="25" width="35.28515625" customWidth="1"/>
    <col min="26" max="26" width="16.28515625" customWidth="1"/>
    <col min="27" max="33" width="35.28515625" customWidth="1"/>
  </cols>
  <sheetData>
    <row r="1" spans="1:33" ht="34.5" customHeight="1" x14ac:dyDescent="0.2">
      <c r="A1" s="3" t="s">
        <v>2</v>
      </c>
      <c r="B1" s="3" t="s">
        <v>7</v>
      </c>
      <c r="C1" s="7" t="s">
        <v>8</v>
      </c>
      <c r="D1" s="3" t="s">
        <v>9</v>
      </c>
      <c r="E1" s="3" t="s">
        <v>24</v>
      </c>
      <c r="F1" s="3" t="s">
        <v>3</v>
      </c>
      <c r="G1" s="3" t="s">
        <v>14</v>
      </c>
      <c r="H1" s="3" t="s">
        <v>15</v>
      </c>
      <c r="I1" s="3" t="s">
        <v>33</v>
      </c>
      <c r="J1" s="3" t="s">
        <v>22</v>
      </c>
      <c r="K1" s="3" t="s">
        <v>25</v>
      </c>
      <c r="L1" s="3" t="s">
        <v>29</v>
      </c>
      <c r="M1" s="3" t="s">
        <v>31</v>
      </c>
      <c r="N1" s="3" t="s">
        <v>34</v>
      </c>
      <c r="O1" s="3" t="s">
        <v>35</v>
      </c>
      <c r="P1" s="3" t="s">
        <v>37</v>
      </c>
      <c r="Q1" s="3" t="s">
        <v>39</v>
      </c>
      <c r="R1" s="3" t="s">
        <v>41</v>
      </c>
      <c r="S1" s="3" t="s">
        <v>43</v>
      </c>
      <c r="T1" s="3" t="s">
        <v>50</v>
      </c>
      <c r="U1" s="3" t="s">
        <v>45</v>
      </c>
      <c r="V1" s="3" t="s">
        <v>51</v>
      </c>
      <c r="W1" s="3" t="s">
        <v>55</v>
      </c>
      <c r="X1" s="3" t="s">
        <v>56</v>
      </c>
      <c r="Y1" s="8" t="s">
        <v>60</v>
      </c>
      <c r="Z1" s="3" t="s">
        <v>66</v>
      </c>
      <c r="AA1" s="3" t="s">
        <v>68</v>
      </c>
      <c r="AB1" s="6" t="s">
        <v>70</v>
      </c>
      <c r="AC1" s="9" t="s">
        <v>72</v>
      </c>
      <c r="AD1" s="9" t="s">
        <v>72</v>
      </c>
      <c r="AE1" s="9" t="s">
        <v>72</v>
      </c>
      <c r="AF1" s="9" t="s">
        <v>72</v>
      </c>
      <c r="AG1" s="9" t="s">
        <v>72</v>
      </c>
    </row>
    <row r="2" spans="1:33" ht="15.75" customHeight="1" x14ac:dyDescent="0.25">
      <c r="A2" s="10" t="s">
        <v>77</v>
      </c>
      <c r="B2" s="10" t="s">
        <v>90</v>
      </c>
      <c r="C2" s="10" t="s">
        <v>91</v>
      </c>
      <c r="D2" s="10" t="s">
        <v>92</v>
      </c>
      <c r="E2" s="12">
        <v>1001878271</v>
      </c>
      <c r="F2" s="14" t="s">
        <v>101</v>
      </c>
      <c r="G2" s="10" t="s">
        <v>26</v>
      </c>
      <c r="H2" s="10" t="s">
        <v>107</v>
      </c>
      <c r="I2" s="16">
        <v>46156</v>
      </c>
      <c r="J2" s="12" t="s">
        <v>113</v>
      </c>
      <c r="K2" s="13">
        <v>36808</v>
      </c>
      <c r="L2" s="10">
        <f t="shared" ref="L2:L6" ca="1" si="0">IF(K2=0,"", DATEDIF(K2,TODAY(),"y"))</f>
        <v>25</v>
      </c>
      <c r="M2" s="10" t="s">
        <v>120</v>
      </c>
      <c r="N2" s="10" t="s">
        <v>122</v>
      </c>
      <c r="O2" s="12" t="s">
        <v>142</v>
      </c>
      <c r="P2" s="21" t="s">
        <v>128</v>
      </c>
      <c r="Q2" s="10" t="s">
        <v>133</v>
      </c>
      <c r="R2" s="12" t="s">
        <v>150</v>
      </c>
      <c r="S2" s="12" t="s">
        <v>151</v>
      </c>
      <c r="T2" s="12" t="s">
        <v>152</v>
      </c>
      <c r="U2" s="12">
        <v>3245996665</v>
      </c>
      <c r="V2" s="12" t="s">
        <v>154</v>
      </c>
      <c r="W2" s="10" t="s">
        <v>155</v>
      </c>
      <c r="X2" s="12" t="s">
        <v>156</v>
      </c>
      <c r="Y2" s="12">
        <v>77084343709</v>
      </c>
      <c r="Z2" s="12" t="s">
        <v>159</v>
      </c>
      <c r="AA2" s="13">
        <v>46105</v>
      </c>
      <c r="AB2" s="12"/>
      <c r="AC2" s="22"/>
      <c r="AD2" s="22"/>
      <c r="AE2" s="22"/>
      <c r="AF2" s="22"/>
      <c r="AG2" s="22"/>
    </row>
    <row r="3" spans="1:33" ht="15.75" customHeight="1" x14ac:dyDescent="0.25">
      <c r="A3" s="10" t="s">
        <v>77</v>
      </c>
      <c r="B3" s="10" t="s">
        <v>90</v>
      </c>
      <c r="C3" s="10" t="s">
        <v>175</v>
      </c>
      <c r="D3" s="10" t="s">
        <v>92</v>
      </c>
      <c r="E3" s="10">
        <v>1043014004</v>
      </c>
      <c r="F3" s="25" t="s">
        <v>178</v>
      </c>
      <c r="G3" s="10" t="s">
        <v>26</v>
      </c>
      <c r="H3" s="10" t="s">
        <v>184</v>
      </c>
      <c r="I3" s="13">
        <v>45913</v>
      </c>
      <c r="J3" s="10" t="s">
        <v>113</v>
      </c>
      <c r="K3" s="13">
        <v>34312</v>
      </c>
      <c r="L3" s="10">
        <f t="shared" ca="1" si="0"/>
        <v>32</v>
      </c>
      <c r="M3" s="10" t="s">
        <v>120</v>
      </c>
      <c r="N3" s="10" t="s">
        <v>122</v>
      </c>
      <c r="O3" s="10" t="s">
        <v>124</v>
      </c>
      <c r="P3" s="21" t="s">
        <v>128</v>
      </c>
      <c r="Q3" s="10" t="s">
        <v>133</v>
      </c>
      <c r="R3" s="10" t="s">
        <v>194</v>
      </c>
      <c r="S3" s="10" t="s">
        <v>195</v>
      </c>
      <c r="T3" s="10" t="s">
        <v>198</v>
      </c>
      <c r="U3" s="10">
        <v>3022955907</v>
      </c>
      <c r="V3" s="10" t="s">
        <v>201</v>
      </c>
      <c r="W3" s="10" t="s">
        <v>203</v>
      </c>
      <c r="X3" s="10" t="s">
        <v>170</v>
      </c>
      <c r="Y3" s="28" t="s">
        <v>208</v>
      </c>
      <c r="Z3" s="10" t="s">
        <v>159</v>
      </c>
      <c r="AA3" s="12"/>
      <c r="AB3" s="12"/>
      <c r="AC3" s="29"/>
      <c r="AD3" s="29"/>
      <c r="AE3" s="29"/>
      <c r="AF3" s="29"/>
      <c r="AG3" s="29"/>
    </row>
    <row r="4" spans="1:33" ht="15.75" hidden="1" customHeight="1" x14ac:dyDescent="0.25">
      <c r="A4" s="10" t="s">
        <v>77</v>
      </c>
      <c r="B4" s="10" t="s">
        <v>90</v>
      </c>
      <c r="C4" s="10" t="s">
        <v>175</v>
      </c>
      <c r="D4" s="10" t="s">
        <v>92</v>
      </c>
      <c r="E4" s="10">
        <v>72055821</v>
      </c>
      <c r="F4" s="25" t="s">
        <v>225</v>
      </c>
      <c r="G4" s="10" t="s">
        <v>11</v>
      </c>
      <c r="H4" s="10" t="s">
        <v>229</v>
      </c>
      <c r="I4" s="13">
        <v>45831</v>
      </c>
      <c r="J4" s="10" t="s">
        <v>113</v>
      </c>
      <c r="K4" s="13">
        <v>30218</v>
      </c>
      <c r="L4" s="10">
        <f t="shared" ca="1" si="0"/>
        <v>43</v>
      </c>
      <c r="M4" s="10" t="s">
        <v>120</v>
      </c>
      <c r="N4" s="10" t="s">
        <v>122</v>
      </c>
      <c r="O4" s="10" t="s">
        <v>124</v>
      </c>
      <c r="P4" s="21" t="s">
        <v>128</v>
      </c>
      <c r="Q4" s="10" t="s">
        <v>133</v>
      </c>
      <c r="R4" s="10" t="s">
        <v>248</v>
      </c>
      <c r="S4" s="10" t="s">
        <v>136</v>
      </c>
      <c r="T4" s="10"/>
      <c r="U4" s="10">
        <v>3217729488</v>
      </c>
      <c r="V4" s="10" t="s">
        <v>252</v>
      </c>
      <c r="W4" s="10" t="s">
        <v>253</v>
      </c>
      <c r="X4" s="10" t="s">
        <v>255</v>
      </c>
      <c r="Y4" s="28" t="s">
        <v>256</v>
      </c>
      <c r="Z4" s="10" t="s">
        <v>159</v>
      </c>
      <c r="AA4" s="16"/>
      <c r="AB4" s="16"/>
      <c r="AC4" s="32"/>
      <c r="AD4" s="32"/>
      <c r="AE4" s="32"/>
      <c r="AF4" s="32"/>
      <c r="AG4" s="32"/>
    </row>
    <row r="5" spans="1:33" ht="15.75" hidden="1" customHeight="1" x14ac:dyDescent="0.25">
      <c r="A5" s="10" t="s">
        <v>77</v>
      </c>
      <c r="B5" s="10" t="s">
        <v>90</v>
      </c>
      <c r="C5" s="10" t="s">
        <v>175</v>
      </c>
      <c r="D5" s="10" t="s">
        <v>92</v>
      </c>
      <c r="E5" s="12">
        <v>1043444477</v>
      </c>
      <c r="F5" s="14" t="s">
        <v>272</v>
      </c>
      <c r="G5" s="10" t="s">
        <v>11</v>
      </c>
      <c r="H5" s="10" t="s">
        <v>274</v>
      </c>
      <c r="I5" s="16">
        <v>45891</v>
      </c>
      <c r="J5" s="12" t="s">
        <v>113</v>
      </c>
      <c r="K5" s="13">
        <v>32192</v>
      </c>
      <c r="L5" s="10">
        <f t="shared" ca="1" si="0"/>
        <v>38</v>
      </c>
      <c r="M5" s="10" t="s">
        <v>120</v>
      </c>
      <c r="N5" s="10" t="s">
        <v>277</v>
      </c>
      <c r="O5" s="12" t="s">
        <v>142</v>
      </c>
      <c r="P5" s="21" t="s">
        <v>128</v>
      </c>
      <c r="Q5" s="10" t="s">
        <v>133</v>
      </c>
      <c r="R5" s="12" t="s">
        <v>282</v>
      </c>
      <c r="S5" s="12" t="s">
        <v>136</v>
      </c>
      <c r="T5" s="12"/>
      <c r="U5" s="12">
        <v>3161667519</v>
      </c>
      <c r="V5" s="12"/>
      <c r="W5" s="10" t="s">
        <v>155</v>
      </c>
      <c r="X5" s="12" t="s">
        <v>255</v>
      </c>
      <c r="Y5" s="34" t="s">
        <v>289</v>
      </c>
      <c r="Z5" s="12" t="s">
        <v>293</v>
      </c>
      <c r="AA5" s="16"/>
      <c r="AB5" s="16"/>
      <c r="AC5" s="32"/>
      <c r="AD5" s="32"/>
      <c r="AE5" s="32"/>
      <c r="AF5" s="32"/>
      <c r="AG5" s="32"/>
    </row>
    <row r="6" spans="1:33" ht="15.75" hidden="1" customHeight="1" x14ac:dyDescent="0.25">
      <c r="A6" s="10" t="s">
        <v>77</v>
      </c>
      <c r="B6" s="10" t="s">
        <v>90</v>
      </c>
      <c r="C6" s="10" t="s">
        <v>175</v>
      </c>
      <c r="D6" s="10" t="s">
        <v>92</v>
      </c>
      <c r="E6" s="10">
        <v>1007280257</v>
      </c>
      <c r="F6" s="25" t="s">
        <v>301</v>
      </c>
      <c r="G6" s="10" t="s">
        <v>302</v>
      </c>
      <c r="H6" s="10" t="s">
        <v>303</v>
      </c>
      <c r="I6" s="13">
        <v>45831</v>
      </c>
      <c r="J6" s="10" t="s">
        <v>113</v>
      </c>
      <c r="K6" s="13">
        <v>34930</v>
      </c>
      <c r="L6" s="10">
        <f t="shared" ca="1" si="0"/>
        <v>31</v>
      </c>
      <c r="M6" s="10" t="s">
        <v>120</v>
      </c>
      <c r="N6" s="10" t="s">
        <v>122</v>
      </c>
      <c r="O6" s="10" t="s">
        <v>142</v>
      </c>
      <c r="P6" s="21" t="s">
        <v>128</v>
      </c>
      <c r="Q6" s="10" t="s">
        <v>133</v>
      </c>
      <c r="R6" s="10" t="s">
        <v>314</v>
      </c>
      <c r="S6" s="10" t="s">
        <v>136</v>
      </c>
      <c r="T6" s="10"/>
      <c r="U6" s="10">
        <v>3136822365</v>
      </c>
      <c r="V6" s="10" t="s">
        <v>322</v>
      </c>
      <c r="W6" s="10" t="s">
        <v>206</v>
      </c>
      <c r="X6" s="10" t="s">
        <v>170</v>
      </c>
      <c r="Y6" s="28" t="s">
        <v>327</v>
      </c>
      <c r="Z6" s="10" t="s">
        <v>159</v>
      </c>
      <c r="AA6" s="13"/>
      <c r="AB6" s="13"/>
      <c r="AC6" s="39"/>
      <c r="AD6" s="39"/>
      <c r="AE6" s="39"/>
      <c r="AF6" s="39"/>
      <c r="AG6" s="39"/>
    </row>
    <row r="7" spans="1:33" ht="15.75" hidden="1" customHeight="1" x14ac:dyDescent="0.25">
      <c r="A7" s="10" t="s">
        <v>160</v>
      </c>
      <c r="B7" s="10" t="s">
        <v>90</v>
      </c>
      <c r="C7" s="10" t="s">
        <v>91</v>
      </c>
      <c r="D7" s="10" t="s">
        <v>92</v>
      </c>
      <c r="E7" s="10">
        <v>1005627773</v>
      </c>
      <c r="F7" s="25" t="s">
        <v>337</v>
      </c>
      <c r="G7" s="10" t="s">
        <v>339</v>
      </c>
      <c r="H7" s="10" t="s">
        <v>340</v>
      </c>
      <c r="I7" s="13">
        <v>45847</v>
      </c>
      <c r="J7" s="10" t="s">
        <v>113</v>
      </c>
      <c r="K7" s="13">
        <v>37259</v>
      </c>
      <c r="L7" s="10">
        <v>23</v>
      </c>
      <c r="M7" s="10" t="s">
        <v>320</v>
      </c>
      <c r="N7" s="10" t="s">
        <v>122</v>
      </c>
      <c r="O7" s="10" t="s">
        <v>142</v>
      </c>
      <c r="P7" s="21" t="s">
        <v>128</v>
      </c>
      <c r="Q7" s="10" t="s">
        <v>133</v>
      </c>
      <c r="R7" s="10" t="s">
        <v>348</v>
      </c>
      <c r="S7" s="10" t="s">
        <v>136</v>
      </c>
      <c r="T7" s="10"/>
      <c r="U7" s="10">
        <v>3022256443</v>
      </c>
      <c r="V7" s="41" t="s">
        <v>354</v>
      </c>
      <c r="W7" s="10" t="s">
        <v>253</v>
      </c>
      <c r="X7" s="10" t="s">
        <v>373</v>
      </c>
      <c r="Y7" s="28" t="s">
        <v>374</v>
      </c>
      <c r="Z7" s="10" t="s">
        <v>377</v>
      </c>
      <c r="AA7" s="13"/>
      <c r="AB7" s="13"/>
      <c r="AC7" s="39"/>
      <c r="AD7" s="39"/>
      <c r="AE7" s="39"/>
      <c r="AF7" s="39"/>
      <c r="AG7" s="39"/>
    </row>
    <row r="8" spans="1:33" ht="15.75" hidden="1" customHeight="1" x14ac:dyDescent="0.25">
      <c r="A8" s="10" t="s">
        <v>77</v>
      </c>
      <c r="B8" s="10" t="s">
        <v>90</v>
      </c>
      <c r="C8" s="10" t="s">
        <v>175</v>
      </c>
      <c r="D8" s="10" t="s">
        <v>92</v>
      </c>
      <c r="E8" s="12">
        <v>4282127</v>
      </c>
      <c r="F8" s="15" t="s">
        <v>388</v>
      </c>
      <c r="G8" s="10" t="s">
        <v>32</v>
      </c>
      <c r="H8" s="10"/>
      <c r="I8" s="16">
        <v>46050</v>
      </c>
      <c r="J8" s="12" t="s">
        <v>113</v>
      </c>
      <c r="K8" s="16">
        <v>27161</v>
      </c>
      <c r="L8" s="10">
        <f t="shared" ref="L8:L187" ca="1" si="1">IF(K8=0,"", DATEDIF(K8,TODAY(),"y"))</f>
        <v>52</v>
      </c>
      <c r="M8" s="10" t="s">
        <v>120</v>
      </c>
      <c r="N8" s="10" t="s">
        <v>122</v>
      </c>
      <c r="O8" s="12" t="s">
        <v>142</v>
      </c>
      <c r="P8" s="42" t="s">
        <v>128</v>
      </c>
      <c r="Q8" s="10" t="s">
        <v>133</v>
      </c>
      <c r="R8" s="12" t="s">
        <v>412</v>
      </c>
      <c r="S8" s="12" t="s">
        <v>414</v>
      </c>
      <c r="T8" s="12" t="s">
        <v>415</v>
      </c>
      <c r="U8" s="12">
        <v>3115000145</v>
      </c>
      <c r="V8" s="12" t="s">
        <v>417</v>
      </c>
      <c r="W8" s="12" t="s">
        <v>215</v>
      </c>
      <c r="X8" s="12" t="s">
        <v>170</v>
      </c>
      <c r="Y8" s="12">
        <v>3115000145</v>
      </c>
      <c r="Z8" s="10" t="s">
        <v>377</v>
      </c>
      <c r="AA8" s="10">
        <v>3023358217</v>
      </c>
      <c r="AB8" s="24"/>
      <c r="AC8" s="39"/>
      <c r="AD8" s="39"/>
      <c r="AE8" s="39"/>
      <c r="AF8" s="39"/>
      <c r="AG8" s="39"/>
    </row>
    <row r="9" spans="1:33" ht="15.75" hidden="1" customHeight="1" x14ac:dyDescent="0.25">
      <c r="A9" s="10" t="s">
        <v>77</v>
      </c>
      <c r="B9" s="10" t="s">
        <v>90</v>
      </c>
      <c r="C9" s="10" t="s">
        <v>175</v>
      </c>
      <c r="D9" s="10" t="s">
        <v>92</v>
      </c>
      <c r="E9" s="10">
        <v>1129498997</v>
      </c>
      <c r="F9" s="25" t="s">
        <v>430</v>
      </c>
      <c r="G9" s="10" t="s">
        <v>302</v>
      </c>
      <c r="H9" s="10" t="s">
        <v>432</v>
      </c>
      <c r="I9" s="13">
        <v>45831</v>
      </c>
      <c r="J9" s="10" t="s">
        <v>113</v>
      </c>
      <c r="K9" s="13">
        <v>30778</v>
      </c>
      <c r="L9" s="10">
        <f t="shared" ca="1" si="1"/>
        <v>42</v>
      </c>
      <c r="M9" s="10" t="s">
        <v>120</v>
      </c>
      <c r="N9" s="10" t="s">
        <v>122</v>
      </c>
      <c r="O9" s="10" t="s">
        <v>142</v>
      </c>
      <c r="P9" s="21" t="s">
        <v>128</v>
      </c>
      <c r="Q9" s="10" t="s">
        <v>133</v>
      </c>
      <c r="R9" s="10" t="s">
        <v>439</v>
      </c>
      <c r="S9" s="10" t="s">
        <v>136</v>
      </c>
      <c r="T9" s="10"/>
      <c r="U9" s="10">
        <v>3246035593</v>
      </c>
      <c r="V9" s="10" t="s">
        <v>442</v>
      </c>
      <c r="W9" s="10" t="s">
        <v>253</v>
      </c>
      <c r="X9" s="10" t="s">
        <v>255</v>
      </c>
      <c r="Y9" s="28" t="s">
        <v>445</v>
      </c>
      <c r="Z9" s="10" t="s">
        <v>159</v>
      </c>
      <c r="AA9" s="16"/>
      <c r="AB9" s="16"/>
      <c r="AC9" s="32"/>
      <c r="AD9" s="32"/>
      <c r="AE9" s="32"/>
      <c r="AF9" s="32"/>
      <c r="AG9" s="32"/>
    </row>
    <row r="10" spans="1:33" ht="15.75" customHeight="1" x14ac:dyDescent="0.25">
      <c r="A10" s="10" t="s">
        <v>77</v>
      </c>
      <c r="B10" s="10" t="s">
        <v>90</v>
      </c>
      <c r="C10" s="10" t="s">
        <v>175</v>
      </c>
      <c r="D10" s="10" t="s">
        <v>92</v>
      </c>
      <c r="E10" s="12">
        <v>1043444332</v>
      </c>
      <c r="F10" s="15" t="s">
        <v>454</v>
      </c>
      <c r="G10" s="10" t="s">
        <v>26</v>
      </c>
      <c r="H10" s="10"/>
      <c r="I10" s="16">
        <v>46056</v>
      </c>
      <c r="J10" s="12" t="s">
        <v>113</v>
      </c>
      <c r="K10" s="16">
        <v>32110</v>
      </c>
      <c r="L10" s="10">
        <f t="shared" ca="1" si="1"/>
        <v>38</v>
      </c>
      <c r="M10" s="10" t="s">
        <v>120</v>
      </c>
      <c r="N10" s="10" t="s">
        <v>122</v>
      </c>
      <c r="O10" s="12" t="s">
        <v>210</v>
      </c>
      <c r="P10" s="42" t="s">
        <v>128</v>
      </c>
      <c r="Q10" s="10" t="s">
        <v>133</v>
      </c>
      <c r="R10" s="12" t="s">
        <v>464</v>
      </c>
      <c r="S10" s="12" t="s">
        <v>136</v>
      </c>
      <c r="T10" s="12" t="s">
        <v>466</v>
      </c>
      <c r="U10" s="12">
        <v>3011699688</v>
      </c>
      <c r="V10" s="12" t="s">
        <v>469</v>
      </c>
      <c r="W10" s="12" t="s">
        <v>471</v>
      </c>
      <c r="X10" s="12" t="s">
        <v>170</v>
      </c>
      <c r="Y10" s="12">
        <v>3011699688</v>
      </c>
      <c r="Z10" s="10" t="s">
        <v>377</v>
      </c>
      <c r="AA10" s="10">
        <v>3003353722</v>
      </c>
      <c r="AB10" s="24"/>
      <c r="AC10" s="32"/>
      <c r="AD10" s="32"/>
      <c r="AE10" s="32"/>
      <c r="AF10" s="32"/>
      <c r="AG10" s="32"/>
    </row>
    <row r="11" spans="1:33" ht="15.75" hidden="1" customHeight="1" x14ac:dyDescent="0.25">
      <c r="A11" s="10" t="s">
        <v>77</v>
      </c>
      <c r="B11" s="10" t="s">
        <v>90</v>
      </c>
      <c r="C11" s="10" t="s">
        <v>175</v>
      </c>
      <c r="D11" s="10" t="s">
        <v>479</v>
      </c>
      <c r="E11" s="12">
        <v>5799530</v>
      </c>
      <c r="F11" s="25" t="s">
        <v>481</v>
      </c>
      <c r="G11" s="10" t="s">
        <v>302</v>
      </c>
      <c r="H11" s="10" t="s">
        <v>483</v>
      </c>
      <c r="I11" s="16">
        <v>45870</v>
      </c>
      <c r="J11" s="12" t="s">
        <v>113</v>
      </c>
      <c r="K11" s="16">
        <v>32361</v>
      </c>
      <c r="L11" s="10">
        <f t="shared" ca="1" si="1"/>
        <v>38</v>
      </c>
      <c r="M11" s="10" t="s">
        <v>120</v>
      </c>
      <c r="N11" s="10" t="s">
        <v>122</v>
      </c>
      <c r="O11" s="12" t="s">
        <v>142</v>
      </c>
      <c r="P11" s="21" t="s">
        <v>128</v>
      </c>
      <c r="Q11" s="10" t="s">
        <v>489</v>
      </c>
      <c r="R11" s="12" t="s">
        <v>492</v>
      </c>
      <c r="S11" s="12" t="s">
        <v>136</v>
      </c>
      <c r="T11" s="12"/>
      <c r="U11" s="12">
        <v>3002921153</v>
      </c>
      <c r="V11" s="12"/>
      <c r="W11" s="12"/>
      <c r="X11" s="12"/>
      <c r="Y11" s="34" t="s">
        <v>497</v>
      </c>
      <c r="Z11" s="12" t="s">
        <v>377</v>
      </c>
      <c r="AA11" s="13"/>
      <c r="AB11" s="13"/>
      <c r="AC11" s="39"/>
      <c r="AD11" s="39"/>
      <c r="AE11" s="39"/>
      <c r="AF11" s="39"/>
      <c r="AG11" s="39"/>
    </row>
    <row r="12" spans="1:33" ht="15.75" hidden="1" customHeight="1" x14ac:dyDescent="0.25">
      <c r="A12" s="10" t="s">
        <v>77</v>
      </c>
      <c r="B12" s="10" t="s">
        <v>90</v>
      </c>
      <c r="C12" s="10" t="s">
        <v>175</v>
      </c>
      <c r="D12" s="10" t="s">
        <v>92</v>
      </c>
      <c r="E12" s="10">
        <v>1002230833</v>
      </c>
      <c r="F12" s="25" t="s">
        <v>508</v>
      </c>
      <c r="G12" s="10" t="s">
        <v>302</v>
      </c>
      <c r="H12" s="10" t="s">
        <v>509</v>
      </c>
      <c r="I12" s="13">
        <v>45831</v>
      </c>
      <c r="J12" s="10" t="s">
        <v>113</v>
      </c>
      <c r="K12" s="30">
        <v>35710</v>
      </c>
      <c r="L12" s="10">
        <f t="shared" ca="1" si="1"/>
        <v>28</v>
      </c>
      <c r="M12" s="10" t="s">
        <v>120</v>
      </c>
      <c r="N12" s="10" t="s">
        <v>122</v>
      </c>
      <c r="O12" s="10" t="s">
        <v>142</v>
      </c>
      <c r="P12" s="21" t="s">
        <v>128</v>
      </c>
      <c r="Q12" s="10" t="s">
        <v>133</v>
      </c>
      <c r="R12" s="10" t="s">
        <v>521</v>
      </c>
      <c r="S12" s="10" t="s">
        <v>136</v>
      </c>
      <c r="T12" s="10"/>
      <c r="U12" s="10">
        <v>3113876034</v>
      </c>
      <c r="V12" s="10" t="s">
        <v>522</v>
      </c>
      <c r="W12" s="10" t="s">
        <v>203</v>
      </c>
      <c r="X12" s="10" t="s">
        <v>216</v>
      </c>
      <c r="Y12" s="28" t="s">
        <v>525</v>
      </c>
      <c r="Z12" s="10" t="s">
        <v>159</v>
      </c>
      <c r="AA12" s="12"/>
      <c r="AB12" s="12"/>
      <c r="AC12" s="22"/>
      <c r="AD12" s="22"/>
      <c r="AE12" s="22"/>
      <c r="AF12" s="22"/>
      <c r="AG12" s="22"/>
    </row>
    <row r="13" spans="1:33" ht="15.75" hidden="1" customHeight="1" x14ac:dyDescent="0.25">
      <c r="A13" s="10" t="s">
        <v>77</v>
      </c>
      <c r="B13" s="10" t="s">
        <v>90</v>
      </c>
      <c r="C13" s="10" t="s">
        <v>175</v>
      </c>
      <c r="D13" s="10" t="s">
        <v>92</v>
      </c>
      <c r="E13" s="12">
        <v>1045734788</v>
      </c>
      <c r="F13" s="25" t="s">
        <v>531</v>
      </c>
      <c r="G13" s="10" t="s">
        <v>302</v>
      </c>
      <c r="H13" s="10" t="s">
        <v>533</v>
      </c>
      <c r="I13" s="13">
        <v>45831</v>
      </c>
      <c r="J13" s="12" t="s">
        <v>113</v>
      </c>
      <c r="K13" s="30">
        <v>34996</v>
      </c>
      <c r="L13" s="10">
        <f t="shared" ca="1" si="1"/>
        <v>30</v>
      </c>
      <c r="M13" s="10" t="s">
        <v>120</v>
      </c>
      <c r="N13" s="10" t="s">
        <v>236</v>
      </c>
      <c r="O13" s="12" t="s">
        <v>142</v>
      </c>
      <c r="P13" s="21" t="s">
        <v>128</v>
      </c>
      <c r="Q13" s="10" t="s">
        <v>133</v>
      </c>
      <c r="R13" s="12" t="s">
        <v>546</v>
      </c>
      <c r="S13" s="12" t="s">
        <v>548</v>
      </c>
      <c r="T13" s="12"/>
      <c r="U13" s="12">
        <v>3016297596</v>
      </c>
      <c r="V13" s="12" t="s">
        <v>549</v>
      </c>
      <c r="W13" s="12"/>
      <c r="X13" s="12" t="s">
        <v>72</v>
      </c>
      <c r="Y13" s="34" t="s">
        <v>551</v>
      </c>
      <c r="Z13" s="12" t="s">
        <v>293</v>
      </c>
      <c r="AA13" s="10"/>
      <c r="AB13" s="10"/>
      <c r="AC13" s="29"/>
      <c r="AD13" s="29"/>
      <c r="AE13" s="29"/>
      <c r="AF13" s="29"/>
      <c r="AG13" s="29"/>
    </row>
    <row r="14" spans="1:33" ht="15.75" hidden="1" customHeight="1" x14ac:dyDescent="0.25">
      <c r="A14" s="10" t="s">
        <v>77</v>
      </c>
      <c r="B14" s="10" t="s">
        <v>90</v>
      </c>
      <c r="C14" s="10" t="s">
        <v>175</v>
      </c>
      <c r="D14" s="10" t="s">
        <v>92</v>
      </c>
      <c r="E14" s="10">
        <v>7592397</v>
      </c>
      <c r="F14" s="25" t="s">
        <v>357</v>
      </c>
      <c r="G14" s="10" t="s">
        <v>11</v>
      </c>
      <c r="H14" s="10" t="s">
        <v>556</v>
      </c>
      <c r="I14" s="13">
        <v>45831</v>
      </c>
      <c r="J14" s="10" t="s">
        <v>113</v>
      </c>
      <c r="K14" s="13">
        <v>22386</v>
      </c>
      <c r="L14" s="10">
        <f t="shared" ca="1" si="1"/>
        <v>65</v>
      </c>
      <c r="M14" s="10" t="s">
        <v>120</v>
      </c>
      <c r="N14" s="10" t="s">
        <v>122</v>
      </c>
      <c r="O14" s="10" t="s">
        <v>142</v>
      </c>
      <c r="P14" s="21" t="s">
        <v>128</v>
      </c>
      <c r="Q14" s="10" t="s">
        <v>133</v>
      </c>
      <c r="R14" s="10" t="s">
        <v>570</v>
      </c>
      <c r="S14" s="10" t="s">
        <v>136</v>
      </c>
      <c r="T14" s="10"/>
      <c r="U14" s="10">
        <v>3215839320</v>
      </c>
      <c r="V14" s="10" t="s">
        <v>573</v>
      </c>
      <c r="W14" s="10" t="s">
        <v>206</v>
      </c>
      <c r="X14" s="10" t="s">
        <v>170</v>
      </c>
      <c r="Y14" s="28" t="s">
        <v>576</v>
      </c>
      <c r="Z14" s="10" t="s">
        <v>159</v>
      </c>
      <c r="AA14" s="10"/>
      <c r="AB14" s="48"/>
    </row>
    <row r="15" spans="1:33" ht="15.75" hidden="1" customHeight="1" x14ac:dyDescent="0.25">
      <c r="A15" s="10" t="s">
        <v>77</v>
      </c>
      <c r="B15" s="10" t="s">
        <v>90</v>
      </c>
      <c r="C15" s="10" t="s">
        <v>175</v>
      </c>
      <c r="D15" s="12" t="s">
        <v>92</v>
      </c>
      <c r="E15" s="12">
        <v>8797024</v>
      </c>
      <c r="F15" s="14" t="s">
        <v>590</v>
      </c>
      <c r="G15" s="10" t="s">
        <v>32</v>
      </c>
      <c r="H15" s="10" t="s">
        <v>593</v>
      </c>
      <c r="I15" s="13">
        <v>45831</v>
      </c>
      <c r="J15" s="12" t="s">
        <v>113</v>
      </c>
      <c r="K15" s="16">
        <v>28659</v>
      </c>
      <c r="L15" s="10">
        <f t="shared" ca="1" si="1"/>
        <v>48</v>
      </c>
      <c r="M15" s="10" t="s">
        <v>120</v>
      </c>
      <c r="N15" s="10" t="s">
        <v>236</v>
      </c>
      <c r="O15" s="12" t="s">
        <v>124</v>
      </c>
      <c r="P15" s="21" t="s">
        <v>128</v>
      </c>
      <c r="Q15" s="10" t="s">
        <v>133</v>
      </c>
      <c r="R15" s="12" t="s">
        <v>600</v>
      </c>
      <c r="S15" s="12" t="s">
        <v>136</v>
      </c>
      <c r="T15" s="12"/>
      <c r="U15" s="12">
        <v>3017456027</v>
      </c>
      <c r="V15" s="12"/>
      <c r="W15" s="12"/>
      <c r="X15" s="12" t="s">
        <v>605</v>
      </c>
      <c r="Y15" s="34" t="s">
        <v>608</v>
      </c>
      <c r="Z15" s="12" t="s">
        <v>159</v>
      </c>
      <c r="AA15" s="16"/>
      <c r="AB15" s="16"/>
      <c r="AC15" s="32"/>
      <c r="AD15" s="32"/>
      <c r="AE15" s="32"/>
      <c r="AF15" s="32"/>
      <c r="AG15" s="32"/>
    </row>
    <row r="16" spans="1:33" ht="15.75" hidden="1" customHeight="1" x14ac:dyDescent="0.25">
      <c r="A16" s="10" t="s">
        <v>77</v>
      </c>
      <c r="B16" s="10" t="s">
        <v>90</v>
      </c>
      <c r="C16" s="10" t="s">
        <v>175</v>
      </c>
      <c r="D16" s="10" t="s">
        <v>92</v>
      </c>
      <c r="E16" s="10">
        <v>8486120</v>
      </c>
      <c r="F16" s="25" t="s">
        <v>615</v>
      </c>
      <c r="G16" s="10" t="s">
        <v>11</v>
      </c>
      <c r="H16" s="10" t="s">
        <v>618</v>
      </c>
      <c r="I16" s="13">
        <v>45831</v>
      </c>
      <c r="J16" s="10" t="s">
        <v>113</v>
      </c>
      <c r="K16" s="13">
        <v>30054</v>
      </c>
      <c r="L16" s="10">
        <f t="shared" ca="1" si="1"/>
        <v>44</v>
      </c>
      <c r="M16" s="10" t="s">
        <v>120</v>
      </c>
      <c r="N16" s="10" t="s">
        <v>122</v>
      </c>
      <c r="O16" s="10" t="s">
        <v>142</v>
      </c>
      <c r="P16" s="21" t="s">
        <v>128</v>
      </c>
      <c r="Q16" s="10" t="s">
        <v>133</v>
      </c>
      <c r="R16" s="10" t="s">
        <v>626</v>
      </c>
      <c r="S16" s="10" t="s">
        <v>136</v>
      </c>
      <c r="T16" s="10"/>
      <c r="U16" s="10">
        <v>3008264446</v>
      </c>
      <c r="V16" s="10" t="s">
        <v>630</v>
      </c>
      <c r="W16" s="10" t="s">
        <v>206</v>
      </c>
      <c r="X16" s="10" t="s">
        <v>170</v>
      </c>
      <c r="Y16" s="28" t="s">
        <v>632</v>
      </c>
      <c r="Z16" s="10" t="s">
        <v>159</v>
      </c>
      <c r="AA16" s="13"/>
      <c r="AB16" s="13"/>
      <c r="AC16" s="39"/>
      <c r="AD16" s="39"/>
      <c r="AE16" s="39"/>
      <c r="AF16" s="39"/>
      <c r="AG16" s="39"/>
    </row>
    <row r="17" spans="1:33" ht="15.75" hidden="1" customHeight="1" x14ac:dyDescent="0.25">
      <c r="A17" s="10" t="s">
        <v>77</v>
      </c>
      <c r="B17" s="10" t="s">
        <v>90</v>
      </c>
      <c r="C17" s="10" t="s">
        <v>175</v>
      </c>
      <c r="D17" s="10" t="s">
        <v>92</v>
      </c>
      <c r="E17" s="10">
        <v>1048279771</v>
      </c>
      <c r="F17" s="25" t="s">
        <v>112</v>
      </c>
      <c r="G17" s="10" t="s">
        <v>11</v>
      </c>
      <c r="H17" s="10" t="s">
        <v>647</v>
      </c>
      <c r="I17" s="13">
        <v>45831</v>
      </c>
      <c r="J17" s="10" t="s">
        <v>113</v>
      </c>
      <c r="K17" s="13">
        <v>32657</v>
      </c>
      <c r="L17" s="10">
        <f t="shared" ca="1" si="1"/>
        <v>37</v>
      </c>
      <c r="M17" s="10" t="s">
        <v>120</v>
      </c>
      <c r="N17" s="10" t="s">
        <v>122</v>
      </c>
      <c r="O17" s="10" t="s">
        <v>124</v>
      </c>
      <c r="P17" s="21" t="s">
        <v>128</v>
      </c>
      <c r="Q17" s="10" t="s">
        <v>133</v>
      </c>
      <c r="R17" s="10" t="s">
        <v>654</v>
      </c>
      <c r="S17" s="10" t="s">
        <v>136</v>
      </c>
      <c r="T17" s="10"/>
      <c r="U17" s="10">
        <v>3136935201</v>
      </c>
      <c r="V17" s="10" t="s">
        <v>659</v>
      </c>
      <c r="W17" s="10" t="s">
        <v>206</v>
      </c>
      <c r="X17" s="10" t="s">
        <v>170</v>
      </c>
      <c r="Y17" s="28" t="s">
        <v>662</v>
      </c>
      <c r="Z17" s="10" t="s">
        <v>159</v>
      </c>
      <c r="AA17" s="13"/>
      <c r="AB17" s="13"/>
      <c r="AC17" s="39"/>
      <c r="AD17" s="39"/>
      <c r="AE17" s="39"/>
      <c r="AF17" s="39"/>
      <c r="AG17" s="39"/>
    </row>
    <row r="18" spans="1:33" ht="15.75" hidden="1" customHeight="1" x14ac:dyDescent="0.25">
      <c r="A18" s="10" t="s">
        <v>77</v>
      </c>
      <c r="B18" s="10" t="s">
        <v>90</v>
      </c>
      <c r="C18" s="10" t="s">
        <v>175</v>
      </c>
      <c r="D18" s="10" t="s">
        <v>92</v>
      </c>
      <c r="E18" s="10">
        <v>1043114814</v>
      </c>
      <c r="F18" s="25" t="s">
        <v>667</v>
      </c>
      <c r="G18" s="10" t="s">
        <v>11</v>
      </c>
      <c r="H18" s="10" t="s">
        <v>668</v>
      </c>
      <c r="I18" s="13">
        <v>45831</v>
      </c>
      <c r="J18" s="12" t="s">
        <v>113</v>
      </c>
      <c r="K18" s="53">
        <v>37605</v>
      </c>
      <c r="L18" s="10">
        <f t="shared" ca="1" si="1"/>
        <v>23</v>
      </c>
      <c r="M18" s="10" t="s">
        <v>120</v>
      </c>
      <c r="N18" s="10" t="s">
        <v>236</v>
      </c>
      <c r="O18" s="10" t="s">
        <v>142</v>
      </c>
      <c r="P18" s="21" t="s">
        <v>128</v>
      </c>
      <c r="Q18" s="10" t="s">
        <v>133</v>
      </c>
      <c r="R18" s="10" t="s">
        <v>674</v>
      </c>
      <c r="S18" s="10" t="s">
        <v>136</v>
      </c>
      <c r="T18" s="10"/>
      <c r="U18" s="10">
        <v>3245038025</v>
      </c>
      <c r="V18" s="10" t="s">
        <v>675</v>
      </c>
      <c r="W18" s="10" t="s">
        <v>673</v>
      </c>
      <c r="X18" s="10" t="s">
        <v>288</v>
      </c>
      <c r="Y18" s="34" t="s">
        <v>676</v>
      </c>
      <c r="Z18" s="12" t="s">
        <v>159</v>
      </c>
      <c r="AA18" s="13"/>
      <c r="AB18" s="13"/>
      <c r="AC18" s="39"/>
      <c r="AD18" s="39"/>
      <c r="AE18" s="39"/>
      <c r="AF18" s="39"/>
      <c r="AG18" s="39"/>
    </row>
    <row r="19" spans="1:33" ht="15.75" hidden="1" customHeight="1" x14ac:dyDescent="0.25">
      <c r="A19" s="10" t="s">
        <v>77</v>
      </c>
      <c r="B19" s="10" t="s">
        <v>90</v>
      </c>
      <c r="C19" s="10" t="s">
        <v>175</v>
      </c>
      <c r="D19" s="10" t="s">
        <v>92</v>
      </c>
      <c r="E19" s="10">
        <v>1048268885</v>
      </c>
      <c r="F19" s="25" t="s">
        <v>110</v>
      </c>
      <c r="G19" s="10" t="s">
        <v>302</v>
      </c>
      <c r="H19" s="10" t="s">
        <v>681</v>
      </c>
      <c r="I19" s="13">
        <v>45831</v>
      </c>
      <c r="J19" s="10" t="s">
        <v>113</v>
      </c>
      <c r="K19" s="13">
        <v>31218</v>
      </c>
      <c r="L19" s="10">
        <f t="shared" ca="1" si="1"/>
        <v>41</v>
      </c>
      <c r="M19" s="10" t="s">
        <v>120</v>
      </c>
      <c r="N19" s="10" t="s">
        <v>122</v>
      </c>
      <c r="O19" s="10" t="s">
        <v>124</v>
      </c>
      <c r="P19" s="21" t="s">
        <v>128</v>
      </c>
      <c r="Q19" s="10" t="s">
        <v>133</v>
      </c>
      <c r="R19" s="10" t="s">
        <v>686</v>
      </c>
      <c r="S19" s="10" t="s">
        <v>136</v>
      </c>
      <c r="T19" s="10"/>
      <c r="U19" s="10">
        <v>3225830944</v>
      </c>
      <c r="V19" s="10" t="s">
        <v>689</v>
      </c>
      <c r="W19" s="10" t="s">
        <v>206</v>
      </c>
      <c r="X19" s="10" t="s">
        <v>170</v>
      </c>
      <c r="Y19" s="28" t="s">
        <v>691</v>
      </c>
      <c r="Z19" s="10" t="s">
        <v>159</v>
      </c>
      <c r="AA19" s="10"/>
      <c r="AB19" s="48"/>
    </row>
    <row r="20" spans="1:33" ht="15.75" hidden="1" customHeight="1" x14ac:dyDescent="0.25">
      <c r="A20" s="10" t="s">
        <v>160</v>
      </c>
      <c r="B20" s="10" t="s">
        <v>90</v>
      </c>
      <c r="C20" s="10" t="s">
        <v>91</v>
      </c>
      <c r="D20" s="10" t="s">
        <v>92</v>
      </c>
      <c r="E20" s="10">
        <v>8781438</v>
      </c>
      <c r="F20" s="25" t="s">
        <v>696</v>
      </c>
      <c r="G20" s="10" t="s">
        <v>697</v>
      </c>
      <c r="H20" s="10" t="s">
        <v>699</v>
      </c>
      <c r="I20" s="13">
        <v>45831</v>
      </c>
      <c r="J20" s="10" t="s">
        <v>113</v>
      </c>
      <c r="K20" s="13">
        <v>27836</v>
      </c>
      <c r="L20" s="10">
        <f t="shared" ca="1" si="1"/>
        <v>50</v>
      </c>
      <c r="M20" s="10" t="s">
        <v>120</v>
      </c>
      <c r="N20" s="10" t="s">
        <v>277</v>
      </c>
      <c r="O20" s="10" t="s">
        <v>124</v>
      </c>
      <c r="P20" s="21" t="s">
        <v>128</v>
      </c>
      <c r="Q20" s="10" t="s">
        <v>133</v>
      </c>
      <c r="R20" s="10" t="s">
        <v>704</v>
      </c>
      <c r="S20" s="10" t="s">
        <v>136</v>
      </c>
      <c r="T20" s="10"/>
      <c r="U20" s="10">
        <v>3014425566</v>
      </c>
      <c r="V20" s="10" t="s">
        <v>705</v>
      </c>
      <c r="W20" s="10" t="s">
        <v>606</v>
      </c>
      <c r="X20" s="10" t="s">
        <v>170</v>
      </c>
      <c r="Y20" s="28" t="s">
        <v>706</v>
      </c>
      <c r="Z20" s="10" t="s">
        <v>159</v>
      </c>
      <c r="AA20" s="13"/>
      <c r="AB20" s="13"/>
      <c r="AC20" s="39"/>
      <c r="AD20" s="39"/>
      <c r="AE20" s="39"/>
      <c r="AF20" s="39"/>
      <c r="AG20" s="39"/>
    </row>
    <row r="21" spans="1:33" ht="15.75" hidden="1" customHeight="1" x14ac:dyDescent="0.25">
      <c r="A21" s="10" t="s">
        <v>77</v>
      </c>
      <c r="B21" s="10" t="s">
        <v>90</v>
      </c>
      <c r="C21" s="10" t="s">
        <v>175</v>
      </c>
      <c r="D21" s="10" t="s">
        <v>92</v>
      </c>
      <c r="E21" s="10">
        <v>73544990</v>
      </c>
      <c r="F21" s="25" t="s">
        <v>168</v>
      </c>
      <c r="G21" s="10" t="s">
        <v>302</v>
      </c>
      <c r="H21" s="10" t="s">
        <v>708</v>
      </c>
      <c r="I21" s="13">
        <v>45831</v>
      </c>
      <c r="J21" s="10" t="s">
        <v>113</v>
      </c>
      <c r="K21" s="13">
        <v>24096</v>
      </c>
      <c r="L21" s="10">
        <f t="shared" ca="1" si="1"/>
        <v>60</v>
      </c>
      <c r="M21" s="10" t="s">
        <v>120</v>
      </c>
      <c r="N21" s="10" t="s">
        <v>122</v>
      </c>
      <c r="O21" s="10" t="s">
        <v>124</v>
      </c>
      <c r="P21" s="21" t="s">
        <v>128</v>
      </c>
      <c r="Q21" s="10" t="s">
        <v>133</v>
      </c>
      <c r="R21" s="10" t="s">
        <v>710</v>
      </c>
      <c r="S21" s="10" t="s">
        <v>136</v>
      </c>
      <c r="T21" s="10"/>
      <c r="U21" s="10">
        <v>3023288720</v>
      </c>
      <c r="V21" s="10" t="s">
        <v>711</v>
      </c>
      <c r="W21" s="10" t="s">
        <v>206</v>
      </c>
      <c r="X21" s="10" t="s">
        <v>216</v>
      </c>
      <c r="Y21" s="28" t="s">
        <v>712</v>
      </c>
      <c r="Z21" s="10" t="s">
        <v>159</v>
      </c>
      <c r="AA21" s="13"/>
      <c r="AB21" s="13"/>
      <c r="AC21" s="39"/>
      <c r="AD21" s="39"/>
      <c r="AE21" s="39"/>
      <c r="AF21" s="39"/>
      <c r="AG21" s="39"/>
    </row>
    <row r="22" spans="1:33" ht="15.75" hidden="1" customHeight="1" x14ac:dyDescent="0.25">
      <c r="A22" s="10" t="s">
        <v>160</v>
      </c>
      <c r="B22" s="10" t="s">
        <v>90</v>
      </c>
      <c r="C22" s="10" t="s">
        <v>175</v>
      </c>
      <c r="D22" s="10" t="s">
        <v>92</v>
      </c>
      <c r="E22" s="10">
        <v>1045676625</v>
      </c>
      <c r="F22" s="14" t="s">
        <v>716</v>
      </c>
      <c r="G22" s="10" t="s">
        <v>717</v>
      </c>
      <c r="H22" s="10" t="s">
        <v>718</v>
      </c>
      <c r="I22" s="13">
        <v>45842</v>
      </c>
      <c r="J22" s="10" t="s">
        <v>113</v>
      </c>
      <c r="K22" s="13">
        <v>32450</v>
      </c>
      <c r="L22" s="10">
        <f t="shared" ca="1" si="1"/>
        <v>37</v>
      </c>
      <c r="M22" s="10" t="s">
        <v>120</v>
      </c>
      <c r="N22" s="10" t="s">
        <v>122</v>
      </c>
      <c r="O22" s="12" t="s">
        <v>142</v>
      </c>
      <c r="P22" s="21" t="s">
        <v>128</v>
      </c>
      <c r="Q22" s="10" t="s">
        <v>133</v>
      </c>
      <c r="R22" s="10"/>
      <c r="S22" s="10" t="s">
        <v>136</v>
      </c>
      <c r="T22" s="10"/>
      <c r="U22" s="10"/>
      <c r="V22" s="10"/>
      <c r="W22" s="10"/>
      <c r="X22" s="10"/>
      <c r="Y22" s="28" t="s">
        <v>724</v>
      </c>
      <c r="Z22" s="10" t="s">
        <v>159</v>
      </c>
      <c r="AA22" s="53"/>
      <c r="AB22" s="53"/>
      <c r="AC22" s="55"/>
      <c r="AD22" s="55"/>
      <c r="AE22" s="55"/>
      <c r="AF22" s="55"/>
      <c r="AG22" s="55"/>
    </row>
    <row r="23" spans="1:33" ht="15.75" hidden="1" customHeight="1" x14ac:dyDescent="0.25">
      <c r="A23" s="10" t="s">
        <v>77</v>
      </c>
      <c r="B23" s="10" t="s">
        <v>90</v>
      </c>
      <c r="C23" s="10" t="s">
        <v>175</v>
      </c>
      <c r="D23" s="10" t="s">
        <v>92</v>
      </c>
      <c r="E23" s="10">
        <v>1042346134</v>
      </c>
      <c r="F23" s="25" t="s">
        <v>572</v>
      </c>
      <c r="G23" s="10" t="s">
        <v>302</v>
      </c>
      <c r="H23" s="10" t="s">
        <v>729</v>
      </c>
      <c r="I23" s="13">
        <v>45841</v>
      </c>
      <c r="J23" s="10" t="s">
        <v>113</v>
      </c>
      <c r="K23" s="13">
        <v>31437</v>
      </c>
      <c r="L23" s="10">
        <f t="shared" ca="1" si="1"/>
        <v>40</v>
      </c>
      <c r="M23" s="10" t="s">
        <v>120</v>
      </c>
      <c r="N23" s="10" t="s">
        <v>122</v>
      </c>
      <c r="O23" s="10" t="s">
        <v>142</v>
      </c>
      <c r="P23" s="21" t="s">
        <v>128</v>
      </c>
      <c r="Q23" s="10" t="s">
        <v>133</v>
      </c>
      <c r="R23" s="10" t="s">
        <v>733</v>
      </c>
      <c r="S23" s="10" t="s">
        <v>587</v>
      </c>
      <c r="T23" s="10"/>
      <c r="U23" s="10">
        <v>3046325657</v>
      </c>
      <c r="V23" s="59" t="s">
        <v>736</v>
      </c>
      <c r="W23" s="10" t="s">
        <v>155</v>
      </c>
      <c r="X23" s="10" t="s">
        <v>170</v>
      </c>
      <c r="Y23" s="28" t="s">
        <v>743</v>
      </c>
      <c r="Z23" s="10" t="s">
        <v>159</v>
      </c>
      <c r="AA23" s="10">
        <v>3106755432</v>
      </c>
      <c r="AB23" s="10" t="s">
        <v>746</v>
      </c>
      <c r="AC23" s="39"/>
      <c r="AD23" s="39"/>
      <c r="AE23" s="39"/>
      <c r="AF23" s="39"/>
      <c r="AG23" s="39"/>
    </row>
    <row r="24" spans="1:33" ht="15.75" hidden="1" customHeight="1" x14ac:dyDescent="0.25">
      <c r="A24" s="10" t="s">
        <v>77</v>
      </c>
      <c r="B24" s="10" t="s">
        <v>90</v>
      </c>
      <c r="C24" s="10" t="s">
        <v>175</v>
      </c>
      <c r="D24" s="10" t="s">
        <v>92</v>
      </c>
      <c r="E24" s="10">
        <v>1048321622</v>
      </c>
      <c r="F24" s="25" t="s">
        <v>599</v>
      </c>
      <c r="G24" s="10" t="s">
        <v>302</v>
      </c>
      <c r="H24" s="10" t="s">
        <v>750</v>
      </c>
      <c r="I24" s="13">
        <v>45853</v>
      </c>
      <c r="J24" s="10" t="s">
        <v>113</v>
      </c>
      <c r="K24" s="13">
        <v>35078</v>
      </c>
      <c r="L24" s="10">
        <f t="shared" ca="1" si="1"/>
        <v>30</v>
      </c>
      <c r="M24" s="10" t="s">
        <v>120</v>
      </c>
      <c r="N24" s="10" t="s">
        <v>122</v>
      </c>
      <c r="O24" s="10" t="s">
        <v>142</v>
      </c>
      <c r="P24" s="21" t="s">
        <v>128</v>
      </c>
      <c r="Q24" s="10" t="s">
        <v>133</v>
      </c>
      <c r="R24" s="10" t="s">
        <v>756</v>
      </c>
      <c r="S24" s="10" t="s">
        <v>136</v>
      </c>
      <c r="T24" s="10"/>
      <c r="U24" s="10">
        <v>3012093141</v>
      </c>
      <c r="V24" s="10" t="s">
        <v>758</v>
      </c>
      <c r="W24" s="10" t="s">
        <v>206</v>
      </c>
      <c r="X24" s="10" t="s">
        <v>170</v>
      </c>
      <c r="Y24" s="28" t="s">
        <v>759</v>
      </c>
      <c r="Z24" s="10" t="s">
        <v>159</v>
      </c>
      <c r="AA24" s="10"/>
      <c r="AB24" s="10"/>
      <c r="AC24" s="29"/>
      <c r="AD24" s="29"/>
      <c r="AE24" s="29"/>
      <c r="AF24" s="29"/>
      <c r="AG24" s="29"/>
    </row>
    <row r="25" spans="1:33" ht="15.75" hidden="1" customHeight="1" x14ac:dyDescent="0.25">
      <c r="A25" s="10" t="s">
        <v>77</v>
      </c>
      <c r="B25" s="10" t="s">
        <v>90</v>
      </c>
      <c r="C25" s="10" t="s">
        <v>175</v>
      </c>
      <c r="D25" s="10" t="s">
        <v>92</v>
      </c>
      <c r="E25" s="10">
        <v>72049150</v>
      </c>
      <c r="F25" s="25" t="s">
        <v>760</v>
      </c>
      <c r="G25" s="10" t="s">
        <v>11</v>
      </c>
      <c r="H25" s="10" t="s">
        <v>761</v>
      </c>
      <c r="I25" s="13">
        <v>45831</v>
      </c>
      <c r="J25" s="10" t="s">
        <v>113</v>
      </c>
      <c r="K25" s="13">
        <v>28627</v>
      </c>
      <c r="L25" s="10">
        <f t="shared" ca="1" si="1"/>
        <v>48</v>
      </c>
      <c r="M25" s="10" t="s">
        <v>120</v>
      </c>
      <c r="N25" s="10" t="s">
        <v>122</v>
      </c>
      <c r="O25" s="10" t="s">
        <v>142</v>
      </c>
      <c r="P25" s="21" t="s">
        <v>128</v>
      </c>
      <c r="Q25" s="10" t="s">
        <v>133</v>
      </c>
      <c r="R25" s="10" t="s">
        <v>766</v>
      </c>
      <c r="S25" s="10" t="s">
        <v>136</v>
      </c>
      <c r="T25" s="10"/>
      <c r="U25" s="10">
        <v>3005528357</v>
      </c>
      <c r="V25" s="10" t="s">
        <v>768</v>
      </c>
      <c r="W25" s="10" t="s">
        <v>206</v>
      </c>
      <c r="X25" s="10" t="s">
        <v>216</v>
      </c>
      <c r="Y25" s="28" t="s">
        <v>769</v>
      </c>
      <c r="Z25" s="10" t="s">
        <v>159</v>
      </c>
      <c r="AA25" s="10"/>
      <c r="AB25" s="10"/>
      <c r="AC25" s="29"/>
      <c r="AD25" s="29"/>
      <c r="AE25" s="29"/>
      <c r="AF25" s="29"/>
      <c r="AG25" s="29"/>
    </row>
    <row r="26" spans="1:33" ht="15.75" customHeight="1" x14ac:dyDescent="0.25">
      <c r="A26" s="10" t="s">
        <v>77</v>
      </c>
      <c r="B26" s="10" t="s">
        <v>90</v>
      </c>
      <c r="C26" s="10" t="s">
        <v>175</v>
      </c>
      <c r="D26" s="10" t="s">
        <v>92</v>
      </c>
      <c r="E26" s="12">
        <v>72098478</v>
      </c>
      <c r="F26" s="15" t="s">
        <v>772</v>
      </c>
      <c r="G26" s="10" t="s">
        <v>26</v>
      </c>
      <c r="H26" s="10"/>
      <c r="I26" s="16">
        <v>46056</v>
      </c>
      <c r="J26" s="12" t="s">
        <v>113</v>
      </c>
      <c r="K26" s="16">
        <v>29230</v>
      </c>
      <c r="L26" s="10">
        <f t="shared" ca="1" si="1"/>
        <v>46</v>
      </c>
      <c r="M26" s="10" t="s">
        <v>120</v>
      </c>
      <c r="N26" s="10" t="s">
        <v>277</v>
      </c>
      <c r="O26" s="12" t="s">
        <v>124</v>
      </c>
      <c r="P26" s="42" t="s">
        <v>128</v>
      </c>
      <c r="Q26" s="10" t="s">
        <v>133</v>
      </c>
      <c r="R26" s="12" t="s">
        <v>775</v>
      </c>
      <c r="S26" s="12" t="s">
        <v>776</v>
      </c>
      <c r="T26" s="12" t="s">
        <v>778</v>
      </c>
      <c r="U26" s="12">
        <v>3014152992</v>
      </c>
      <c r="V26" s="12" t="s">
        <v>779</v>
      </c>
      <c r="W26" s="12" t="s">
        <v>781</v>
      </c>
      <c r="X26" s="12" t="s">
        <v>170</v>
      </c>
      <c r="Y26" s="12">
        <v>3046646791</v>
      </c>
      <c r="Z26" s="10" t="s">
        <v>293</v>
      </c>
      <c r="AA26" s="10">
        <v>3003353722</v>
      </c>
      <c r="AB26" s="24"/>
      <c r="AC26" s="39"/>
      <c r="AD26" s="39"/>
      <c r="AE26" s="39"/>
      <c r="AF26" s="39"/>
      <c r="AG26" s="39"/>
    </row>
    <row r="27" spans="1:33" ht="15.75" hidden="1" customHeight="1" x14ac:dyDescent="0.25">
      <c r="A27" s="10" t="s">
        <v>77</v>
      </c>
      <c r="B27" s="10" t="s">
        <v>90</v>
      </c>
      <c r="C27" s="10" t="s">
        <v>175</v>
      </c>
      <c r="D27" s="10" t="s">
        <v>92</v>
      </c>
      <c r="E27" s="10">
        <v>1042426070</v>
      </c>
      <c r="F27" s="25" t="s">
        <v>550</v>
      </c>
      <c r="G27" s="10" t="s">
        <v>11</v>
      </c>
      <c r="H27" s="10" t="s">
        <v>786</v>
      </c>
      <c r="I27" s="13">
        <v>45831</v>
      </c>
      <c r="J27" s="10" t="s">
        <v>113</v>
      </c>
      <c r="K27" s="13">
        <v>32190</v>
      </c>
      <c r="L27" s="10">
        <f t="shared" ca="1" si="1"/>
        <v>38</v>
      </c>
      <c r="M27" s="10" t="s">
        <v>120</v>
      </c>
      <c r="N27" s="10" t="s">
        <v>122</v>
      </c>
      <c r="O27" s="10" t="s">
        <v>142</v>
      </c>
      <c r="P27" s="21" t="s">
        <v>128</v>
      </c>
      <c r="Q27" s="10" t="s">
        <v>133</v>
      </c>
      <c r="R27" s="10" t="s">
        <v>787</v>
      </c>
      <c r="S27" s="10" t="s">
        <v>136</v>
      </c>
      <c r="T27" s="10"/>
      <c r="U27" s="10">
        <v>3217301619</v>
      </c>
      <c r="V27" s="10" t="s">
        <v>790</v>
      </c>
      <c r="W27" s="10" t="s">
        <v>791</v>
      </c>
      <c r="X27" s="10" t="s">
        <v>170</v>
      </c>
      <c r="Y27" s="28" t="s">
        <v>792</v>
      </c>
      <c r="Z27" s="10" t="s">
        <v>159</v>
      </c>
      <c r="AA27" s="13"/>
      <c r="AB27" s="13"/>
      <c r="AC27" s="39"/>
      <c r="AD27" s="39"/>
      <c r="AE27" s="39"/>
      <c r="AF27" s="39"/>
      <c r="AG27" s="39"/>
    </row>
    <row r="28" spans="1:33" ht="15.75" hidden="1" customHeight="1" x14ac:dyDescent="0.25">
      <c r="A28" s="10" t="s">
        <v>77</v>
      </c>
      <c r="B28" s="10" t="s">
        <v>90</v>
      </c>
      <c r="C28" s="10" t="s">
        <v>175</v>
      </c>
      <c r="D28" s="10" t="s">
        <v>92</v>
      </c>
      <c r="E28" s="12">
        <v>72227729</v>
      </c>
      <c r="F28" s="14" t="s">
        <v>547</v>
      </c>
      <c r="G28" s="10" t="s">
        <v>11</v>
      </c>
      <c r="H28" s="10" t="s">
        <v>796</v>
      </c>
      <c r="I28" s="16">
        <v>45898</v>
      </c>
      <c r="J28" s="12" t="s">
        <v>113</v>
      </c>
      <c r="K28" s="13">
        <v>28185</v>
      </c>
      <c r="L28" s="10">
        <f t="shared" ca="1" si="1"/>
        <v>49</v>
      </c>
      <c r="M28" s="10" t="s">
        <v>120</v>
      </c>
      <c r="N28" s="10" t="s">
        <v>122</v>
      </c>
      <c r="O28" s="12" t="s">
        <v>142</v>
      </c>
      <c r="P28" s="21" t="s">
        <v>128</v>
      </c>
      <c r="Q28" s="10" t="s">
        <v>133</v>
      </c>
      <c r="R28" s="12" t="s">
        <v>800</v>
      </c>
      <c r="S28" s="12" t="s">
        <v>801</v>
      </c>
      <c r="T28" s="12" t="s">
        <v>802</v>
      </c>
      <c r="U28" s="12">
        <v>3245485123</v>
      </c>
      <c r="V28" s="12" t="s">
        <v>803</v>
      </c>
      <c r="W28" s="10" t="s">
        <v>169</v>
      </c>
      <c r="X28" s="12" t="s">
        <v>170</v>
      </c>
      <c r="Y28" s="60" t="s">
        <v>804</v>
      </c>
      <c r="Z28" s="12" t="s">
        <v>159</v>
      </c>
      <c r="AA28" s="12"/>
      <c r="AB28" s="12"/>
      <c r="AC28" s="22"/>
      <c r="AD28" s="22"/>
      <c r="AE28" s="22"/>
      <c r="AF28" s="22"/>
      <c r="AG28" s="22"/>
    </row>
    <row r="29" spans="1:33" ht="15.75" customHeight="1" x14ac:dyDescent="0.25">
      <c r="A29" s="10" t="s">
        <v>77</v>
      </c>
      <c r="B29" s="10" t="s">
        <v>90</v>
      </c>
      <c r="C29" s="10" t="s">
        <v>175</v>
      </c>
      <c r="D29" s="10" t="s">
        <v>92</v>
      </c>
      <c r="E29" s="10">
        <v>72231335</v>
      </c>
      <c r="F29" s="25" t="s">
        <v>649</v>
      </c>
      <c r="G29" s="10" t="s">
        <v>26</v>
      </c>
      <c r="H29" s="10" t="s">
        <v>810</v>
      </c>
      <c r="I29" s="13">
        <v>45880</v>
      </c>
      <c r="J29" s="10" t="s">
        <v>113</v>
      </c>
      <c r="K29" s="13">
        <v>27787</v>
      </c>
      <c r="L29" s="10">
        <f t="shared" ca="1" si="1"/>
        <v>50</v>
      </c>
      <c r="M29" s="10" t="s">
        <v>120</v>
      </c>
      <c r="N29" s="10" t="s">
        <v>122</v>
      </c>
      <c r="O29" s="10" t="s">
        <v>142</v>
      </c>
      <c r="P29" s="21" t="s">
        <v>128</v>
      </c>
      <c r="Q29" s="10" t="s">
        <v>133</v>
      </c>
      <c r="R29" s="10" t="s">
        <v>815</v>
      </c>
      <c r="S29" s="10" t="s">
        <v>136</v>
      </c>
      <c r="T29" s="10"/>
      <c r="U29" s="10">
        <v>3153165347</v>
      </c>
      <c r="V29" s="29" t="s">
        <v>818</v>
      </c>
      <c r="W29" s="10" t="s">
        <v>206</v>
      </c>
      <c r="X29" s="10" t="s">
        <v>255</v>
      </c>
      <c r="Y29" s="28" t="s">
        <v>819</v>
      </c>
      <c r="Z29" s="10" t="s">
        <v>159</v>
      </c>
      <c r="AA29" s="10"/>
      <c r="AB29" s="48"/>
      <c r="AC29" s="29"/>
      <c r="AD29" s="29"/>
      <c r="AE29" s="29"/>
      <c r="AF29" s="29"/>
      <c r="AG29" s="29"/>
    </row>
    <row r="30" spans="1:33" ht="15.75" customHeight="1" x14ac:dyDescent="0.25">
      <c r="A30" s="10" t="s">
        <v>77</v>
      </c>
      <c r="B30" s="10" t="s">
        <v>90</v>
      </c>
      <c r="C30" s="10" t="s">
        <v>175</v>
      </c>
      <c r="D30" s="10" t="s">
        <v>92</v>
      </c>
      <c r="E30" s="12">
        <v>72267855</v>
      </c>
      <c r="F30" s="14" t="s">
        <v>820</v>
      </c>
      <c r="G30" s="10" t="s">
        <v>26</v>
      </c>
      <c r="H30" s="10" t="s">
        <v>822</v>
      </c>
      <c r="I30" s="16">
        <v>45894</v>
      </c>
      <c r="J30" s="12" t="s">
        <v>113</v>
      </c>
      <c r="K30" s="13">
        <v>30089</v>
      </c>
      <c r="L30" s="10">
        <f t="shared" ca="1" si="1"/>
        <v>44</v>
      </c>
      <c r="M30" s="10" t="s">
        <v>120</v>
      </c>
      <c r="N30" s="10" t="s">
        <v>122</v>
      </c>
      <c r="O30" s="12" t="s">
        <v>142</v>
      </c>
      <c r="P30" s="21" t="s">
        <v>128</v>
      </c>
      <c r="Q30" s="10" t="s">
        <v>133</v>
      </c>
      <c r="R30" s="12" t="s">
        <v>825</v>
      </c>
      <c r="S30" s="12" t="s">
        <v>136</v>
      </c>
      <c r="T30" s="12"/>
      <c r="U30" s="12">
        <v>3234888085</v>
      </c>
      <c r="V30" s="12"/>
      <c r="W30" s="10" t="s">
        <v>155</v>
      </c>
      <c r="X30" s="12"/>
      <c r="Y30" s="34" t="s">
        <v>828</v>
      </c>
      <c r="Z30" s="12" t="s">
        <v>159</v>
      </c>
      <c r="AA30" s="16"/>
      <c r="AB30" s="16"/>
      <c r="AC30" s="32"/>
      <c r="AD30" s="32"/>
      <c r="AE30" s="32"/>
      <c r="AF30" s="32"/>
      <c r="AG30" s="32"/>
    </row>
    <row r="31" spans="1:33" ht="15.75" hidden="1" customHeight="1" x14ac:dyDescent="0.25">
      <c r="A31" s="10" t="s">
        <v>77</v>
      </c>
      <c r="B31" s="10" t="s">
        <v>90</v>
      </c>
      <c r="C31" s="10" t="s">
        <v>175</v>
      </c>
      <c r="D31" s="10" t="s">
        <v>92</v>
      </c>
      <c r="E31" s="10">
        <v>72056722</v>
      </c>
      <c r="F31" s="25" t="s">
        <v>832</v>
      </c>
      <c r="G31" s="10" t="s">
        <v>302</v>
      </c>
      <c r="H31" s="10" t="s">
        <v>833</v>
      </c>
      <c r="I31" s="13">
        <v>45831</v>
      </c>
      <c r="J31" s="10" t="s">
        <v>113</v>
      </c>
      <c r="K31" s="13">
        <v>31453</v>
      </c>
      <c r="L31" s="10">
        <f t="shared" ca="1" si="1"/>
        <v>40</v>
      </c>
      <c r="M31" s="10" t="s">
        <v>120</v>
      </c>
      <c r="N31" s="10" t="s">
        <v>122</v>
      </c>
      <c r="O31" s="10" t="s">
        <v>142</v>
      </c>
      <c r="P31" s="21" t="s">
        <v>128</v>
      </c>
      <c r="Q31" s="10" t="s">
        <v>133</v>
      </c>
      <c r="R31" s="10" t="s">
        <v>837</v>
      </c>
      <c r="S31" s="10" t="s">
        <v>507</v>
      </c>
      <c r="T31" s="10"/>
      <c r="U31" s="10">
        <v>3023027275</v>
      </c>
      <c r="V31" s="61" t="s">
        <v>838</v>
      </c>
      <c r="W31" s="10" t="s">
        <v>539</v>
      </c>
      <c r="X31" s="10" t="s">
        <v>170</v>
      </c>
      <c r="Y31" s="28" t="s">
        <v>843</v>
      </c>
      <c r="Z31" s="10" t="s">
        <v>159</v>
      </c>
      <c r="AA31" s="13"/>
      <c r="AB31" s="13"/>
      <c r="AC31" s="39"/>
      <c r="AD31" s="39"/>
      <c r="AE31" s="39"/>
      <c r="AF31" s="39"/>
      <c r="AG31" s="39"/>
    </row>
    <row r="32" spans="1:33" ht="15.75" hidden="1" customHeight="1" x14ac:dyDescent="0.25">
      <c r="A32" s="10" t="s">
        <v>77</v>
      </c>
      <c r="B32" s="10" t="s">
        <v>90</v>
      </c>
      <c r="C32" s="10" t="s">
        <v>175</v>
      </c>
      <c r="D32" s="10" t="s">
        <v>92</v>
      </c>
      <c r="E32" s="10">
        <v>1063134418</v>
      </c>
      <c r="F32" s="25" t="s">
        <v>846</v>
      </c>
      <c r="G32" s="10" t="s">
        <v>11</v>
      </c>
      <c r="H32" s="10" t="s">
        <v>847</v>
      </c>
      <c r="I32" s="13">
        <v>45831</v>
      </c>
      <c r="J32" s="12" t="s">
        <v>113</v>
      </c>
      <c r="K32" s="53">
        <v>37943</v>
      </c>
      <c r="L32" s="10">
        <f t="shared" ca="1" si="1"/>
        <v>22</v>
      </c>
      <c r="M32" s="10" t="s">
        <v>120</v>
      </c>
      <c r="N32" s="10" t="s">
        <v>236</v>
      </c>
      <c r="O32" s="10" t="s">
        <v>142</v>
      </c>
      <c r="P32" s="21" t="s">
        <v>128</v>
      </c>
      <c r="Q32" s="10" t="s">
        <v>133</v>
      </c>
      <c r="R32" s="10" t="s">
        <v>852</v>
      </c>
      <c r="S32" s="10" t="s">
        <v>136</v>
      </c>
      <c r="T32" s="10"/>
      <c r="U32" s="10">
        <v>3243157238</v>
      </c>
      <c r="V32" s="62" t="s">
        <v>854</v>
      </c>
      <c r="W32" s="10" t="s">
        <v>203</v>
      </c>
      <c r="X32" s="10" t="s">
        <v>170</v>
      </c>
      <c r="Y32" s="34" t="s">
        <v>861</v>
      </c>
      <c r="Z32" s="12" t="s">
        <v>159</v>
      </c>
      <c r="AA32" s="16"/>
      <c r="AB32" s="16"/>
      <c r="AC32" s="32"/>
      <c r="AD32" s="32"/>
      <c r="AE32" s="32"/>
      <c r="AF32" s="32"/>
      <c r="AG32" s="32"/>
    </row>
    <row r="33" spans="1:33" ht="15.75" hidden="1" customHeight="1" x14ac:dyDescent="0.25">
      <c r="A33" s="10" t="s">
        <v>77</v>
      </c>
      <c r="B33" s="10" t="s">
        <v>90</v>
      </c>
      <c r="C33" s="10" t="s">
        <v>175</v>
      </c>
      <c r="D33" s="10" t="s">
        <v>92</v>
      </c>
      <c r="E33" s="12">
        <v>1068664013</v>
      </c>
      <c r="F33" s="14" t="s">
        <v>863</v>
      </c>
      <c r="G33" s="10" t="s">
        <v>302</v>
      </c>
      <c r="H33" s="10" t="s">
        <v>864</v>
      </c>
      <c r="I33" s="16">
        <v>45894</v>
      </c>
      <c r="J33" s="12" t="s">
        <v>113</v>
      </c>
      <c r="K33" s="13">
        <v>33532</v>
      </c>
      <c r="L33" s="10">
        <f t="shared" ca="1" si="1"/>
        <v>34</v>
      </c>
      <c r="M33" s="10" t="s">
        <v>120</v>
      </c>
      <c r="N33" s="10" t="s">
        <v>122</v>
      </c>
      <c r="O33" s="12" t="s">
        <v>142</v>
      </c>
      <c r="P33" s="21" t="s">
        <v>128</v>
      </c>
      <c r="Q33" s="10" t="s">
        <v>133</v>
      </c>
      <c r="R33" s="12" t="s">
        <v>867</v>
      </c>
      <c r="S33" s="12" t="s">
        <v>151</v>
      </c>
      <c r="T33" s="12" t="s">
        <v>784</v>
      </c>
      <c r="U33" s="12">
        <v>3046831884</v>
      </c>
      <c r="V33" s="12" t="s">
        <v>868</v>
      </c>
      <c r="W33" s="10" t="s">
        <v>471</v>
      </c>
      <c r="X33" s="12"/>
      <c r="Y33" s="34" t="s">
        <v>870</v>
      </c>
      <c r="Z33" s="12" t="s">
        <v>159</v>
      </c>
      <c r="AA33" s="10"/>
      <c r="AB33" s="10"/>
      <c r="AC33" s="29"/>
      <c r="AD33" s="29"/>
      <c r="AE33" s="29"/>
      <c r="AF33" s="29"/>
      <c r="AG33" s="29"/>
    </row>
    <row r="34" spans="1:33" ht="15.75" hidden="1" customHeight="1" x14ac:dyDescent="0.25">
      <c r="A34" s="10" t="s">
        <v>77</v>
      </c>
      <c r="B34" s="10" t="s">
        <v>90</v>
      </c>
      <c r="C34" s="10" t="s">
        <v>175</v>
      </c>
      <c r="D34" s="10" t="s">
        <v>92</v>
      </c>
      <c r="E34" s="10">
        <v>5049904</v>
      </c>
      <c r="F34" s="25" t="s">
        <v>402</v>
      </c>
      <c r="G34" s="10" t="s">
        <v>11</v>
      </c>
      <c r="H34" s="10" t="s">
        <v>877</v>
      </c>
      <c r="I34" s="13">
        <v>45831</v>
      </c>
      <c r="J34" s="10" t="s">
        <v>113</v>
      </c>
      <c r="K34" s="30">
        <v>28099</v>
      </c>
      <c r="L34" s="10">
        <f t="shared" ca="1" si="1"/>
        <v>49</v>
      </c>
      <c r="M34" s="10" t="s">
        <v>120</v>
      </c>
      <c r="N34" s="10" t="s">
        <v>122</v>
      </c>
      <c r="O34" s="10" t="s">
        <v>210</v>
      </c>
      <c r="P34" s="21" t="s">
        <v>128</v>
      </c>
      <c r="Q34" s="10" t="s">
        <v>133</v>
      </c>
      <c r="R34" s="10" t="s">
        <v>880</v>
      </c>
      <c r="S34" s="10" t="s">
        <v>136</v>
      </c>
      <c r="T34" s="10"/>
      <c r="U34" s="10">
        <v>3212470737</v>
      </c>
      <c r="V34" s="10" t="s">
        <v>882</v>
      </c>
      <c r="W34" s="10" t="s">
        <v>206</v>
      </c>
      <c r="X34" s="10" t="s">
        <v>170</v>
      </c>
      <c r="Y34" s="28" t="s">
        <v>883</v>
      </c>
      <c r="Z34" s="10" t="s">
        <v>159</v>
      </c>
      <c r="AA34" s="10"/>
      <c r="AB34" s="48"/>
    </row>
    <row r="35" spans="1:33" ht="15.75" hidden="1" customHeight="1" x14ac:dyDescent="0.25">
      <c r="A35" s="10" t="s">
        <v>160</v>
      </c>
      <c r="B35" s="10" t="s">
        <v>90</v>
      </c>
      <c r="C35" s="10" t="s">
        <v>91</v>
      </c>
      <c r="D35" s="10" t="s">
        <v>92</v>
      </c>
      <c r="E35" s="12">
        <v>1067291657</v>
      </c>
      <c r="F35" s="25" t="s">
        <v>887</v>
      </c>
      <c r="G35" s="10" t="s">
        <v>888</v>
      </c>
      <c r="H35" s="12" t="s">
        <v>889</v>
      </c>
      <c r="I35" s="13">
        <v>45831</v>
      </c>
      <c r="J35" s="12" t="s">
        <v>113</v>
      </c>
      <c r="K35" s="16">
        <v>35513</v>
      </c>
      <c r="L35" s="10">
        <f t="shared" ca="1" si="1"/>
        <v>29</v>
      </c>
      <c r="M35" s="10" t="s">
        <v>120</v>
      </c>
      <c r="N35" s="10" t="s">
        <v>122</v>
      </c>
      <c r="O35" s="12" t="s">
        <v>142</v>
      </c>
      <c r="P35" s="21" t="s">
        <v>128</v>
      </c>
      <c r="Q35" s="10" t="s">
        <v>133</v>
      </c>
      <c r="R35" s="12" t="s">
        <v>896</v>
      </c>
      <c r="S35" s="12" t="s">
        <v>136</v>
      </c>
      <c r="T35" s="12"/>
      <c r="U35" s="12">
        <v>3235244387</v>
      </c>
      <c r="V35" s="12" t="s">
        <v>897</v>
      </c>
      <c r="W35" s="12"/>
      <c r="X35" s="12"/>
      <c r="Y35" s="34" t="s">
        <v>901</v>
      </c>
      <c r="Z35" s="12" t="s">
        <v>377</v>
      </c>
      <c r="AA35" s="10"/>
      <c r="AB35" s="10"/>
      <c r="AC35" s="29"/>
      <c r="AD35" s="29"/>
      <c r="AE35" s="29"/>
      <c r="AF35" s="29"/>
      <c r="AG35" s="29"/>
    </row>
    <row r="36" spans="1:33" ht="15.75" hidden="1" customHeight="1" x14ac:dyDescent="0.25">
      <c r="A36" s="10" t="s">
        <v>160</v>
      </c>
      <c r="B36" s="10" t="s">
        <v>90</v>
      </c>
      <c r="C36" s="10" t="s">
        <v>91</v>
      </c>
      <c r="D36" s="10" t="s">
        <v>92</v>
      </c>
      <c r="E36" s="10">
        <v>1047338892</v>
      </c>
      <c r="F36" s="25" t="s">
        <v>906</v>
      </c>
      <c r="G36" s="10" t="s">
        <v>424</v>
      </c>
      <c r="H36" s="10" t="s">
        <v>907</v>
      </c>
      <c r="I36" s="13">
        <v>45831</v>
      </c>
      <c r="J36" s="10" t="s">
        <v>113</v>
      </c>
      <c r="K36" s="13">
        <v>32677</v>
      </c>
      <c r="L36" s="10">
        <f t="shared" ca="1" si="1"/>
        <v>37</v>
      </c>
      <c r="M36" s="10" t="s">
        <v>120</v>
      </c>
      <c r="N36" s="10" t="s">
        <v>277</v>
      </c>
      <c r="O36" s="10" t="s">
        <v>142</v>
      </c>
      <c r="P36" s="21" t="s">
        <v>128</v>
      </c>
      <c r="Q36" s="10" t="s">
        <v>133</v>
      </c>
      <c r="R36" s="10" t="s">
        <v>913</v>
      </c>
      <c r="S36" s="10" t="s">
        <v>233</v>
      </c>
      <c r="T36" s="10"/>
      <c r="U36" s="10">
        <v>3113001409</v>
      </c>
      <c r="V36" s="10" t="s">
        <v>914</v>
      </c>
      <c r="W36" s="10" t="s">
        <v>206</v>
      </c>
      <c r="X36" s="10" t="s">
        <v>170</v>
      </c>
      <c r="Y36" s="28" t="s">
        <v>916</v>
      </c>
      <c r="Z36" s="10" t="s">
        <v>159</v>
      </c>
      <c r="AA36" s="12"/>
      <c r="AB36" s="12"/>
      <c r="AC36" s="22"/>
      <c r="AD36" s="22"/>
      <c r="AE36" s="22"/>
      <c r="AF36" s="22"/>
      <c r="AG36" s="22"/>
    </row>
    <row r="37" spans="1:33" ht="15.75" customHeight="1" x14ac:dyDescent="0.25">
      <c r="A37" s="10" t="s">
        <v>77</v>
      </c>
      <c r="B37" s="10" t="s">
        <v>90</v>
      </c>
      <c r="C37" s="10" t="s">
        <v>175</v>
      </c>
      <c r="D37" s="10" t="s">
        <v>92</v>
      </c>
      <c r="E37" s="10">
        <v>3746339</v>
      </c>
      <c r="F37" s="25" t="s">
        <v>554</v>
      </c>
      <c r="G37" s="10" t="s">
        <v>26</v>
      </c>
      <c r="H37" s="10" t="s">
        <v>920</v>
      </c>
      <c r="I37" s="13">
        <v>45831</v>
      </c>
      <c r="J37" s="10" t="s">
        <v>113</v>
      </c>
      <c r="K37" s="13">
        <v>24604</v>
      </c>
      <c r="L37" s="10">
        <f t="shared" ca="1" si="1"/>
        <v>59</v>
      </c>
      <c r="M37" s="10" t="s">
        <v>120</v>
      </c>
      <c r="N37" s="10" t="s">
        <v>122</v>
      </c>
      <c r="O37" s="10" t="s">
        <v>142</v>
      </c>
      <c r="P37" s="21" t="s">
        <v>128</v>
      </c>
      <c r="Q37" s="10" t="s">
        <v>133</v>
      </c>
      <c r="R37" s="10" t="s">
        <v>928</v>
      </c>
      <c r="S37" s="10" t="s">
        <v>136</v>
      </c>
      <c r="T37" s="10"/>
      <c r="U37" s="10">
        <v>3012640714</v>
      </c>
      <c r="V37" s="10" t="s">
        <v>845</v>
      </c>
      <c r="W37" s="10" t="s">
        <v>206</v>
      </c>
      <c r="X37" s="10" t="s">
        <v>216</v>
      </c>
      <c r="Y37" s="28" t="s">
        <v>929</v>
      </c>
      <c r="Z37" s="10" t="s">
        <v>159</v>
      </c>
      <c r="AA37" s="10" t="s">
        <v>931</v>
      </c>
      <c r="AB37" s="13"/>
      <c r="AC37" s="29"/>
      <c r="AD37" s="29"/>
      <c r="AE37" s="29"/>
      <c r="AF37" s="29"/>
      <c r="AG37" s="29"/>
    </row>
    <row r="38" spans="1:33" ht="15.75" hidden="1" customHeight="1" x14ac:dyDescent="0.25">
      <c r="A38" s="10" t="s">
        <v>77</v>
      </c>
      <c r="B38" s="10" t="s">
        <v>90</v>
      </c>
      <c r="C38" s="10" t="s">
        <v>175</v>
      </c>
      <c r="D38" s="10" t="s">
        <v>92</v>
      </c>
      <c r="E38" s="10">
        <v>72052193</v>
      </c>
      <c r="F38" s="25" t="s">
        <v>936</v>
      </c>
      <c r="G38" s="10" t="s">
        <v>302</v>
      </c>
      <c r="H38" s="10" t="s">
        <v>937</v>
      </c>
      <c r="I38" s="13">
        <v>45831</v>
      </c>
      <c r="J38" s="10" t="s">
        <v>113</v>
      </c>
      <c r="K38" s="52">
        <v>29896</v>
      </c>
      <c r="L38" s="10">
        <f t="shared" ca="1" si="1"/>
        <v>44</v>
      </c>
      <c r="M38" s="10" t="s">
        <v>120</v>
      </c>
      <c r="N38" s="10" t="s">
        <v>236</v>
      </c>
      <c r="O38" s="10" t="s">
        <v>142</v>
      </c>
      <c r="P38" s="21" t="s">
        <v>128</v>
      </c>
      <c r="Q38" s="10" t="s">
        <v>133</v>
      </c>
      <c r="R38" s="10" t="s">
        <v>939</v>
      </c>
      <c r="S38" s="10" t="s">
        <v>507</v>
      </c>
      <c r="T38" s="10"/>
      <c r="U38" s="10">
        <v>3042757057</v>
      </c>
      <c r="V38" s="10" t="s">
        <v>940</v>
      </c>
      <c r="W38" s="10" t="s">
        <v>539</v>
      </c>
      <c r="X38" s="10" t="s">
        <v>288</v>
      </c>
      <c r="Y38" s="28" t="s">
        <v>941</v>
      </c>
      <c r="Z38" s="10" t="s">
        <v>159</v>
      </c>
      <c r="AA38" s="13"/>
      <c r="AB38" s="13"/>
      <c r="AC38" s="39"/>
      <c r="AD38" s="39"/>
      <c r="AE38" s="39"/>
      <c r="AF38" s="39"/>
      <c r="AG38" s="39"/>
    </row>
    <row r="39" spans="1:33" ht="15.75" customHeight="1" x14ac:dyDescent="0.25">
      <c r="A39" s="10" t="s">
        <v>77</v>
      </c>
      <c r="B39" s="10" t="s">
        <v>90</v>
      </c>
      <c r="C39" s="10" t="s">
        <v>175</v>
      </c>
      <c r="D39" s="10" t="s">
        <v>92</v>
      </c>
      <c r="E39" s="10">
        <v>7959524</v>
      </c>
      <c r="F39" s="25" t="s">
        <v>444</v>
      </c>
      <c r="G39" s="10" t="s">
        <v>26</v>
      </c>
      <c r="H39" s="10" t="s">
        <v>944</v>
      </c>
      <c r="I39" s="13">
        <v>45831</v>
      </c>
      <c r="J39" s="10" t="s">
        <v>113</v>
      </c>
      <c r="K39" s="13">
        <v>27172</v>
      </c>
      <c r="L39" s="10">
        <f t="shared" ca="1" si="1"/>
        <v>52</v>
      </c>
      <c r="M39" s="10" t="s">
        <v>120</v>
      </c>
      <c r="N39" s="10" t="s">
        <v>122</v>
      </c>
      <c r="O39" s="10" t="s">
        <v>124</v>
      </c>
      <c r="P39" s="21" t="s">
        <v>128</v>
      </c>
      <c r="Q39" s="10" t="s">
        <v>133</v>
      </c>
      <c r="R39" s="10" t="s">
        <v>949</v>
      </c>
      <c r="S39" s="10" t="s">
        <v>136</v>
      </c>
      <c r="T39" s="10"/>
      <c r="U39" s="10">
        <v>3168179859</v>
      </c>
      <c r="V39" s="10" t="s">
        <v>950</v>
      </c>
      <c r="W39" s="10" t="s">
        <v>253</v>
      </c>
      <c r="X39" s="10" t="s">
        <v>216</v>
      </c>
      <c r="Y39" s="28" t="s">
        <v>952</v>
      </c>
      <c r="Z39" s="10" t="s">
        <v>159</v>
      </c>
      <c r="AA39" s="10"/>
      <c r="AB39" s="48"/>
      <c r="AC39" s="22"/>
      <c r="AD39" s="22"/>
      <c r="AE39" s="22"/>
      <c r="AF39" s="22"/>
      <c r="AG39" s="22"/>
    </row>
    <row r="40" spans="1:33" ht="15.75" hidden="1" customHeight="1" x14ac:dyDescent="0.25">
      <c r="A40" s="10" t="s">
        <v>77</v>
      </c>
      <c r="B40" s="10" t="s">
        <v>90</v>
      </c>
      <c r="C40" s="10" t="s">
        <v>175</v>
      </c>
      <c r="D40" s="10" t="s">
        <v>92</v>
      </c>
      <c r="E40" s="10">
        <v>1067713819</v>
      </c>
      <c r="F40" s="51" t="s">
        <v>958</v>
      </c>
      <c r="G40" s="10" t="s">
        <v>32</v>
      </c>
      <c r="H40" s="10" t="s">
        <v>960</v>
      </c>
      <c r="I40" s="13">
        <v>45930</v>
      </c>
      <c r="J40" s="10" t="s">
        <v>113</v>
      </c>
      <c r="K40" s="13">
        <v>31853</v>
      </c>
      <c r="L40" s="10">
        <f t="shared" ca="1" si="1"/>
        <v>39</v>
      </c>
      <c r="M40" s="10" t="s">
        <v>120</v>
      </c>
      <c r="N40" s="10" t="s">
        <v>236</v>
      </c>
      <c r="O40" s="10" t="s">
        <v>142</v>
      </c>
      <c r="P40" s="21" t="s">
        <v>128</v>
      </c>
      <c r="Q40" s="10" t="s">
        <v>133</v>
      </c>
      <c r="R40" s="10" t="s">
        <v>963</v>
      </c>
      <c r="S40" s="10" t="s">
        <v>801</v>
      </c>
      <c r="T40" s="10" t="s">
        <v>802</v>
      </c>
      <c r="U40" s="10">
        <v>3244680660</v>
      </c>
      <c r="V40" s="10" t="s">
        <v>964</v>
      </c>
      <c r="W40" s="10" t="s">
        <v>965</v>
      </c>
      <c r="X40" s="10" t="s">
        <v>966</v>
      </c>
      <c r="Y40" s="28" t="s">
        <v>967</v>
      </c>
      <c r="Z40" s="10" t="s">
        <v>377</v>
      </c>
      <c r="AA40" s="16"/>
      <c r="AB40" s="16"/>
      <c r="AC40" s="32"/>
      <c r="AD40" s="32"/>
      <c r="AE40" s="32"/>
      <c r="AF40" s="32"/>
      <c r="AG40" s="32"/>
    </row>
    <row r="41" spans="1:33" ht="15.75" hidden="1" customHeight="1" x14ac:dyDescent="0.25">
      <c r="A41" s="10" t="s">
        <v>77</v>
      </c>
      <c r="B41" s="10" t="s">
        <v>90</v>
      </c>
      <c r="C41" s="10" t="s">
        <v>175</v>
      </c>
      <c r="D41" s="10" t="s">
        <v>92</v>
      </c>
      <c r="E41" s="10">
        <v>1143253528</v>
      </c>
      <c r="F41" s="51" t="s">
        <v>273</v>
      </c>
      <c r="G41" s="10" t="s">
        <v>11</v>
      </c>
      <c r="H41" s="10" t="s">
        <v>970</v>
      </c>
      <c r="I41" s="13">
        <v>45831</v>
      </c>
      <c r="J41" s="10" t="s">
        <v>113</v>
      </c>
      <c r="K41" s="13">
        <v>34713</v>
      </c>
      <c r="L41" s="10">
        <f t="shared" ca="1" si="1"/>
        <v>31</v>
      </c>
      <c r="M41" s="10" t="s">
        <v>120</v>
      </c>
      <c r="N41" s="10" t="s">
        <v>122</v>
      </c>
      <c r="O41" s="10" t="s">
        <v>210</v>
      </c>
      <c r="P41" s="21" t="s">
        <v>128</v>
      </c>
      <c r="Q41" s="10" t="s">
        <v>133</v>
      </c>
      <c r="R41" s="10" t="s">
        <v>974</v>
      </c>
      <c r="S41" s="10" t="s">
        <v>136</v>
      </c>
      <c r="T41" s="10"/>
      <c r="U41" s="10">
        <v>3157732891</v>
      </c>
      <c r="V41" s="10" t="s">
        <v>975</v>
      </c>
      <c r="W41" s="10" t="s">
        <v>203</v>
      </c>
      <c r="X41" s="10" t="s">
        <v>170</v>
      </c>
      <c r="Y41" s="28" t="s">
        <v>976</v>
      </c>
      <c r="Z41" s="10" t="s">
        <v>159</v>
      </c>
      <c r="AA41" s="13"/>
      <c r="AB41" s="13"/>
      <c r="AC41" s="39"/>
      <c r="AD41" s="39"/>
      <c r="AE41" s="39"/>
      <c r="AF41" s="39"/>
      <c r="AG41" s="39"/>
    </row>
    <row r="42" spans="1:33" ht="15.75" hidden="1" customHeight="1" x14ac:dyDescent="0.25">
      <c r="A42" s="10" t="s">
        <v>77</v>
      </c>
      <c r="B42" s="10" t="s">
        <v>90</v>
      </c>
      <c r="C42" s="10" t="s">
        <v>175</v>
      </c>
      <c r="D42" s="10" t="s">
        <v>92</v>
      </c>
      <c r="E42" s="10">
        <v>1045712196</v>
      </c>
      <c r="F42" s="51" t="s">
        <v>588</v>
      </c>
      <c r="G42" s="10" t="s">
        <v>11</v>
      </c>
      <c r="H42" s="10" t="s">
        <v>980</v>
      </c>
      <c r="I42" s="13">
        <v>45831</v>
      </c>
      <c r="J42" s="10" t="s">
        <v>113</v>
      </c>
      <c r="K42" s="13">
        <v>33895</v>
      </c>
      <c r="L42" s="10">
        <f t="shared" ca="1" si="1"/>
        <v>33</v>
      </c>
      <c r="M42" s="10" t="s">
        <v>120</v>
      </c>
      <c r="N42" s="10" t="s">
        <v>122</v>
      </c>
      <c r="O42" s="10" t="s">
        <v>142</v>
      </c>
      <c r="P42" s="21" t="s">
        <v>128</v>
      </c>
      <c r="Q42" s="10" t="s">
        <v>133</v>
      </c>
      <c r="R42" s="10" t="s">
        <v>984</v>
      </c>
      <c r="S42" s="10" t="s">
        <v>136</v>
      </c>
      <c r="T42" s="10"/>
      <c r="U42" s="10">
        <v>3004435026</v>
      </c>
      <c r="V42" s="10" t="s">
        <v>985</v>
      </c>
      <c r="W42" s="10" t="s">
        <v>253</v>
      </c>
      <c r="X42" s="10" t="s">
        <v>170</v>
      </c>
      <c r="Y42" s="28" t="s">
        <v>986</v>
      </c>
      <c r="Z42" s="10" t="s">
        <v>159</v>
      </c>
      <c r="AA42" s="30"/>
      <c r="AB42" s="30"/>
      <c r="AC42" s="64"/>
      <c r="AD42" s="64"/>
      <c r="AE42" s="64"/>
      <c r="AF42" s="64"/>
      <c r="AG42" s="64"/>
    </row>
    <row r="43" spans="1:33" ht="15.75" hidden="1" customHeight="1" x14ac:dyDescent="0.25">
      <c r="A43" s="10" t="s">
        <v>77</v>
      </c>
      <c r="B43" s="10" t="s">
        <v>90</v>
      </c>
      <c r="C43" s="10" t="s">
        <v>175</v>
      </c>
      <c r="D43" s="10" t="s">
        <v>92</v>
      </c>
      <c r="E43" s="10">
        <v>72050002</v>
      </c>
      <c r="F43" s="25" t="s">
        <v>438</v>
      </c>
      <c r="G43" s="10" t="s">
        <v>302</v>
      </c>
      <c r="H43" s="54" t="s">
        <v>992</v>
      </c>
      <c r="I43" s="13">
        <v>45831</v>
      </c>
      <c r="J43" s="10" t="s">
        <v>113</v>
      </c>
      <c r="K43" s="13">
        <v>29084</v>
      </c>
      <c r="L43" s="10">
        <f t="shared" ca="1" si="1"/>
        <v>47</v>
      </c>
      <c r="M43" s="10" t="s">
        <v>120</v>
      </c>
      <c r="N43" s="10" t="s">
        <v>122</v>
      </c>
      <c r="O43" s="42" t="s">
        <v>142</v>
      </c>
      <c r="P43" s="21" t="s">
        <v>128</v>
      </c>
      <c r="Q43" s="10" t="s">
        <v>133</v>
      </c>
      <c r="R43" s="10" t="s">
        <v>995</v>
      </c>
      <c r="S43" s="10" t="s">
        <v>136</v>
      </c>
      <c r="T43" s="10"/>
      <c r="U43" s="10">
        <v>3004080709</v>
      </c>
      <c r="V43" s="10" t="s">
        <v>845</v>
      </c>
      <c r="W43" s="10" t="s">
        <v>206</v>
      </c>
      <c r="X43" s="10" t="s">
        <v>216</v>
      </c>
      <c r="Y43" s="28" t="s">
        <v>998</v>
      </c>
      <c r="Z43" s="10" t="s">
        <v>159</v>
      </c>
      <c r="AA43" s="13"/>
      <c r="AB43" s="13"/>
      <c r="AC43" s="39"/>
      <c r="AD43" s="39"/>
      <c r="AE43" s="39"/>
      <c r="AF43" s="39"/>
      <c r="AG43" s="39"/>
    </row>
    <row r="44" spans="1:33" ht="15.75" customHeight="1" x14ac:dyDescent="0.25">
      <c r="A44" s="10" t="s">
        <v>77</v>
      </c>
      <c r="B44" s="10" t="s">
        <v>90</v>
      </c>
      <c r="C44" s="10" t="s">
        <v>175</v>
      </c>
      <c r="D44" s="10" t="s">
        <v>92</v>
      </c>
      <c r="E44" s="10">
        <v>72121487</v>
      </c>
      <c r="F44" s="25" t="s">
        <v>529</v>
      </c>
      <c r="G44" s="10" t="s">
        <v>26</v>
      </c>
      <c r="H44" s="10" t="s">
        <v>1001</v>
      </c>
      <c r="I44" s="13">
        <v>45831</v>
      </c>
      <c r="J44" s="10" t="s">
        <v>113</v>
      </c>
      <c r="K44" s="13">
        <v>29491</v>
      </c>
      <c r="L44" s="10">
        <f t="shared" ca="1" si="1"/>
        <v>45</v>
      </c>
      <c r="M44" s="10" t="s">
        <v>120</v>
      </c>
      <c r="N44" s="10" t="s">
        <v>122</v>
      </c>
      <c r="O44" s="10" t="s">
        <v>142</v>
      </c>
      <c r="P44" s="21" t="s">
        <v>128</v>
      </c>
      <c r="Q44" s="10" t="s">
        <v>133</v>
      </c>
      <c r="R44" s="10" t="s">
        <v>1007</v>
      </c>
      <c r="S44" s="10" t="s">
        <v>136</v>
      </c>
      <c r="T44" s="10"/>
      <c r="U44" s="10">
        <v>3246051248</v>
      </c>
      <c r="V44" s="10" t="s">
        <v>1008</v>
      </c>
      <c r="W44" s="10" t="s">
        <v>206</v>
      </c>
      <c r="X44" s="10" t="s">
        <v>170</v>
      </c>
      <c r="Y44" s="28" t="s">
        <v>1010</v>
      </c>
      <c r="Z44" s="10" t="s">
        <v>159</v>
      </c>
      <c r="AA44" s="10"/>
      <c r="AB44" s="10"/>
      <c r="AC44" s="39"/>
      <c r="AD44" s="39"/>
      <c r="AE44" s="39"/>
      <c r="AF44" s="39"/>
      <c r="AG44" s="39"/>
    </row>
    <row r="45" spans="1:33" ht="15.75" customHeight="1" x14ac:dyDescent="0.25">
      <c r="A45" s="10" t="s">
        <v>77</v>
      </c>
      <c r="B45" s="10" t="s">
        <v>90</v>
      </c>
      <c r="C45" s="10" t="s">
        <v>175</v>
      </c>
      <c r="D45" s="10" t="s">
        <v>92</v>
      </c>
      <c r="E45" s="10">
        <v>72044918</v>
      </c>
      <c r="F45" s="25" t="s">
        <v>526</v>
      </c>
      <c r="G45" s="10" t="s">
        <v>26</v>
      </c>
      <c r="H45" s="10" t="s">
        <v>1012</v>
      </c>
      <c r="I45" s="13">
        <v>45864</v>
      </c>
      <c r="J45" s="10" t="s">
        <v>113</v>
      </c>
      <c r="K45" s="13">
        <v>25944</v>
      </c>
      <c r="L45" s="10">
        <f t="shared" ca="1" si="1"/>
        <v>55</v>
      </c>
      <c r="M45" s="10" t="s">
        <v>120</v>
      </c>
      <c r="N45" s="10" t="s">
        <v>277</v>
      </c>
      <c r="O45" s="10" t="s">
        <v>124</v>
      </c>
      <c r="P45" s="21" t="s">
        <v>128</v>
      </c>
      <c r="Q45" s="10" t="s">
        <v>133</v>
      </c>
      <c r="R45" s="10" t="s">
        <v>1017</v>
      </c>
      <c r="S45" s="10" t="s">
        <v>151</v>
      </c>
      <c r="T45" s="10"/>
      <c r="U45" s="10">
        <v>3006995045</v>
      </c>
      <c r="V45" s="10"/>
      <c r="W45" s="10"/>
      <c r="X45" s="10"/>
      <c r="Y45" s="28" t="s">
        <v>1018</v>
      </c>
      <c r="Z45" s="10" t="s">
        <v>159</v>
      </c>
      <c r="AA45" s="16"/>
      <c r="AB45" s="16"/>
      <c r="AC45" s="29"/>
      <c r="AD45" s="29"/>
      <c r="AE45" s="29"/>
      <c r="AF45" s="29"/>
      <c r="AG45" s="29"/>
    </row>
    <row r="46" spans="1:33" ht="15.75" hidden="1" customHeight="1" x14ac:dyDescent="0.25">
      <c r="A46" s="10" t="s">
        <v>77</v>
      </c>
      <c r="B46" s="10" t="s">
        <v>90</v>
      </c>
      <c r="C46" s="10" t="s">
        <v>175</v>
      </c>
      <c r="D46" s="10" t="s">
        <v>92</v>
      </c>
      <c r="E46" s="10">
        <v>8768517</v>
      </c>
      <c r="F46" s="25" t="s">
        <v>423</v>
      </c>
      <c r="G46" s="10" t="s">
        <v>11</v>
      </c>
      <c r="H46" s="10" t="s">
        <v>1021</v>
      </c>
      <c r="I46" s="13">
        <v>45831</v>
      </c>
      <c r="J46" s="10" t="s">
        <v>113</v>
      </c>
      <c r="K46" s="30">
        <v>25159</v>
      </c>
      <c r="L46" s="10">
        <f t="shared" ca="1" si="1"/>
        <v>57</v>
      </c>
      <c r="M46" s="10" t="s">
        <v>120</v>
      </c>
      <c r="N46" s="10" t="s">
        <v>122</v>
      </c>
      <c r="O46" s="42" t="s">
        <v>142</v>
      </c>
      <c r="P46" s="21" t="s">
        <v>128</v>
      </c>
      <c r="Q46" s="10" t="s">
        <v>133</v>
      </c>
      <c r="R46" s="10" t="s">
        <v>1024</v>
      </c>
      <c r="S46" s="10" t="s">
        <v>136</v>
      </c>
      <c r="T46" s="10"/>
      <c r="U46" s="10">
        <v>3242362231</v>
      </c>
      <c r="V46" s="10" t="s">
        <v>1027</v>
      </c>
      <c r="W46" s="10" t="s">
        <v>206</v>
      </c>
      <c r="X46" s="10" t="s">
        <v>216</v>
      </c>
      <c r="Y46" s="28" t="s">
        <v>1028</v>
      </c>
      <c r="Z46" s="10" t="s">
        <v>159</v>
      </c>
      <c r="AA46" s="16"/>
      <c r="AB46" s="16"/>
      <c r="AC46" s="32"/>
      <c r="AD46" s="32"/>
      <c r="AE46" s="32"/>
      <c r="AF46" s="32"/>
      <c r="AG46" s="32"/>
    </row>
    <row r="47" spans="1:33" ht="15.75" hidden="1" customHeight="1" x14ac:dyDescent="0.25">
      <c r="A47" s="10" t="s">
        <v>77</v>
      </c>
      <c r="B47" s="10" t="s">
        <v>90</v>
      </c>
      <c r="C47" s="10" t="s">
        <v>175</v>
      </c>
      <c r="D47" s="10" t="s">
        <v>92</v>
      </c>
      <c r="E47" s="10">
        <v>72256959</v>
      </c>
      <c r="F47" s="25" t="s">
        <v>100</v>
      </c>
      <c r="G47" s="10" t="s">
        <v>11</v>
      </c>
      <c r="H47" s="10" t="s">
        <v>1033</v>
      </c>
      <c r="I47" s="13">
        <v>45831</v>
      </c>
      <c r="J47" s="10" t="s">
        <v>113</v>
      </c>
      <c r="K47" s="13">
        <v>29634</v>
      </c>
      <c r="L47" s="10">
        <f t="shared" ca="1" si="1"/>
        <v>45</v>
      </c>
      <c r="M47" s="10" t="s">
        <v>120</v>
      </c>
      <c r="N47" s="10" t="s">
        <v>122</v>
      </c>
      <c r="O47" s="42" t="s">
        <v>142</v>
      </c>
      <c r="P47" s="21" t="s">
        <v>128</v>
      </c>
      <c r="Q47" s="10" t="s">
        <v>133</v>
      </c>
      <c r="R47" s="10" t="s">
        <v>1037</v>
      </c>
      <c r="S47" s="10" t="s">
        <v>136</v>
      </c>
      <c r="T47" s="10"/>
      <c r="U47" s="10">
        <v>3246823787</v>
      </c>
      <c r="V47" s="10" t="s">
        <v>1038</v>
      </c>
      <c r="W47" s="10" t="s">
        <v>206</v>
      </c>
      <c r="X47" s="10" t="s">
        <v>216</v>
      </c>
      <c r="Y47" s="28" t="s">
        <v>1039</v>
      </c>
      <c r="Z47" s="10" t="s">
        <v>377</v>
      </c>
      <c r="AA47" s="13"/>
      <c r="AB47" s="13"/>
      <c r="AC47" s="39"/>
      <c r="AD47" s="39"/>
      <c r="AE47" s="39"/>
      <c r="AF47" s="39"/>
      <c r="AG47" s="39"/>
    </row>
    <row r="48" spans="1:33" ht="15.75" hidden="1" customHeight="1" x14ac:dyDescent="0.25">
      <c r="A48" s="10" t="s">
        <v>77</v>
      </c>
      <c r="B48" s="10" t="s">
        <v>90</v>
      </c>
      <c r="C48" s="10" t="s">
        <v>175</v>
      </c>
      <c r="D48" s="10" t="s">
        <v>92</v>
      </c>
      <c r="E48" s="10">
        <v>1193207885</v>
      </c>
      <c r="F48" s="25" t="s">
        <v>1043</v>
      </c>
      <c r="G48" s="10" t="s">
        <v>11</v>
      </c>
      <c r="H48" s="10" t="s">
        <v>1044</v>
      </c>
      <c r="I48" s="13">
        <v>45855</v>
      </c>
      <c r="J48" s="10" t="s">
        <v>113</v>
      </c>
      <c r="K48" s="13">
        <v>36072</v>
      </c>
      <c r="L48" s="10">
        <f t="shared" ca="1" si="1"/>
        <v>27</v>
      </c>
      <c r="M48" s="10" t="s">
        <v>120</v>
      </c>
      <c r="N48" s="10" t="s">
        <v>236</v>
      </c>
      <c r="O48" s="42" t="s">
        <v>142</v>
      </c>
      <c r="P48" s="21" t="s">
        <v>128</v>
      </c>
      <c r="Q48" s="10" t="s">
        <v>133</v>
      </c>
      <c r="R48" s="10" t="s">
        <v>1047</v>
      </c>
      <c r="S48" s="10" t="s">
        <v>136</v>
      </c>
      <c r="T48" s="10"/>
      <c r="U48" s="10">
        <v>3003165902</v>
      </c>
      <c r="V48" s="10" t="s">
        <v>1050</v>
      </c>
      <c r="W48" s="10"/>
      <c r="X48" s="10"/>
      <c r="Y48" s="28" t="s">
        <v>1051</v>
      </c>
      <c r="Z48" s="10" t="s">
        <v>159</v>
      </c>
      <c r="AA48" s="10"/>
      <c r="AB48" s="10"/>
      <c r="AC48" s="29"/>
      <c r="AD48" s="29"/>
      <c r="AE48" s="29"/>
      <c r="AF48" s="29"/>
      <c r="AG48" s="29"/>
    </row>
    <row r="49" spans="1:33" ht="15.75" customHeight="1" x14ac:dyDescent="0.25">
      <c r="A49" s="10" t="s">
        <v>77</v>
      </c>
      <c r="B49" s="10" t="s">
        <v>90</v>
      </c>
      <c r="C49" s="10" t="s">
        <v>175</v>
      </c>
      <c r="D49" s="10" t="s">
        <v>92</v>
      </c>
      <c r="E49" s="10">
        <v>1079658000</v>
      </c>
      <c r="F49" s="25" t="s">
        <v>446</v>
      </c>
      <c r="G49" s="10" t="s">
        <v>741</v>
      </c>
      <c r="H49" s="10" t="s">
        <v>1054</v>
      </c>
      <c r="I49" s="13">
        <v>45839</v>
      </c>
      <c r="J49" s="10" t="s">
        <v>113</v>
      </c>
      <c r="K49" s="13">
        <v>33255</v>
      </c>
      <c r="L49" s="10">
        <f t="shared" ca="1" si="1"/>
        <v>35</v>
      </c>
      <c r="M49" s="10" t="s">
        <v>120</v>
      </c>
      <c r="N49" s="10" t="s">
        <v>122</v>
      </c>
      <c r="O49" s="42" t="s">
        <v>142</v>
      </c>
      <c r="P49" s="21" t="s">
        <v>128</v>
      </c>
      <c r="Q49" s="10" t="s">
        <v>133</v>
      </c>
      <c r="R49" s="10" t="s">
        <v>1060</v>
      </c>
      <c r="S49" s="10" t="s">
        <v>136</v>
      </c>
      <c r="T49" s="10"/>
      <c r="U49" s="10">
        <v>3134443017</v>
      </c>
      <c r="V49" s="10" t="s">
        <v>1061</v>
      </c>
      <c r="W49" s="10" t="s">
        <v>253</v>
      </c>
      <c r="X49" s="10" t="s">
        <v>170</v>
      </c>
      <c r="Y49" s="28" t="s">
        <v>1062</v>
      </c>
      <c r="Z49" s="10" t="s">
        <v>159</v>
      </c>
      <c r="AA49" s="10"/>
      <c r="AB49" s="48"/>
    </row>
    <row r="50" spans="1:33" ht="15.75" hidden="1" customHeight="1" x14ac:dyDescent="0.25">
      <c r="A50" s="10" t="s">
        <v>77</v>
      </c>
      <c r="B50" s="10" t="s">
        <v>90</v>
      </c>
      <c r="C50" s="10" t="s">
        <v>175</v>
      </c>
      <c r="D50" s="10" t="s">
        <v>92</v>
      </c>
      <c r="E50" s="10">
        <v>1140875023</v>
      </c>
      <c r="F50" s="25" t="s">
        <v>557</v>
      </c>
      <c r="G50" s="10" t="s">
        <v>302</v>
      </c>
      <c r="H50" s="10" t="s">
        <v>1068</v>
      </c>
      <c r="I50" s="13">
        <v>45831</v>
      </c>
      <c r="J50" s="10" t="s">
        <v>113</v>
      </c>
      <c r="K50" s="30">
        <v>34694</v>
      </c>
      <c r="L50" s="10">
        <f t="shared" ca="1" si="1"/>
        <v>31</v>
      </c>
      <c r="M50" s="10" t="s">
        <v>120</v>
      </c>
      <c r="N50" s="10" t="s">
        <v>122</v>
      </c>
      <c r="O50" s="42" t="s">
        <v>210</v>
      </c>
      <c r="P50" s="21" t="s">
        <v>128</v>
      </c>
      <c r="Q50" s="10" t="s">
        <v>133</v>
      </c>
      <c r="R50" s="10" t="s">
        <v>1072</v>
      </c>
      <c r="S50" s="10" t="s">
        <v>136</v>
      </c>
      <c r="T50" s="10"/>
      <c r="U50" s="10">
        <v>3023090659</v>
      </c>
      <c r="V50" s="10" t="s">
        <v>1075</v>
      </c>
      <c r="W50" s="10" t="s">
        <v>206</v>
      </c>
      <c r="X50" s="10" t="s">
        <v>170</v>
      </c>
      <c r="Y50" s="28" t="s">
        <v>1076</v>
      </c>
      <c r="Z50" s="10" t="s">
        <v>159</v>
      </c>
      <c r="AA50" s="16"/>
      <c r="AB50" s="16"/>
      <c r="AC50" s="32"/>
      <c r="AD50" s="32"/>
      <c r="AE50" s="32"/>
      <c r="AF50" s="32"/>
      <c r="AG50" s="32"/>
    </row>
    <row r="51" spans="1:33" ht="15.75" customHeight="1" x14ac:dyDescent="0.25">
      <c r="A51" s="10" t="s">
        <v>77</v>
      </c>
      <c r="B51" s="10" t="s">
        <v>90</v>
      </c>
      <c r="C51" s="10" t="s">
        <v>175</v>
      </c>
      <c r="D51" s="10" t="s">
        <v>92</v>
      </c>
      <c r="E51" s="10">
        <v>10996825</v>
      </c>
      <c r="F51" s="51" t="s">
        <v>1082</v>
      </c>
      <c r="G51" s="10" t="s">
        <v>26</v>
      </c>
      <c r="H51" s="10"/>
      <c r="I51" s="13">
        <v>45976</v>
      </c>
      <c r="J51" s="10" t="s">
        <v>113</v>
      </c>
      <c r="K51" s="13">
        <v>25481</v>
      </c>
      <c r="L51" s="10">
        <f t="shared" ca="1" si="1"/>
        <v>56</v>
      </c>
      <c r="M51" s="10" t="s">
        <v>120</v>
      </c>
      <c r="N51" s="10" t="s">
        <v>277</v>
      </c>
      <c r="O51" s="10" t="s">
        <v>142</v>
      </c>
      <c r="P51" s="21" t="s">
        <v>128</v>
      </c>
      <c r="Q51" s="10" t="s">
        <v>133</v>
      </c>
      <c r="R51" s="10" t="s">
        <v>1088</v>
      </c>
      <c r="S51" s="10" t="s">
        <v>151</v>
      </c>
      <c r="T51" s="10" t="s">
        <v>1090</v>
      </c>
      <c r="U51" s="10">
        <v>3015181690</v>
      </c>
      <c r="V51" s="10" t="s">
        <v>1091</v>
      </c>
      <c r="W51" s="10" t="s">
        <v>215</v>
      </c>
      <c r="X51" s="10" t="s">
        <v>288</v>
      </c>
      <c r="Y51" s="28" t="s">
        <v>1092</v>
      </c>
      <c r="Z51" s="10" t="s">
        <v>159</v>
      </c>
      <c r="AA51" s="10"/>
      <c r="AB51" s="10"/>
      <c r="AC51" s="32"/>
      <c r="AD51" s="32"/>
      <c r="AE51" s="32"/>
      <c r="AF51" s="32"/>
      <c r="AG51" s="32"/>
    </row>
    <row r="52" spans="1:33" ht="15.75" customHeight="1" x14ac:dyDescent="0.25">
      <c r="A52" s="10" t="s">
        <v>77</v>
      </c>
      <c r="B52" s="10" t="s">
        <v>90</v>
      </c>
      <c r="C52" s="10" t="s">
        <v>175</v>
      </c>
      <c r="D52" s="10" t="s">
        <v>92</v>
      </c>
      <c r="E52" s="10">
        <v>8505606</v>
      </c>
      <c r="F52" s="25" t="s">
        <v>1093</v>
      </c>
      <c r="G52" s="10" t="s">
        <v>741</v>
      </c>
      <c r="H52" s="10" t="s">
        <v>1094</v>
      </c>
      <c r="I52" s="13">
        <v>45831</v>
      </c>
      <c r="J52" s="10" t="s">
        <v>113</v>
      </c>
      <c r="K52" s="13">
        <v>29048</v>
      </c>
      <c r="L52" s="10">
        <f t="shared" ca="1" si="1"/>
        <v>47</v>
      </c>
      <c r="M52" s="10" t="s">
        <v>120</v>
      </c>
      <c r="N52" s="10" t="s">
        <v>122</v>
      </c>
      <c r="O52" s="42" t="s">
        <v>124</v>
      </c>
      <c r="P52" s="21" t="s">
        <v>128</v>
      </c>
      <c r="Q52" s="10" t="s">
        <v>133</v>
      </c>
      <c r="R52" s="10" t="s">
        <v>1098</v>
      </c>
      <c r="S52" s="10" t="s">
        <v>151</v>
      </c>
      <c r="T52" s="10"/>
      <c r="U52" s="10" t="s">
        <v>1101</v>
      </c>
      <c r="V52" s="40" t="s">
        <v>1105</v>
      </c>
      <c r="W52" s="10" t="s">
        <v>169</v>
      </c>
      <c r="X52" s="10" t="s">
        <v>288</v>
      </c>
      <c r="Y52" s="28" t="s">
        <v>1110</v>
      </c>
      <c r="Z52" s="10" t="s">
        <v>159</v>
      </c>
      <c r="AA52" s="13"/>
      <c r="AB52" s="13"/>
      <c r="AC52" s="39"/>
      <c r="AD52" s="39"/>
      <c r="AE52" s="39"/>
      <c r="AF52" s="39"/>
      <c r="AG52" s="39"/>
    </row>
    <row r="53" spans="1:33" ht="15.75" hidden="1" customHeight="1" x14ac:dyDescent="0.25">
      <c r="A53" s="10" t="s">
        <v>77</v>
      </c>
      <c r="B53" s="10" t="s">
        <v>90</v>
      </c>
      <c r="C53" s="10" t="s">
        <v>175</v>
      </c>
      <c r="D53" s="10" t="s">
        <v>92</v>
      </c>
      <c r="E53" s="10">
        <v>1047374350</v>
      </c>
      <c r="F53" s="25" t="s">
        <v>257</v>
      </c>
      <c r="G53" s="10" t="s">
        <v>11</v>
      </c>
      <c r="H53" s="10" t="s">
        <v>1115</v>
      </c>
      <c r="I53" s="13">
        <v>45831</v>
      </c>
      <c r="J53" s="10" t="s">
        <v>113</v>
      </c>
      <c r="K53" s="13">
        <v>31447</v>
      </c>
      <c r="L53" s="10">
        <f t="shared" ca="1" si="1"/>
        <v>40</v>
      </c>
      <c r="M53" s="10" t="s">
        <v>120</v>
      </c>
      <c r="N53" s="10" t="s">
        <v>122</v>
      </c>
      <c r="O53" s="42" t="s">
        <v>142</v>
      </c>
      <c r="P53" s="21" t="s">
        <v>128</v>
      </c>
      <c r="Q53" s="10" t="s">
        <v>133</v>
      </c>
      <c r="R53" s="10" t="s">
        <v>1119</v>
      </c>
      <c r="S53" s="10" t="s">
        <v>136</v>
      </c>
      <c r="T53" s="10"/>
      <c r="U53" s="10">
        <v>3246796877</v>
      </c>
      <c r="V53" s="10" t="s">
        <v>1125</v>
      </c>
      <c r="W53" s="10" t="s">
        <v>206</v>
      </c>
      <c r="X53" s="10" t="s">
        <v>170</v>
      </c>
      <c r="Y53" s="28" t="s">
        <v>1126</v>
      </c>
      <c r="Z53" s="10" t="s">
        <v>159</v>
      </c>
      <c r="AA53" s="10"/>
      <c r="AB53" s="10"/>
      <c r="AC53" s="29"/>
      <c r="AD53" s="29"/>
      <c r="AE53" s="29"/>
      <c r="AF53" s="29"/>
      <c r="AG53" s="29"/>
    </row>
    <row r="54" spans="1:33" ht="15.75" hidden="1" customHeight="1" x14ac:dyDescent="0.25">
      <c r="A54" s="10" t="s">
        <v>160</v>
      </c>
      <c r="B54" s="10" t="s">
        <v>90</v>
      </c>
      <c r="C54" s="10" t="s">
        <v>91</v>
      </c>
      <c r="D54" s="10" t="s">
        <v>92</v>
      </c>
      <c r="E54" s="67">
        <v>1082887017</v>
      </c>
      <c r="F54" s="68" t="s">
        <v>1130</v>
      </c>
      <c r="G54" s="69" t="s">
        <v>1135</v>
      </c>
      <c r="H54" s="12" t="s">
        <v>1138</v>
      </c>
      <c r="I54" s="70">
        <v>45839</v>
      </c>
      <c r="J54" s="12" t="s">
        <v>113</v>
      </c>
      <c r="K54" s="16">
        <v>32245</v>
      </c>
      <c r="L54" s="10">
        <f t="shared" ca="1" si="1"/>
        <v>38</v>
      </c>
      <c r="M54" s="10" t="s">
        <v>120</v>
      </c>
      <c r="N54" s="10" t="s">
        <v>122</v>
      </c>
      <c r="O54" s="71" t="s">
        <v>124</v>
      </c>
      <c r="P54" s="21" t="s">
        <v>128</v>
      </c>
      <c r="Q54" s="10" t="s">
        <v>133</v>
      </c>
      <c r="R54" s="67" t="s">
        <v>1143</v>
      </c>
      <c r="S54" s="12" t="s">
        <v>136</v>
      </c>
      <c r="T54" s="67"/>
      <c r="U54" s="67"/>
      <c r="V54" s="67"/>
      <c r="W54" s="67"/>
      <c r="X54" s="72"/>
      <c r="Y54" s="73" t="s">
        <v>1145</v>
      </c>
      <c r="Z54" s="12" t="s">
        <v>1146</v>
      </c>
      <c r="AA54" s="16"/>
      <c r="AB54" s="16"/>
      <c r="AC54" s="32"/>
      <c r="AD54" s="32"/>
      <c r="AE54" s="32"/>
      <c r="AF54" s="32"/>
      <c r="AG54" s="32"/>
    </row>
    <row r="55" spans="1:33" ht="15.75" hidden="1" customHeight="1" x14ac:dyDescent="0.25">
      <c r="A55" s="10" t="s">
        <v>77</v>
      </c>
      <c r="B55" s="10" t="s">
        <v>90</v>
      </c>
      <c r="C55" s="10" t="s">
        <v>175</v>
      </c>
      <c r="D55" s="10" t="s">
        <v>1151</v>
      </c>
      <c r="E55" s="10">
        <v>1480603</v>
      </c>
      <c r="F55" s="25" t="s">
        <v>381</v>
      </c>
      <c r="G55" s="10" t="s">
        <v>302</v>
      </c>
      <c r="H55" s="10" t="s">
        <v>1152</v>
      </c>
      <c r="I55" s="30">
        <v>45856</v>
      </c>
      <c r="J55" s="10" t="s">
        <v>113</v>
      </c>
      <c r="K55" s="13">
        <v>35463</v>
      </c>
      <c r="L55" s="10">
        <f t="shared" ca="1" si="1"/>
        <v>29</v>
      </c>
      <c r="M55" s="10" t="s">
        <v>120</v>
      </c>
      <c r="N55" s="10" t="s">
        <v>236</v>
      </c>
      <c r="O55" s="42" t="s">
        <v>124</v>
      </c>
      <c r="P55" s="21" t="s">
        <v>128</v>
      </c>
      <c r="Q55" s="10" t="s">
        <v>489</v>
      </c>
      <c r="R55" s="10" t="s">
        <v>1156</v>
      </c>
      <c r="S55" s="10" t="s">
        <v>136</v>
      </c>
      <c r="T55" s="10"/>
      <c r="U55" s="10">
        <v>3244973266</v>
      </c>
      <c r="V55" s="10" t="s">
        <v>1159</v>
      </c>
      <c r="W55" s="10" t="s">
        <v>206</v>
      </c>
      <c r="X55" s="10" t="s">
        <v>170</v>
      </c>
      <c r="Y55" s="28" t="s">
        <v>1160</v>
      </c>
      <c r="Z55" s="10" t="s">
        <v>159</v>
      </c>
      <c r="AA55" s="16"/>
      <c r="AB55" s="16"/>
      <c r="AC55" s="32"/>
      <c r="AD55" s="32"/>
      <c r="AE55" s="32"/>
      <c r="AF55" s="32"/>
      <c r="AG55" s="32"/>
    </row>
    <row r="56" spans="1:33" ht="15.75" hidden="1" customHeight="1" x14ac:dyDescent="0.25">
      <c r="A56" s="10" t="s">
        <v>160</v>
      </c>
      <c r="B56" s="10" t="s">
        <v>90</v>
      </c>
      <c r="C56" s="10" t="s">
        <v>91</v>
      </c>
      <c r="D56" s="10" t="s">
        <v>92</v>
      </c>
      <c r="E56" s="10">
        <v>1047238057</v>
      </c>
      <c r="F56" s="25" t="s">
        <v>1165</v>
      </c>
      <c r="G56" s="10" t="s">
        <v>693</v>
      </c>
      <c r="H56" s="54" t="s">
        <v>1167</v>
      </c>
      <c r="I56" s="13">
        <v>45846</v>
      </c>
      <c r="J56" s="10" t="s">
        <v>113</v>
      </c>
      <c r="K56" s="13">
        <v>35811</v>
      </c>
      <c r="L56" s="10">
        <f t="shared" ca="1" si="1"/>
        <v>28</v>
      </c>
      <c r="M56" s="10" t="s">
        <v>120</v>
      </c>
      <c r="N56" s="10" t="s">
        <v>122</v>
      </c>
      <c r="O56" s="12" t="s">
        <v>142</v>
      </c>
      <c r="P56" s="21" t="s">
        <v>128</v>
      </c>
      <c r="Q56" s="10" t="s">
        <v>133</v>
      </c>
      <c r="R56" s="10"/>
      <c r="S56" s="10" t="s">
        <v>801</v>
      </c>
      <c r="T56" s="10"/>
      <c r="U56" s="10">
        <v>3166104774</v>
      </c>
      <c r="V56" s="10"/>
      <c r="W56" s="10" t="s">
        <v>215</v>
      </c>
      <c r="X56" s="10"/>
      <c r="Y56" s="28" t="s">
        <v>1172</v>
      </c>
      <c r="Z56" s="10" t="s">
        <v>159</v>
      </c>
      <c r="AA56" s="10"/>
      <c r="AB56" s="10"/>
      <c r="AC56" s="29"/>
      <c r="AD56" s="29"/>
      <c r="AE56" s="29"/>
      <c r="AF56" s="29"/>
      <c r="AG56" s="29"/>
    </row>
    <row r="57" spans="1:33" ht="15.75" hidden="1" customHeight="1" x14ac:dyDescent="0.25">
      <c r="A57" s="10" t="s">
        <v>77</v>
      </c>
      <c r="B57" s="10" t="s">
        <v>90</v>
      </c>
      <c r="C57" s="10" t="s">
        <v>175</v>
      </c>
      <c r="D57" s="10" t="s">
        <v>92</v>
      </c>
      <c r="E57" s="74">
        <v>1042971540</v>
      </c>
      <c r="F57" s="25" t="s">
        <v>474</v>
      </c>
      <c r="G57" s="10" t="s">
        <v>32</v>
      </c>
      <c r="H57" s="29" t="s">
        <v>1178</v>
      </c>
      <c r="I57" s="13">
        <v>45831</v>
      </c>
      <c r="J57" s="29" t="s">
        <v>113</v>
      </c>
      <c r="K57" s="39">
        <v>32920</v>
      </c>
      <c r="L57" s="10">
        <f t="shared" ca="1" si="1"/>
        <v>36</v>
      </c>
      <c r="M57" s="10" t="s">
        <v>120</v>
      </c>
      <c r="N57" s="29" t="s">
        <v>122</v>
      </c>
      <c r="O57" s="10" t="s">
        <v>142</v>
      </c>
      <c r="P57" s="21" t="s">
        <v>128</v>
      </c>
      <c r="Q57" s="10" t="s">
        <v>133</v>
      </c>
      <c r="R57" s="10" t="s">
        <v>1180</v>
      </c>
      <c r="S57" s="10" t="s">
        <v>136</v>
      </c>
      <c r="T57" s="10"/>
      <c r="U57" s="10">
        <v>3007858292</v>
      </c>
      <c r="V57" s="10" t="s">
        <v>1182</v>
      </c>
      <c r="W57" s="10" t="s">
        <v>203</v>
      </c>
      <c r="X57" s="10" t="s">
        <v>170</v>
      </c>
      <c r="Y57" s="28" t="s">
        <v>1183</v>
      </c>
      <c r="Z57" s="10" t="s">
        <v>159</v>
      </c>
      <c r="AA57" s="12"/>
      <c r="AB57" s="12"/>
      <c r="AC57" s="32"/>
      <c r="AD57" s="32"/>
      <c r="AE57" s="32"/>
      <c r="AF57" s="32"/>
      <c r="AG57" s="32"/>
    </row>
    <row r="58" spans="1:33" ht="15.75" hidden="1" customHeight="1" x14ac:dyDescent="0.25">
      <c r="A58" s="10" t="s">
        <v>77</v>
      </c>
      <c r="B58" s="10" t="s">
        <v>90</v>
      </c>
      <c r="C58" s="10" t="s">
        <v>175</v>
      </c>
      <c r="D58" s="10" t="s">
        <v>92</v>
      </c>
      <c r="E58" s="10">
        <v>1064310445</v>
      </c>
      <c r="F58" s="25" t="s">
        <v>358</v>
      </c>
      <c r="G58" s="10" t="s">
        <v>302</v>
      </c>
      <c r="H58" s="10" t="s">
        <v>1187</v>
      </c>
      <c r="I58" s="13">
        <v>45831</v>
      </c>
      <c r="J58" s="10" t="s">
        <v>113</v>
      </c>
      <c r="K58" s="13">
        <v>29935</v>
      </c>
      <c r="L58" s="10">
        <f t="shared" ca="1" si="1"/>
        <v>44</v>
      </c>
      <c r="M58" s="10" t="s">
        <v>120</v>
      </c>
      <c r="N58" s="10" t="s">
        <v>122</v>
      </c>
      <c r="O58" s="42" t="s">
        <v>142</v>
      </c>
      <c r="P58" s="21" t="s">
        <v>128</v>
      </c>
      <c r="Q58" s="10" t="s">
        <v>133</v>
      </c>
      <c r="R58" s="10" t="s">
        <v>1188</v>
      </c>
      <c r="S58" s="10" t="s">
        <v>136</v>
      </c>
      <c r="T58" s="10"/>
      <c r="U58" s="10">
        <v>3044251165</v>
      </c>
      <c r="V58" s="10" t="s">
        <v>1189</v>
      </c>
      <c r="W58" s="10" t="s">
        <v>206</v>
      </c>
      <c r="X58" s="10" t="s">
        <v>216</v>
      </c>
      <c r="Y58" s="28" t="s">
        <v>1191</v>
      </c>
      <c r="Z58" s="10" t="s">
        <v>159</v>
      </c>
      <c r="AA58" s="13"/>
      <c r="AB58" s="13"/>
      <c r="AC58" s="39"/>
      <c r="AD58" s="39"/>
      <c r="AE58" s="39"/>
      <c r="AF58" s="39"/>
      <c r="AG58" s="39"/>
    </row>
    <row r="59" spans="1:33" ht="15.75" hidden="1" customHeight="1" x14ac:dyDescent="0.25">
      <c r="A59" s="10" t="s">
        <v>77</v>
      </c>
      <c r="B59" s="10" t="s">
        <v>90</v>
      </c>
      <c r="C59" s="10" t="s">
        <v>175</v>
      </c>
      <c r="D59" s="10" t="s">
        <v>92</v>
      </c>
      <c r="E59" s="74">
        <v>1143139660</v>
      </c>
      <c r="F59" s="77" t="s">
        <v>394</v>
      </c>
      <c r="G59" s="10" t="s">
        <v>302</v>
      </c>
      <c r="H59" s="10" t="s">
        <v>1195</v>
      </c>
      <c r="I59" s="13">
        <v>45831</v>
      </c>
      <c r="J59" s="10" t="s">
        <v>113</v>
      </c>
      <c r="K59" s="13">
        <v>34112</v>
      </c>
      <c r="L59" s="10">
        <f t="shared" ca="1" si="1"/>
        <v>33</v>
      </c>
      <c r="M59" s="10" t="s">
        <v>120</v>
      </c>
      <c r="N59" s="10" t="s">
        <v>122</v>
      </c>
      <c r="O59" s="42" t="s">
        <v>210</v>
      </c>
      <c r="P59" s="21" t="s">
        <v>128</v>
      </c>
      <c r="Q59" s="10" t="s">
        <v>133</v>
      </c>
      <c r="R59" s="10" t="s">
        <v>1199</v>
      </c>
      <c r="S59" s="10" t="s">
        <v>151</v>
      </c>
      <c r="T59" s="10"/>
      <c r="U59" s="10">
        <v>3004536129</v>
      </c>
      <c r="V59" s="10" t="s">
        <v>1202</v>
      </c>
      <c r="W59" s="10" t="s">
        <v>206</v>
      </c>
      <c r="X59" s="10" t="s">
        <v>170</v>
      </c>
      <c r="Y59" s="28" t="s">
        <v>1204</v>
      </c>
      <c r="Z59" s="10" t="s">
        <v>159</v>
      </c>
      <c r="AA59" s="30"/>
      <c r="AB59" s="30"/>
      <c r="AC59" s="64"/>
      <c r="AD59" s="64"/>
      <c r="AE59" s="64"/>
      <c r="AF59" s="64"/>
      <c r="AG59" s="64"/>
    </row>
    <row r="60" spans="1:33" ht="15.75" hidden="1" customHeight="1" x14ac:dyDescent="0.25">
      <c r="A60" s="10" t="s">
        <v>77</v>
      </c>
      <c r="B60" s="10" t="s">
        <v>90</v>
      </c>
      <c r="C60" s="10" t="s">
        <v>175</v>
      </c>
      <c r="D60" s="10" t="s">
        <v>92</v>
      </c>
      <c r="E60" s="10">
        <v>1143145371</v>
      </c>
      <c r="F60" s="78" t="s">
        <v>355</v>
      </c>
      <c r="G60" s="10" t="s">
        <v>302</v>
      </c>
      <c r="H60" s="10" t="s">
        <v>1207</v>
      </c>
      <c r="I60" s="13">
        <v>45870</v>
      </c>
      <c r="J60" s="10" t="s">
        <v>113</v>
      </c>
      <c r="K60" s="13">
        <v>34461</v>
      </c>
      <c r="L60" s="10">
        <f t="shared" ca="1" si="1"/>
        <v>32</v>
      </c>
      <c r="M60" s="10" t="s">
        <v>120</v>
      </c>
      <c r="N60" s="10" t="s">
        <v>277</v>
      </c>
      <c r="O60" s="42" t="s">
        <v>124</v>
      </c>
      <c r="P60" s="21" t="s">
        <v>128</v>
      </c>
      <c r="Q60" s="10" t="s">
        <v>133</v>
      </c>
      <c r="R60" s="10" t="s">
        <v>1211</v>
      </c>
      <c r="S60" s="10" t="s">
        <v>151</v>
      </c>
      <c r="T60" s="10"/>
      <c r="U60" s="10">
        <v>3006680121</v>
      </c>
      <c r="V60" s="10" t="s">
        <v>1212</v>
      </c>
      <c r="W60" s="10" t="s">
        <v>253</v>
      </c>
      <c r="X60" s="10" t="s">
        <v>170</v>
      </c>
      <c r="Y60" s="28" t="s">
        <v>1213</v>
      </c>
      <c r="Z60" s="10" t="s">
        <v>159</v>
      </c>
      <c r="AA60" s="10"/>
      <c r="AB60" s="48"/>
    </row>
    <row r="61" spans="1:33" ht="15.75" hidden="1" customHeight="1" x14ac:dyDescent="0.25">
      <c r="A61" s="10" t="s">
        <v>77</v>
      </c>
      <c r="B61" s="10" t="s">
        <v>90</v>
      </c>
      <c r="C61" s="10" t="s">
        <v>175</v>
      </c>
      <c r="D61" s="10" t="s">
        <v>92</v>
      </c>
      <c r="E61" s="10">
        <v>8566749</v>
      </c>
      <c r="F61" s="25" t="s">
        <v>139</v>
      </c>
      <c r="G61" s="10" t="s">
        <v>302</v>
      </c>
      <c r="H61" s="10" t="s">
        <v>1216</v>
      </c>
      <c r="I61" s="13">
        <v>45831</v>
      </c>
      <c r="J61" s="10" t="s">
        <v>113</v>
      </c>
      <c r="K61" s="13">
        <v>29525</v>
      </c>
      <c r="L61" s="10">
        <f t="shared" ca="1" si="1"/>
        <v>45</v>
      </c>
      <c r="M61" s="10" t="s">
        <v>120</v>
      </c>
      <c r="N61" s="10" t="s">
        <v>122</v>
      </c>
      <c r="O61" s="42" t="s">
        <v>142</v>
      </c>
      <c r="P61" s="21" t="s">
        <v>128</v>
      </c>
      <c r="Q61" s="10" t="s">
        <v>133</v>
      </c>
      <c r="R61" s="10" t="s">
        <v>1220</v>
      </c>
      <c r="S61" s="10" t="s">
        <v>136</v>
      </c>
      <c r="T61" s="10"/>
      <c r="U61" s="10">
        <v>30053009504</v>
      </c>
      <c r="V61" s="10" t="s">
        <v>1222</v>
      </c>
      <c r="W61" s="10" t="s">
        <v>206</v>
      </c>
      <c r="X61" s="10" t="s">
        <v>216</v>
      </c>
      <c r="Y61" s="28" t="s">
        <v>1223</v>
      </c>
      <c r="Z61" s="10" t="s">
        <v>159</v>
      </c>
      <c r="AA61" s="13"/>
      <c r="AB61" s="13"/>
      <c r="AC61" s="39"/>
      <c r="AD61" s="39"/>
      <c r="AE61" s="39"/>
      <c r="AF61" s="39"/>
      <c r="AG61" s="39"/>
    </row>
    <row r="62" spans="1:33" ht="15.75" hidden="1" customHeight="1" x14ac:dyDescent="0.25">
      <c r="A62" s="10" t="s">
        <v>77</v>
      </c>
      <c r="B62" s="10" t="s">
        <v>90</v>
      </c>
      <c r="C62" s="10" t="s">
        <v>175</v>
      </c>
      <c r="D62" s="10" t="s">
        <v>92</v>
      </c>
      <c r="E62" s="10">
        <v>72002479</v>
      </c>
      <c r="F62" s="25" t="s">
        <v>306</v>
      </c>
      <c r="G62" s="10" t="s">
        <v>302</v>
      </c>
      <c r="H62" s="10" t="s">
        <v>1226</v>
      </c>
      <c r="I62" s="13">
        <v>45831</v>
      </c>
      <c r="J62" s="10" t="s">
        <v>113</v>
      </c>
      <c r="K62" s="13">
        <v>28540</v>
      </c>
      <c r="L62" s="10">
        <f t="shared" ca="1" si="1"/>
        <v>48</v>
      </c>
      <c r="M62" s="10" t="s">
        <v>120</v>
      </c>
      <c r="N62" s="10" t="s">
        <v>122</v>
      </c>
      <c r="O62" s="42" t="s">
        <v>124</v>
      </c>
      <c r="P62" s="21" t="s">
        <v>128</v>
      </c>
      <c r="Q62" s="10" t="s">
        <v>133</v>
      </c>
      <c r="R62" s="10" t="s">
        <v>1229</v>
      </c>
      <c r="S62" s="10" t="s">
        <v>136</v>
      </c>
      <c r="T62" s="10"/>
      <c r="U62" s="10">
        <v>3023023389</v>
      </c>
      <c r="V62" s="10" t="s">
        <v>1230</v>
      </c>
      <c r="W62" s="10" t="s">
        <v>206</v>
      </c>
      <c r="X62" s="10" t="s">
        <v>170</v>
      </c>
      <c r="Y62" s="28" t="s">
        <v>1231</v>
      </c>
      <c r="Z62" s="10" t="s">
        <v>159</v>
      </c>
      <c r="AA62" s="10"/>
      <c r="AB62" s="10"/>
      <c r="AC62" s="29"/>
      <c r="AD62" s="29"/>
      <c r="AE62" s="29"/>
      <c r="AF62" s="29"/>
      <c r="AG62" s="29"/>
    </row>
    <row r="63" spans="1:33" ht="15.75" hidden="1" customHeight="1" x14ac:dyDescent="0.25">
      <c r="A63" s="10" t="s">
        <v>77</v>
      </c>
      <c r="B63" s="10" t="s">
        <v>90</v>
      </c>
      <c r="C63" s="10" t="s">
        <v>175</v>
      </c>
      <c r="D63" s="10" t="s">
        <v>92</v>
      </c>
      <c r="E63" s="10">
        <v>72051374</v>
      </c>
      <c r="F63" s="25" t="s">
        <v>1234</v>
      </c>
      <c r="G63" s="10" t="s">
        <v>302</v>
      </c>
      <c r="H63" s="80" t="s">
        <v>1235</v>
      </c>
      <c r="I63" s="13">
        <v>45831</v>
      </c>
      <c r="J63" s="10" t="s">
        <v>113</v>
      </c>
      <c r="K63" s="13">
        <v>29462</v>
      </c>
      <c r="L63" s="10">
        <f t="shared" ca="1" si="1"/>
        <v>45</v>
      </c>
      <c r="M63" s="10" t="s">
        <v>120</v>
      </c>
      <c r="N63" s="10" t="s">
        <v>122</v>
      </c>
      <c r="O63" s="42" t="s">
        <v>142</v>
      </c>
      <c r="P63" s="21" t="s">
        <v>128</v>
      </c>
      <c r="Q63" s="10" t="s">
        <v>133</v>
      </c>
      <c r="R63" s="10" t="s">
        <v>1237</v>
      </c>
      <c r="S63" s="10" t="s">
        <v>136</v>
      </c>
      <c r="T63" s="10"/>
      <c r="U63" s="10">
        <v>3004933897</v>
      </c>
      <c r="V63" s="40" t="s">
        <v>1238</v>
      </c>
      <c r="W63" s="10" t="s">
        <v>155</v>
      </c>
      <c r="X63" s="10" t="s">
        <v>170</v>
      </c>
      <c r="Y63" s="28" t="s">
        <v>1243</v>
      </c>
      <c r="Z63" s="10" t="s">
        <v>159</v>
      </c>
      <c r="AA63" s="10"/>
      <c r="AB63" s="48"/>
    </row>
    <row r="64" spans="1:33" ht="15.75" hidden="1" customHeight="1" x14ac:dyDescent="0.25">
      <c r="A64" s="10" t="s">
        <v>77</v>
      </c>
      <c r="B64" s="10" t="s">
        <v>90</v>
      </c>
      <c r="C64" s="10" t="s">
        <v>175</v>
      </c>
      <c r="D64" s="10" t="s">
        <v>92</v>
      </c>
      <c r="E64" s="10">
        <v>1042417389</v>
      </c>
      <c r="F64" s="25" t="s">
        <v>316</v>
      </c>
      <c r="G64" s="10" t="s">
        <v>11</v>
      </c>
      <c r="H64" s="10" t="s">
        <v>1247</v>
      </c>
      <c r="I64" s="13">
        <v>45831</v>
      </c>
      <c r="J64" s="10" t="s">
        <v>113</v>
      </c>
      <c r="K64" s="13">
        <v>31119</v>
      </c>
      <c r="L64" s="10">
        <f t="shared" ca="1" si="1"/>
        <v>41</v>
      </c>
      <c r="M64" s="10" t="s">
        <v>120</v>
      </c>
      <c r="N64" s="10" t="s">
        <v>236</v>
      </c>
      <c r="O64" s="42" t="s">
        <v>124</v>
      </c>
      <c r="P64" s="21" t="s">
        <v>128</v>
      </c>
      <c r="Q64" s="10" t="s">
        <v>133</v>
      </c>
      <c r="R64" s="10" t="s">
        <v>1250</v>
      </c>
      <c r="S64" s="10" t="s">
        <v>136</v>
      </c>
      <c r="T64" s="10"/>
      <c r="U64" s="10">
        <v>3014843725</v>
      </c>
      <c r="V64" s="10" t="s">
        <v>1251</v>
      </c>
      <c r="W64" s="10" t="s">
        <v>206</v>
      </c>
      <c r="X64" s="10" t="s">
        <v>170</v>
      </c>
      <c r="Y64" s="28" t="s">
        <v>1253</v>
      </c>
      <c r="Z64" s="10" t="s">
        <v>159</v>
      </c>
      <c r="AA64" s="13"/>
      <c r="AB64" s="13"/>
      <c r="AC64" s="39"/>
      <c r="AD64" s="39"/>
      <c r="AE64" s="39"/>
      <c r="AF64" s="39"/>
      <c r="AG64" s="39"/>
    </row>
    <row r="65" spans="1:33" ht="15.75" hidden="1" customHeight="1" x14ac:dyDescent="0.25">
      <c r="A65" s="10" t="s">
        <v>77</v>
      </c>
      <c r="B65" s="10" t="s">
        <v>90</v>
      </c>
      <c r="C65" s="10" t="s">
        <v>175</v>
      </c>
      <c r="D65" s="10" t="s">
        <v>92</v>
      </c>
      <c r="E65" s="12">
        <v>72205039</v>
      </c>
      <c r="F65" s="25" t="s">
        <v>378</v>
      </c>
      <c r="G65" s="10" t="s">
        <v>11</v>
      </c>
      <c r="H65" s="10" t="s">
        <v>1257</v>
      </c>
      <c r="I65" s="16">
        <v>45876</v>
      </c>
      <c r="J65" s="12" t="s">
        <v>113</v>
      </c>
      <c r="K65" s="16">
        <v>27048</v>
      </c>
      <c r="L65" s="10">
        <f t="shared" ca="1" si="1"/>
        <v>52</v>
      </c>
      <c r="M65" s="10" t="s">
        <v>120</v>
      </c>
      <c r="N65" s="10" t="s">
        <v>122</v>
      </c>
      <c r="O65" s="12" t="s">
        <v>142</v>
      </c>
      <c r="P65" s="21" t="s">
        <v>128</v>
      </c>
      <c r="Q65" s="10" t="s">
        <v>133</v>
      </c>
      <c r="R65" s="12" t="s">
        <v>1260</v>
      </c>
      <c r="S65" s="12" t="s">
        <v>136</v>
      </c>
      <c r="T65" s="12"/>
      <c r="U65" s="12">
        <v>3018131553</v>
      </c>
      <c r="V65" s="12"/>
      <c r="W65" s="12"/>
      <c r="X65" s="12"/>
      <c r="Y65" s="34" t="s">
        <v>1262</v>
      </c>
      <c r="Z65" s="10" t="s">
        <v>159</v>
      </c>
      <c r="AA65" s="13"/>
      <c r="AB65" s="13"/>
      <c r="AC65" s="39"/>
      <c r="AD65" s="39"/>
      <c r="AE65" s="39"/>
      <c r="AF65" s="39"/>
      <c r="AG65" s="39"/>
    </row>
    <row r="66" spans="1:33" ht="15.75" hidden="1" customHeight="1" x14ac:dyDescent="0.25">
      <c r="A66" s="10" t="s">
        <v>77</v>
      </c>
      <c r="B66" s="10" t="s">
        <v>90</v>
      </c>
      <c r="C66" s="10" t="s">
        <v>175</v>
      </c>
      <c r="D66" s="10" t="s">
        <v>92</v>
      </c>
      <c r="E66" s="10">
        <v>8769783</v>
      </c>
      <c r="F66" s="25" t="s">
        <v>589</v>
      </c>
      <c r="G66" s="10" t="s">
        <v>11</v>
      </c>
      <c r="H66" s="10" t="s">
        <v>1267</v>
      </c>
      <c r="I66" s="13">
        <v>45831</v>
      </c>
      <c r="J66" s="10" t="s">
        <v>113</v>
      </c>
      <c r="K66" s="13">
        <v>24908</v>
      </c>
      <c r="L66" s="10">
        <f t="shared" ca="1" si="1"/>
        <v>58</v>
      </c>
      <c r="M66" s="10" t="s">
        <v>120</v>
      </c>
      <c r="N66" s="10" t="s">
        <v>730</v>
      </c>
      <c r="O66" s="42" t="s">
        <v>124</v>
      </c>
      <c r="P66" s="21" t="s">
        <v>128</v>
      </c>
      <c r="Q66" s="10" t="s">
        <v>133</v>
      </c>
      <c r="R66" s="10" t="s">
        <v>1268</v>
      </c>
      <c r="S66" s="10" t="s">
        <v>136</v>
      </c>
      <c r="T66" s="10"/>
      <c r="U66" s="10">
        <v>3023157061</v>
      </c>
      <c r="V66" s="10" t="s">
        <v>1270</v>
      </c>
      <c r="W66" s="10" t="s">
        <v>206</v>
      </c>
      <c r="X66" s="10" t="s">
        <v>216</v>
      </c>
      <c r="Y66" s="28" t="s">
        <v>1272</v>
      </c>
      <c r="Z66" s="10" t="s">
        <v>159</v>
      </c>
      <c r="AA66" s="13"/>
      <c r="AB66" s="13"/>
      <c r="AC66" s="39"/>
      <c r="AD66" s="39"/>
      <c r="AE66" s="39"/>
      <c r="AF66" s="39"/>
      <c r="AG66" s="39"/>
    </row>
    <row r="67" spans="1:33" ht="15.75" hidden="1" customHeight="1" x14ac:dyDescent="0.25">
      <c r="A67" s="10" t="s">
        <v>77</v>
      </c>
      <c r="B67" s="10" t="s">
        <v>90</v>
      </c>
      <c r="C67" s="10" t="s">
        <v>175</v>
      </c>
      <c r="D67" s="10" t="s">
        <v>92</v>
      </c>
      <c r="E67" s="10">
        <v>73268263</v>
      </c>
      <c r="F67" s="25" t="s">
        <v>300</v>
      </c>
      <c r="G67" s="10" t="s">
        <v>11</v>
      </c>
      <c r="H67" s="10" t="s">
        <v>1274</v>
      </c>
      <c r="I67" s="13">
        <v>45831</v>
      </c>
      <c r="J67" s="10" t="s">
        <v>113</v>
      </c>
      <c r="K67" s="30">
        <v>26259</v>
      </c>
      <c r="L67" s="10">
        <f t="shared" ca="1" si="1"/>
        <v>54</v>
      </c>
      <c r="M67" s="10" t="s">
        <v>120</v>
      </c>
      <c r="N67" s="10" t="s">
        <v>122</v>
      </c>
      <c r="O67" s="42" t="s">
        <v>124</v>
      </c>
      <c r="P67" s="21" t="s">
        <v>128</v>
      </c>
      <c r="Q67" s="10" t="s">
        <v>133</v>
      </c>
      <c r="R67" s="10" t="s">
        <v>1277</v>
      </c>
      <c r="S67" s="10" t="s">
        <v>136</v>
      </c>
      <c r="T67" s="10"/>
      <c r="U67" s="10">
        <v>3229119456</v>
      </c>
      <c r="V67" s="10" t="s">
        <v>1279</v>
      </c>
      <c r="W67" s="10" t="s">
        <v>206</v>
      </c>
      <c r="X67" s="10" t="s">
        <v>216</v>
      </c>
      <c r="Y67" s="28" t="s">
        <v>1280</v>
      </c>
      <c r="Z67" s="10" t="s">
        <v>159</v>
      </c>
      <c r="AA67" s="13"/>
      <c r="AB67" s="13"/>
      <c r="AC67" s="39"/>
      <c r="AD67" s="39"/>
      <c r="AE67" s="39"/>
      <c r="AF67" s="39"/>
      <c r="AG67" s="39"/>
    </row>
    <row r="68" spans="1:33" ht="15.75" customHeight="1" x14ac:dyDescent="0.25">
      <c r="A68" s="10" t="s">
        <v>77</v>
      </c>
      <c r="B68" s="10" t="s">
        <v>90</v>
      </c>
      <c r="C68" s="10" t="s">
        <v>175</v>
      </c>
      <c r="D68" s="10" t="s">
        <v>92</v>
      </c>
      <c r="E68" s="10">
        <v>1042422861</v>
      </c>
      <c r="F68" s="25" t="s">
        <v>470</v>
      </c>
      <c r="G68" s="10" t="s">
        <v>741</v>
      </c>
      <c r="H68" s="10" t="s">
        <v>1286</v>
      </c>
      <c r="I68" s="13">
        <v>45831</v>
      </c>
      <c r="J68" s="10" t="s">
        <v>113</v>
      </c>
      <c r="K68" s="13">
        <v>31525</v>
      </c>
      <c r="L68" s="10">
        <f t="shared" ca="1" si="1"/>
        <v>40</v>
      </c>
      <c r="M68" s="10" t="s">
        <v>120</v>
      </c>
      <c r="N68" s="10" t="s">
        <v>122</v>
      </c>
      <c r="O68" s="42" t="s">
        <v>142</v>
      </c>
      <c r="P68" s="21" t="s">
        <v>128</v>
      </c>
      <c r="Q68" s="10" t="s">
        <v>133</v>
      </c>
      <c r="R68" s="10" t="s">
        <v>1289</v>
      </c>
      <c r="S68" s="10" t="s">
        <v>136</v>
      </c>
      <c r="T68" s="10"/>
      <c r="U68" s="10">
        <v>3046182964</v>
      </c>
      <c r="V68" s="10" t="s">
        <v>1291</v>
      </c>
      <c r="W68" s="10" t="s">
        <v>206</v>
      </c>
      <c r="X68" s="10" t="s">
        <v>216</v>
      </c>
      <c r="Y68" s="28" t="s">
        <v>1293</v>
      </c>
      <c r="Z68" s="10" t="s">
        <v>159</v>
      </c>
      <c r="AA68" s="12"/>
      <c r="AB68" s="12"/>
      <c r="AC68" s="22"/>
      <c r="AD68" s="22"/>
      <c r="AE68" s="22"/>
      <c r="AF68" s="22"/>
      <c r="AG68" s="22"/>
    </row>
    <row r="69" spans="1:33" ht="15.75" hidden="1" customHeight="1" x14ac:dyDescent="0.25">
      <c r="A69" s="10" t="s">
        <v>77</v>
      </c>
      <c r="B69" s="10" t="s">
        <v>90</v>
      </c>
      <c r="C69" s="10" t="s">
        <v>175</v>
      </c>
      <c r="D69" s="10" t="s">
        <v>92</v>
      </c>
      <c r="E69" s="10">
        <v>19603283</v>
      </c>
      <c r="F69" s="25" t="s">
        <v>251</v>
      </c>
      <c r="G69" s="10" t="s">
        <v>302</v>
      </c>
      <c r="H69" s="10" t="s">
        <v>1297</v>
      </c>
      <c r="I69" s="13">
        <v>45831</v>
      </c>
      <c r="J69" s="10" t="s">
        <v>113</v>
      </c>
      <c r="K69" s="30">
        <v>30973</v>
      </c>
      <c r="L69" s="10">
        <f t="shared" ca="1" si="1"/>
        <v>41</v>
      </c>
      <c r="M69" s="10" t="s">
        <v>120</v>
      </c>
      <c r="N69" s="10" t="s">
        <v>122</v>
      </c>
      <c r="O69" s="42" t="s">
        <v>210</v>
      </c>
      <c r="P69" s="21" t="s">
        <v>128</v>
      </c>
      <c r="Q69" s="10" t="s">
        <v>133</v>
      </c>
      <c r="R69" s="10" t="s">
        <v>1302</v>
      </c>
      <c r="S69" s="10" t="s">
        <v>136</v>
      </c>
      <c r="T69" s="10"/>
      <c r="U69" s="10">
        <v>3108403470</v>
      </c>
      <c r="V69" s="10" t="s">
        <v>1303</v>
      </c>
      <c r="W69" s="10" t="s">
        <v>791</v>
      </c>
      <c r="X69" s="10" t="s">
        <v>170</v>
      </c>
      <c r="Y69" s="28" t="s">
        <v>1304</v>
      </c>
      <c r="Z69" s="10" t="s">
        <v>159</v>
      </c>
      <c r="AA69" s="10"/>
      <c r="AB69" s="48"/>
    </row>
    <row r="70" spans="1:33" ht="15.75" customHeight="1" x14ac:dyDescent="0.25">
      <c r="A70" s="10" t="s">
        <v>77</v>
      </c>
      <c r="B70" s="10" t="s">
        <v>90</v>
      </c>
      <c r="C70" s="10" t="s">
        <v>175</v>
      </c>
      <c r="D70" s="10" t="s">
        <v>92</v>
      </c>
      <c r="E70" s="10">
        <v>73158268</v>
      </c>
      <c r="F70" s="25" t="s">
        <v>563</v>
      </c>
      <c r="G70" s="10" t="s">
        <v>26</v>
      </c>
      <c r="H70" s="10" t="s">
        <v>1309</v>
      </c>
      <c r="I70" s="13">
        <v>45831</v>
      </c>
      <c r="J70" s="10" t="s">
        <v>113</v>
      </c>
      <c r="K70" s="13">
        <v>26430</v>
      </c>
      <c r="L70" s="10">
        <f t="shared" ca="1" si="1"/>
        <v>54</v>
      </c>
      <c r="M70" s="10" t="s">
        <v>120</v>
      </c>
      <c r="N70" s="10" t="s">
        <v>122</v>
      </c>
      <c r="O70" s="42" t="s">
        <v>142</v>
      </c>
      <c r="P70" s="21" t="s">
        <v>128</v>
      </c>
      <c r="Q70" s="10" t="s">
        <v>133</v>
      </c>
      <c r="R70" s="10" t="s">
        <v>1314</v>
      </c>
      <c r="S70" s="10" t="s">
        <v>136</v>
      </c>
      <c r="T70" s="10"/>
      <c r="U70" s="10">
        <v>3142163433</v>
      </c>
      <c r="V70" s="10" t="s">
        <v>1315</v>
      </c>
      <c r="W70" s="10" t="s">
        <v>206</v>
      </c>
      <c r="X70" s="10" t="s">
        <v>170</v>
      </c>
      <c r="Y70" s="28" t="s">
        <v>1316</v>
      </c>
      <c r="Z70" s="10" t="s">
        <v>159</v>
      </c>
      <c r="AA70" s="10"/>
      <c r="AB70" s="10"/>
      <c r="AC70" s="39"/>
      <c r="AD70" s="39"/>
      <c r="AE70" s="39"/>
      <c r="AF70" s="39"/>
      <c r="AG70" s="39"/>
    </row>
    <row r="71" spans="1:33" ht="15.75" customHeight="1" x14ac:dyDescent="0.25">
      <c r="A71" s="10" t="s">
        <v>77</v>
      </c>
      <c r="B71" s="10" t="s">
        <v>90</v>
      </c>
      <c r="C71" s="10" t="s">
        <v>175</v>
      </c>
      <c r="D71" s="10" t="s">
        <v>92</v>
      </c>
      <c r="E71" s="10">
        <v>3875743</v>
      </c>
      <c r="F71" s="51" t="s">
        <v>1321</v>
      </c>
      <c r="G71" s="10" t="s">
        <v>26</v>
      </c>
      <c r="H71" s="10"/>
      <c r="I71" s="13">
        <v>45995</v>
      </c>
      <c r="J71" s="10" t="s">
        <v>113</v>
      </c>
      <c r="K71" s="13">
        <v>29045</v>
      </c>
      <c r="L71" s="10">
        <f t="shared" ca="1" si="1"/>
        <v>47</v>
      </c>
      <c r="M71" s="10" t="s">
        <v>120</v>
      </c>
      <c r="N71" s="10" t="s">
        <v>277</v>
      </c>
      <c r="O71" s="10" t="s">
        <v>142</v>
      </c>
      <c r="P71" s="21" t="s">
        <v>128</v>
      </c>
      <c r="Q71" s="10" t="s">
        <v>133</v>
      </c>
      <c r="R71" s="10" t="s">
        <v>1327</v>
      </c>
      <c r="S71" s="10" t="s">
        <v>414</v>
      </c>
      <c r="T71" s="10" t="s">
        <v>1329</v>
      </c>
      <c r="U71" s="10">
        <v>3044368349</v>
      </c>
      <c r="V71" s="82" t="s">
        <v>1330</v>
      </c>
      <c r="W71" s="10" t="s">
        <v>203</v>
      </c>
      <c r="X71" s="10" t="s">
        <v>966</v>
      </c>
      <c r="Y71" s="10">
        <v>3044368349</v>
      </c>
      <c r="Z71" s="10" t="s">
        <v>293</v>
      </c>
      <c r="AA71" s="10">
        <v>3126374052</v>
      </c>
      <c r="AB71" s="10"/>
      <c r="AC71" s="32"/>
      <c r="AD71" s="32"/>
      <c r="AE71" s="32"/>
      <c r="AF71" s="32"/>
      <c r="AG71" s="32"/>
    </row>
    <row r="72" spans="1:33" ht="15.75" hidden="1" customHeight="1" x14ac:dyDescent="0.25">
      <c r="A72" s="10" t="s">
        <v>160</v>
      </c>
      <c r="B72" s="10" t="s">
        <v>90</v>
      </c>
      <c r="C72" s="10" t="s">
        <v>91</v>
      </c>
      <c r="D72" s="10" t="s">
        <v>92</v>
      </c>
      <c r="E72" s="10">
        <v>1103119777</v>
      </c>
      <c r="F72" s="51" t="s">
        <v>1334</v>
      </c>
      <c r="G72" s="10" t="s">
        <v>1335</v>
      </c>
      <c r="H72" s="10"/>
      <c r="I72" s="13">
        <v>45923</v>
      </c>
      <c r="J72" s="10" t="s">
        <v>113</v>
      </c>
      <c r="K72" s="13">
        <v>35404</v>
      </c>
      <c r="L72" s="10">
        <f t="shared" ca="1" si="1"/>
        <v>29</v>
      </c>
      <c r="M72" s="10" t="s">
        <v>320</v>
      </c>
      <c r="N72" s="10" t="s">
        <v>236</v>
      </c>
      <c r="O72" s="10" t="s">
        <v>142</v>
      </c>
      <c r="P72" s="21" t="s">
        <v>128</v>
      </c>
      <c r="Q72" s="10" t="s">
        <v>133</v>
      </c>
      <c r="R72" s="10" t="s">
        <v>1338</v>
      </c>
      <c r="S72" s="10" t="s">
        <v>136</v>
      </c>
      <c r="T72" s="10" t="s">
        <v>1339</v>
      </c>
      <c r="U72" s="10">
        <v>3015311888</v>
      </c>
      <c r="V72" s="10" t="s">
        <v>1341</v>
      </c>
      <c r="W72" s="10" t="s">
        <v>965</v>
      </c>
      <c r="X72" s="10" t="s">
        <v>966</v>
      </c>
      <c r="Y72" s="28" t="s">
        <v>1343</v>
      </c>
      <c r="Z72" s="10" t="s">
        <v>159</v>
      </c>
      <c r="AA72" s="30"/>
      <c r="AB72" s="30"/>
      <c r="AC72" s="64"/>
      <c r="AD72" s="64"/>
      <c r="AE72" s="64"/>
      <c r="AF72" s="64"/>
      <c r="AG72" s="64"/>
    </row>
    <row r="73" spans="1:33" ht="15.75" hidden="1" customHeight="1" x14ac:dyDescent="0.25">
      <c r="A73" s="10" t="s">
        <v>77</v>
      </c>
      <c r="B73" s="10" t="s">
        <v>90</v>
      </c>
      <c r="C73" s="10" t="s">
        <v>175</v>
      </c>
      <c r="D73" s="10" t="s">
        <v>92</v>
      </c>
      <c r="E73" s="12">
        <v>1001891036</v>
      </c>
      <c r="F73" s="25" t="s">
        <v>1345</v>
      </c>
      <c r="G73" s="10" t="s">
        <v>302</v>
      </c>
      <c r="H73" s="10" t="s">
        <v>1346</v>
      </c>
      <c r="I73" s="16">
        <v>45870</v>
      </c>
      <c r="J73" s="12" t="s">
        <v>113</v>
      </c>
      <c r="K73" s="16">
        <v>37924</v>
      </c>
      <c r="L73" s="10">
        <f t="shared" ca="1" si="1"/>
        <v>22</v>
      </c>
      <c r="M73" s="10" t="s">
        <v>120</v>
      </c>
      <c r="N73" s="10" t="s">
        <v>236</v>
      </c>
      <c r="O73" s="12" t="s">
        <v>142</v>
      </c>
      <c r="P73" s="21" t="s">
        <v>128</v>
      </c>
      <c r="Q73" s="10" t="s">
        <v>133</v>
      </c>
      <c r="R73" s="12" t="s">
        <v>1350</v>
      </c>
      <c r="S73" s="12" t="s">
        <v>136</v>
      </c>
      <c r="T73" s="12"/>
      <c r="U73" s="12">
        <v>3014661149</v>
      </c>
      <c r="V73" s="12"/>
      <c r="W73" s="12"/>
      <c r="X73" s="12"/>
      <c r="Y73" s="34" t="s">
        <v>1351</v>
      </c>
      <c r="Z73" s="12" t="s">
        <v>377</v>
      </c>
      <c r="AA73" s="13"/>
      <c r="AB73" s="13"/>
      <c r="AC73" s="39"/>
      <c r="AD73" s="39"/>
      <c r="AE73" s="39"/>
      <c r="AF73" s="39"/>
      <c r="AG73" s="39"/>
    </row>
    <row r="74" spans="1:33" ht="15.75" customHeight="1" x14ac:dyDescent="0.25">
      <c r="A74" s="10" t="s">
        <v>77</v>
      </c>
      <c r="B74" s="10" t="s">
        <v>90</v>
      </c>
      <c r="C74" s="10" t="s">
        <v>175</v>
      </c>
      <c r="D74" s="10" t="s">
        <v>92</v>
      </c>
      <c r="E74" s="10">
        <v>8718387</v>
      </c>
      <c r="F74" s="25" t="s">
        <v>581</v>
      </c>
      <c r="G74" s="10" t="s">
        <v>26</v>
      </c>
      <c r="H74" s="10" t="s">
        <v>1357</v>
      </c>
      <c r="I74" s="13">
        <v>45831</v>
      </c>
      <c r="J74" s="10" t="s">
        <v>113</v>
      </c>
      <c r="K74" s="13">
        <v>22614</v>
      </c>
      <c r="L74" s="10">
        <f t="shared" ca="1" si="1"/>
        <v>64</v>
      </c>
      <c r="M74" s="10" t="s">
        <v>120</v>
      </c>
      <c r="N74" s="10" t="s">
        <v>122</v>
      </c>
      <c r="O74" s="42" t="s">
        <v>142</v>
      </c>
      <c r="P74" s="21" t="s">
        <v>128</v>
      </c>
      <c r="Q74" s="10" t="s">
        <v>133</v>
      </c>
      <c r="R74" s="10" t="s">
        <v>1360</v>
      </c>
      <c r="S74" s="10" t="s">
        <v>136</v>
      </c>
      <c r="T74" s="10"/>
      <c r="U74" s="10">
        <v>3216961072</v>
      </c>
      <c r="V74" s="10" t="s">
        <v>1361</v>
      </c>
      <c r="W74" s="10" t="s">
        <v>206</v>
      </c>
      <c r="X74" s="10" t="s">
        <v>170</v>
      </c>
      <c r="Y74" s="28" t="s">
        <v>1362</v>
      </c>
      <c r="Z74" s="10" t="s">
        <v>159</v>
      </c>
      <c r="AA74" s="16"/>
      <c r="AB74" s="16"/>
      <c r="AC74" s="39"/>
      <c r="AD74" s="39"/>
      <c r="AE74" s="39"/>
      <c r="AF74" s="39"/>
      <c r="AG74" s="39"/>
    </row>
    <row r="75" spans="1:33" ht="15.75" hidden="1" customHeight="1" x14ac:dyDescent="0.25">
      <c r="A75" s="10" t="s">
        <v>77</v>
      </c>
      <c r="B75" s="10" t="s">
        <v>90</v>
      </c>
      <c r="C75" s="10" t="s">
        <v>175</v>
      </c>
      <c r="D75" s="10" t="s">
        <v>92</v>
      </c>
      <c r="E75" s="10">
        <v>1124009178</v>
      </c>
      <c r="F75" s="25" t="s">
        <v>1368</v>
      </c>
      <c r="G75" s="10" t="s">
        <v>302</v>
      </c>
      <c r="H75" s="10" t="s">
        <v>1369</v>
      </c>
      <c r="I75" s="13">
        <v>45831</v>
      </c>
      <c r="J75" s="10" t="s">
        <v>113</v>
      </c>
      <c r="K75" s="13">
        <v>32451</v>
      </c>
      <c r="L75" s="10">
        <f t="shared" ca="1" si="1"/>
        <v>37</v>
      </c>
      <c r="M75" s="10" t="s">
        <v>120</v>
      </c>
      <c r="N75" s="10" t="s">
        <v>122</v>
      </c>
      <c r="O75" s="10" t="s">
        <v>142</v>
      </c>
      <c r="P75" s="21" t="s">
        <v>128</v>
      </c>
      <c r="Q75" s="10" t="s">
        <v>133</v>
      </c>
      <c r="R75" s="10" t="s">
        <v>1370</v>
      </c>
      <c r="S75" s="10" t="s">
        <v>136</v>
      </c>
      <c r="T75" s="10"/>
      <c r="U75" s="10">
        <v>3008041910</v>
      </c>
      <c r="V75" s="40" t="s">
        <v>1371</v>
      </c>
      <c r="W75" s="10" t="s">
        <v>169</v>
      </c>
      <c r="X75" s="10" t="s">
        <v>170</v>
      </c>
      <c r="Y75" s="28" t="s">
        <v>1373</v>
      </c>
      <c r="Z75" s="10" t="s">
        <v>159</v>
      </c>
      <c r="AA75" s="53"/>
      <c r="AB75" s="53"/>
      <c r="AC75" s="55"/>
      <c r="AD75" s="55"/>
      <c r="AE75" s="55"/>
      <c r="AF75" s="55"/>
      <c r="AG75" s="55"/>
    </row>
    <row r="76" spans="1:33" ht="15.75" hidden="1" customHeight="1" x14ac:dyDescent="0.25">
      <c r="A76" s="10" t="s">
        <v>160</v>
      </c>
      <c r="B76" s="10" t="s">
        <v>90</v>
      </c>
      <c r="C76" s="10" t="s">
        <v>91</v>
      </c>
      <c r="D76" s="10" t="s">
        <v>92</v>
      </c>
      <c r="E76" s="10">
        <v>1143135034</v>
      </c>
      <c r="F76" s="25" t="s">
        <v>1375</v>
      </c>
      <c r="G76" s="10" t="s">
        <v>1376</v>
      </c>
      <c r="H76" s="10" t="s">
        <v>1377</v>
      </c>
      <c r="I76" s="13">
        <v>45831</v>
      </c>
      <c r="J76" s="10" t="s">
        <v>113</v>
      </c>
      <c r="K76" s="13">
        <v>33800</v>
      </c>
      <c r="L76" s="10">
        <f t="shared" ca="1" si="1"/>
        <v>34</v>
      </c>
      <c r="M76" s="10" t="s">
        <v>120</v>
      </c>
      <c r="N76" s="10" t="s">
        <v>236</v>
      </c>
      <c r="O76" s="10" t="s">
        <v>142</v>
      </c>
      <c r="P76" s="21" t="s">
        <v>128</v>
      </c>
      <c r="Q76" s="10" t="s">
        <v>133</v>
      </c>
      <c r="R76" s="10" t="s">
        <v>1380</v>
      </c>
      <c r="S76" s="10" t="s">
        <v>136</v>
      </c>
      <c r="T76" s="10"/>
      <c r="U76" s="10">
        <v>3187466823</v>
      </c>
      <c r="V76" s="10" t="s">
        <v>1381</v>
      </c>
      <c r="W76" s="10" t="s">
        <v>206</v>
      </c>
      <c r="X76" s="10" t="s">
        <v>170</v>
      </c>
      <c r="Y76" s="28" t="s">
        <v>1382</v>
      </c>
      <c r="Z76" s="10" t="s">
        <v>159</v>
      </c>
      <c r="AA76" s="13"/>
      <c r="AB76" s="13"/>
      <c r="AC76" s="39"/>
      <c r="AD76" s="39"/>
      <c r="AE76" s="39"/>
      <c r="AF76" s="39"/>
      <c r="AG76" s="39"/>
    </row>
    <row r="77" spans="1:33" ht="15.75" customHeight="1" x14ac:dyDescent="0.25">
      <c r="A77" s="10" t="s">
        <v>77</v>
      </c>
      <c r="B77" s="10" t="s">
        <v>90</v>
      </c>
      <c r="C77" s="10" t="s">
        <v>175</v>
      </c>
      <c r="D77" s="10" t="s">
        <v>92</v>
      </c>
      <c r="E77" s="10">
        <v>72155244</v>
      </c>
      <c r="F77" s="25" t="s">
        <v>396</v>
      </c>
      <c r="G77" s="10" t="s">
        <v>26</v>
      </c>
      <c r="H77" s="10" t="s">
        <v>1384</v>
      </c>
      <c r="I77" s="13">
        <v>45831</v>
      </c>
      <c r="J77" s="10" t="s">
        <v>113</v>
      </c>
      <c r="K77" s="13">
        <v>25134</v>
      </c>
      <c r="L77" s="10">
        <f t="shared" ca="1" si="1"/>
        <v>57</v>
      </c>
      <c r="M77" s="10" t="s">
        <v>120</v>
      </c>
      <c r="N77" s="10" t="s">
        <v>236</v>
      </c>
      <c r="O77" s="42" t="s">
        <v>142</v>
      </c>
      <c r="P77" s="21" t="s">
        <v>128</v>
      </c>
      <c r="Q77" s="10" t="s">
        <v>133</v>
      </c>
      <c r="R77" s="10" t="s">
        <v>1385</v>
      </c>
      <c r="S77" s="10" t="s">
        <v>136</v>
      </c>
      <c r="T77" s="10"/>
      <c r="U77" s="10">
        <v>3003969781</v>
      </c>
      <c r="V77" s="10" t="s">
        <v>1387</v>
      </c>
      <c r="W77" s="10" t="s">
        <v>253</v>
      </c>
      <c r="X77" s="10" t="s">
        <v>216</v>
      </c>
      <c r="Y77" s="28" t="s">
        <v>1389</v>
      </c>
      <c r="Z77" s="10" t="s">
        <v>159</v>
      </c>
      <c r="AA77" s="10"/>
      <c r="AB77" s="48"/>
      <c r="AC77" s="32"/>
      <c r="AD77" s="32"/>
      <c r="AE77" s="32"/>
      <c r="AF77" s="32"/>
      <c r="AG77" s="32"/>
    </row>
    <row r="78" spans="1:33" ht="15.75" hidden="1" customHeight="1" x14ac:dyDescent="0.25">
      <c r="A78" s="10" t="s">
        <v>77</v>
      </c>
      <c r="B78" s="10" t="s">
        <v>90</v>
      </c>
      <c r="C78" s="10" t="s">
        <v>175</v>
      </c>
      <c r="D78" s="10" t="s">
        <v>92</v>
      </c>
      <c r="E78" s="10">
        <v>1096512013</v>
      </c>
      <c r="F78" s="25" t="s">
        <v>161</v>
      </c>
      <c r="G78" s="10" t="s">
        <v>302</v>
      </c>
      <c r="H78" s="10" t="s">
        <v>1391</v>
      </c>
      <c r="I78" s="13">
        <v>45831</v>
      </c>
      <c r="J78" s="10" t="s">
        <v>113</v>
      </c>
      <c r="K78" s="13">
        <v>31223</v>
      </c>
      <c r="L78" s="10">
        <f t="shared" ca="1" si="1"/>
        <v>41</v>
      </c>
      <c r="M78" s="10" t="s">
        <v>120</v>
      </c>
      <c r="N78" s="10" t="s">
        <v>122</v>
      </c>
      <c r="O78" s="10" t="s">
        <v>142</v>
      </c>
      <c r="P78" s="21" t="s">
        <v>128</v>
      </c>
      <c r="Q78" s="10" t="s">
        <v>133</v>
      </c>
      <c r="R78" s="10" t="s">
        <v>1394</v>
      </c>
      <c r="S78" s="10" t="s">
        <v>136</v>
      </c>
      <c r="T78" s="10"/>
      <c r="U78" s="10">
        <v>3004950176</v>
      </c>
      <c r="V78" s="10" t="s">
        <v>1395</v>
      </c>
      <c r="W78" s="10" t="s">
        <v>1299</v>
      </c>
      <c r="X78" s="10" t="s">
        <v>170</v>
      </c>
      <c r="Y78" s="28" t="s">
        <v>1396</v>
      </c>
      <c r="Z78" s="10" t="s">
        <v>159</v>
      </c>
      <c r="AA78" s="16"/>
      <c r="AB78" s="16"/>
      <c r="AC78" s="32"/>
      <c r="AD78" s="32"/>
      <c r="AE78" s="32"/>
      <c r="AF78" s="32"/>
      <c r="AG78" s="32"/>
    </row>
    <row r="79" spans="1:33" ht="15.75" hidden="1" customHeight="1" x14ac:dyDescent="0.25">
      <c r="A79" s="10" t="s">
        <v>77</v>
      </c>
      <c r="B79" s="10" t="s">
        <v>90</v>
      </c>
      <c r="C79" s="10" t="s">
        <v>175</v>
      </c>
      <c r="D79" s="10" t="s">
        <v>92</v>
      </c>
      <c r="E79" s="10">
        <v>72225725</v>
      </c>
      <c r="F79" s="51" t="s">
        <v>410</v>
      </c>
      <c r="G79" s="10" t="s">
        <v>11</v>
      </c>
      <c r="H79" s="10" t="s">
        <v>1404</v>
      </c>
      <c r="I79" s="13">
        <v>45831</v>
      </c>
      <c r="J79" s="10" t="s">
        <v>113</v>
      </c>
      <c r="K79" s="30">
        <v>28052</v>
      </c>
      <c r="L79" s="10">
        <f t="shared" ca="1" si="1"/>
        <v>49</v>
      </c>
      <c r="M79" s="10" t="s">
        <v>120</v>
      </c>
      <c r="N79" s="10" t="s">
        <v>122</v>
      </c>
      <c r="O79" s="10" t="s">
        <v>142</v>
      </c>
      <c r="P79" s="21" t="s">
        <v>128</v>
      </c>
      <c r="Q79" s="10" t="s">
        <v>133</v>
      </c>
      <c r="R79" s="10" t="s">
        <v>1407</v>
      </c>
      <c r="S79" s="10" t="s">
        <v>136</v>
      </c>
      <c r="T79" s="10"/>
      <c r="U79" s="10">
        <v>3012542894</v>
      </c>
      <c r="V79" s="10" t="s">
        <v>1408</v>
      </c>
      <c r="W79" s="10" t="s">
        <v>206</v>
      </c>
      <c r="X79" s="10" t="s">
        <v>216</v>
      </c>
      <c r="Y79" s="28" t="s">
        <v>1409</v>
      </c>
      <c r="Z79" s="10" t="s">
        <v>159</v>
      </c>
      <c r="AA79" s="10"/>
      <c r="AB79" s="48"/>
    </row>
    <row r="80" spans="1:33" ht="15.75" hidden="1" customHeight="1" x14ac:dyDescent="0.25">
      <c r="A80" s="10" t="s">
        <v>160</v>
      </c>
      <c r="B80" s="10" t="s">
        <v>90</v>
      </c>
      <c r="C80" s="10" t="s">
        <v>91</v>
      </c>
      <c r="D80" s="10" t="s">
        <v>92</v>
      </c>
      <c r="E80" s="12">
        <v>1143454460</v>
      </c>
      <c r="F80" s="51" t="s">
        <v>1411</v>
      </c>
      <c r="G80" s="10" t="s">
        <v>404</v>
      </c>
      <c r="H80" s="12" t="s">
        <v>1412</v>
      </c>
      <c r="I80" s="13">
        <v>45836</v>
      </c>
      <c r="J80" s="12" t="s">
        <v>113</v>
      </c>
      <c r="K80" s="16">
        <v>35015</v>
      </c>
      <c r="L80" s="10">
        <f t="shared" ca="1" si="1"/>
        <v>30</v>
      </c>
      <c r="M80" s="10" t="s">
        <v>120</v>
      </c>
      <c r="N80" s="10" t="s">
        <v>122</v>
      </c>
      <c r="O80" s="12" t="s">
        <v>142</v>
      </c>
      <c r="P80" s="21" t="s">
        <v>128</v>
      </c>
      <c r="Q80" s="10" t="s">
        <v>133</v>
      </c>
      <c r="R80" s="12" t="s">
        <v>1417</v>
      </c>
      <c r="S80" s="12" t="s">
        <v>136</v>
      </c>
      <c r="T80" s="12"/>
      <c r="U80" s="12">
        <v>3003858498</v>
      </c>
      <c r="V80" s="12" t="s">
        <v>1418</v>
      </c>
      <c r="W80" s="12"/>
      <c r="X80" s="12"/>
      <c r="Y80" s="34" t="s">
        <v>1419</v>
      </c>
      <c r="Z80" s="12" t="s">
        <v>377</v>
      </c>
      <c r="AA80" s="13"/>
      <c r="AB80" s="13"/>
      <c r="AC80" s="39"/>
      <c r="AD80" s="39"/>
      <c r="AE80" s="39"/>
      <c r="AF80" s="39"/>
      <c r="AG80" s="39"/>
    </row>
    <row r="81" spans="1:33" ht="15.75" customHeight="1" x14ac:dyDescent="0.25">
      <c r="A81" s="10" t="s">
        <v>77</v>
      </c>
      <c r="B81" s="10" t="s">
        <v>90</v>
      </c>
      <c r="C81" s="10" t="s">
        <v>175</v>
      </c>
      <c r="D81" s="10" t="s">
        <v>92</v>
      </c>
      <c r="E81" s="10">
        <v>72306580</v>
      </c>
      <c r="F81" s="25" t="s">
        <v>398</v>
      </c>
      <c r="G81" s="10" t="s">
        <v>26</v>
      </c>
      <c r="H81" s="10" t="s">
        <v>1423</v>
      </c>
      <c r="I81" s="13">
        <v>45831</v>
      </c>
      <c r="J81" s="10" t="s">
        <v>113</v>
      </c>
      <c r="K81" s="13">
        <v>26163</v>
      </c>
      <c r="L81" s="10">
        <f t="shared" ca="1" si="1"/>
        <v>55</v>
      </c>
      <c r="M81" s="10" t="s">
        <v>120</v>
      </c>
      <c r="N81" s="10" t="s">
        <v>277</v>
      </c>
      <c r="O81" s="42" t="s">
        <v>142</v>
      </c>
      <c r="P81" s="21" t="s">
        <v>128</v>
      </c>
      <c r="Q81" s="10" t="s">
        <v>133</v>
      </c>
      <c r="R81" s="10" t="s">
        <v>1427</v>
      </c>
      <c r="S81" s="10" t="s">
        <v>1428</v>
      </c>
      <c r="T81" s="10"/>
      <c r="U81" s="10">
        <v>3008606119</v>
      </c>
      <c r="V81" s="10" t="s">
        <v>1430</v>
      </c>
      <c r="W81" s="10" t="s">
        <v>203</v>
      </c>
      <c r="X81" s="10" t="s">
        <v>170</v>
      </c>
      <c r="Y81" s="28" t="s">
        <v>1433</v>
      </c>
      <c r="Z81" s="10" t="s">
        <v>159</v>
      </c>
      <c r="AA81" s="16"/>
      <c r="AB81" s="16"/>
      <c r="AC81" s="39"/>
      <c r="AD81" s="39"/>
      <c r="AE81" s="39"/>
      <c r="AF81" s="39"/>
      <c r="AG81" s="39"/>
    </row>
    <row r="82" spans="1:33" ht="15.75" hidden="1" customHeight="1" x14ac:dyDescent="0.25">
      <c r="A82" s="10" t="s">
        <v>77</v>
      </c>
      <c r="B82" s="10" t="s">
        <v>90</v>
      </c>
      <c r="C82" s="10" t="s">
        <v>175</v>
      </c>
      <c r="D82" s="10" t="s">
        <v>92</v>
      </c>
      <c r="E82" s="12">
        <v>1083457066</v>
      </c>
      <c r="F82" s="51" t="s">
        <v>1438</v>
      </c>
      <c r="G82" s="10" t="s">
        <v>11</v>
      </c>
      <c r="H82" s="10" t="s">
        <v>1439</v>
      </c>
      <c r="I82" s="16">
        <v>45870</v>
      </c>
      <c r="J82" s="12" t="s">
        <v>113</v>
      </c>
      <c r="K82" s="16">
        <v>31688</v>
      </c>
      <c r="L82" s="10">
        <f t="shared" ca="1" si="1"/>
        <v>39</v>
      </c>
      <c r="M82" s="10" t="s">
        <v>120</v>
      </c>
      <c r="N82" s="10" t="s">
        <v>277</v>
      </c>
      <c r="O82" s="12" t="s">
        <v>142</v>
      </c>
      <c r="P82" s="21" t="s">
        <v>128</v>
      </c>
      <c r="Q82" s="10" t="s">
        <v>133</v>
      </c>
      <c r="R82" s="12" t="s">
        <v>1440</v>
      </c>
      <c r="S82" s="12" t="s">
        <v>151</v>
      </c>
      <c r="T82" s="12"/>
      <c r="U82" s="12">
        <v>3004941328</v>
      </c>
      <c r="V82" s="12"/>
      <c r="W82" s="12"/>
      <c r="X82" s="12"/>
      <c r="Y82" s="34" t="s">
        <v>1444</v>
      </c>
      <c r="Z82" s="12" t="s">
        <v>159</v>
      </c>
      <c r="AA82" s="10"/>
      <c r="AB82" s="48"/>
    </row>
    <row r="83" spans="1:33" ht="15.75" hidden="1" customHeight="1" x14ac:dyDescent="0.25">
      <c r="A83" s="10" t="s">
        <v>77</v>
      </c>
      <c r="B83" s="10" t="s">
        <v>90</v>
      </c>
      <c r="C83" s="10" t="s">
        <v>175</v>
      </c>
      <c r="D83" s="10" t="s">
        <v>92</v>
      </c>
      <c r="E83" s="10">
        <v>1140879058</v>
      </c>
      <c r="F83" s="51" t="s">
        <v>465</v>
      </c>
      <c r="G83" s="10" t="s">
        <v>11</v>
      </c>
      <c r="H83" s="10" t="s">
        <v>1445</v>
      </c>
      <c r="I83" s="13">
        <v>45831</v>
      </c>
      <c r="J83" s="10" t="s">
        <v>113</v>
      </c>
      <c r="K83" s="13">
        <v>34905</v>
      </c>
      <c r="L83" s="10">
        <f t="shared" ca="1" si="1"/>
        <v>31</v>
      </c>
      <c r="M83" s="10" t="s">
        <v>120</v>
      </c>
      <c r="N83" s="10" t="s">
        <v>122</v>
      </c>
      <c r="O83" s="10" t="s">
        <v>142</v>
      </c>
      <c r="P83" s="21" t="s">
        <v>128</v>
      </c>
      <c r="Q83" s="10" t="s">
        <v>133</v>
      </c>
      <c r="R83" s="10" t="s">
        <v>1448</v>
      </c>
      <c r="S83" s="10" t="s">
        <v>136</v>
      </c>
      <c r="T83" s="10"/>
      <c r="U83" s="10">
        <v>3005711130</v>
      </c>
      <c r="V83" s="10" t="s">
        <v>1449</v>
      </c>
      <c r="W83" s="10" t="s">
        <v>206</v>
      </c>
      <c r="X83" s="10" t="s">
        <v>170</v>
      </c>
      <c r="Y83" s="28" t="s">
        <v>1451</v>
      </c>
      <c r="Z83" s="10" t="s">
        <v>159</v>
      </c>
      <c r="AA83" s="10"/>
      <c r="AB83" s="48"/>
    </row>
    <row r="84" spans="1:33" ht="15.75" hidden="1" customHeight="1" x14ac:dyDescent="0.25">
      <c r="A84" s="10" t="s">
        <v>77</v>
      </c>
      <c r="B84" s="10" t="s">
        <v>90</v>
      </c>
      <c r="C84" s="10" t="s">
        <v>175</v>
      </c>
      <c r="D84" s="10" t="s">
        <v>92</v>
      </c>
      <c r="E84" s="10">
        <v>1148434809</v>
      </c>
      <c r="F84" s="51" t="s">
        <v>102</v>
      </c>
      <c r="G84" s="10" t="s">
        <v>11</v>
      </c>
      <c r="H84" s="10" t="s">
        <v>1454</v>
      </c>
      <c r="I84" s="13">
        <v>45831</v>
      </c>
      <c r="J84" s="10" t="s">
        <v>113</v>
      </c>
      <c r="K84" s="13">
        <v>33096</v>
      </c>
      <c r="L84" s="10">
        <f t="shared" ca="1" si="1"/>
        <v>36</v>
      </c>
      <c r="M84" s="10" t="s">
        <v>120</v>
      </c>
      <c r="N84" s="10" t="s">
        <v>122</v>
      </c>
      <c r="O84" s="10" t="s">
        <v>142</v>
      </c>
      <c r="P84" s="21" t="s">
        <v>128</v>
      </c>
      <c r="Q84" s="10" t="s">
        <v>133</v>
      </c>
      <c r="R84" s="10" t="s">
        <v>1457</v>
      </c>
      <c r="S84" s="10" t="s">
        <v>151</v>
      </c>
      <c r="T84" s="10"/>
      <c r="U84" s="10">
        <v>3042010760</v>
      </c>
      <c r="V84" s="10" t="s">
        <v>1459</v>
      </c>
      <c r="W84" s="10" t="s">
        <v>206</v>
      </c>
      <c r="X84" s="10" t="s">
        <v>216</v>
      </c>
      <c r="Y84" s="28" t="s">
        <v>1461</v>
      </c>
      <c r="Z84" s="10" t="s">
        <v>159</v>
      </c>
      <c r="AA84" s="10"/>
      <c r="AB84" s="48"/>
    </row>
    <row r="85" spans="1:33" ht="15.75" hidden="1" customHeight="1" x14ac:dyDescent="0.25">
      <c r="A85" s="10" t="s">
        <v>77</v>
      </c>
      <c r="B85" s="10" t="s">
        <v>90</v>
      </c>
      <c r="C85" s="10" t="s">
        <v>175</v>
      </c>
      <c r="D85" s="10" t="s">
        <v>92</v>
      </c>
      <c r="E85" s="10">
        <v>1041690848</v>
      </c>
      <c r="F85" s="51" t="s">
        <v>1463</v>
      </c>
      <c r="G85" s="10" t="s">
        <v>302</v>
      </c>
      <c r="H85" s="10" t="s">
        <v>1464</v>
      </c>
      <c r="I85" s="13">
        <v>45853</v>
      </c>
      <c r="J85" s="10" t="s">
        <v>113</v>
      </c>
      <c r="K85" s="13">
        <v>38119</v>
      </c>
      <c r="L85" s="10">
        <f t="shared" ca="1" si="1"/>
        <v>22</v>
      </c>
      <c r="M85" s="10" t="s">
        <v>120</v>
      </c>
      <c r="N85" s="10" t="s">
        <v>122</v>
      </c>
      <c r="O85" s="10" t="s">
        <v>210</v>
      </c>
      <c r="P85" s="21" t="s">
        <v>128</v>
      </c>
      <c r="Q85" s="10" t="s">
        <v>133</v>
      </c>
      <c r="R85" s="10" t="s">
        <v>1467</v>
      </c>
      <c r="S85" s="10" t="s">
        <v>136</v>
      </c>
      <c r="T85" s="10"/>
      <c r="U85" s="10">
        <v>3006712510</v>
      </c>
      <c r="V85" s="10" t="s">
        <v>1468</v>
      </c>
      <c r="W85" s="10"/>
      <c r="X85" s="10"/>
      <c r="Y85" s="28" t="s">
        <v>1469</v>
      </c>
      <c r="Z85" s="10" t="s">
        <v>1146</v>
      </c>
      <c r="AA85" s="10"/>
      <c r="AB85" s="10"/>
      <c r="AC85" s="29"/>
      <c r="AD85" s="29"/>
      <c r="AE85" s="29"/>
      <c r="AF85" s="29"/>
      <c r="AG85" s="29"/>
    </row>
    <row r="86" spans="1:33" ht="15.75" hidden="1" customHeight="1" x14ac:dyDescent="0.25">
      <c r="A86" s="10" t="s">
        <v>77</v>
      </c>
      <c r="B86" s="10" t="s">
        <v>90</v>
      </c>
      <c r="C86" s="10" t="s">
        <v>175</v>
      </c>
      <c r="D86" s="10" t="s">
        <v>92</v>
      </c>
      <c r="E86" s="10">
        <v>1041690849</v>
      </c>
      <c r="F86" s="51" t="s">
        <v>1473</v>
      </c>
      <c r="G86" s="10" t="s">
        <v>302</v>
      </c>
      <c r="H86" s="10" t="s">
        <v>1475</v>
      </c>
      <c r="I86" s="13">
        <v>45859</v>
      </c>
      <c r="J86" s="10" t="s">
        <v>113</v>
      </c>
      <c r="K86" s="13">
        <v>38119</v>
      </c>
      <c r="L86" s="10">
        <f t="shared" ca="1" si="1"/>
        <v>22</v>
      </c>
      <c r="M86" s="10" t="s">
        <v>120</v>
      </c>
      <c r="N86" s="10" t="s">
        <v>122</v>
      </c>
      <c r="O86" s="12" t="s">
        <v>142</v>
      </c>
      <c r="P86" s="21" t="s">
        <v>128</v>
      </c>
      <c r="Q86" s="10" t="s">
        <v>133</v>
      </c>
      <c r="R86" s="10" t="s">
        <v>1467</v>
      </c>
      <c r="S86" s="10" t="s">
        <v>151</v>
      </c>
      <c r="T86" s="10"/>
      <c r="U86" s="10">
        <v>3006022341</v>
      </c>
      <c r="V86" s="10" t="s">
        <v>1478</v>
      </c>
      <c r="W86" s="10"/>
      <c r="X86" s="10"/>
      <c r="Y86" s="28" t="s">
        <v>1479</v>
      </c>
      <c r="Z86" s="10" t="s">
        <v>1146</v>
      </c>
      <c r="AA86" s="10"/>
      <c r="AB86" s="10"/>
      <c r="AC86" s="29"/>
      <c r="AD86" s="29"/>
      <c r="AE86" s="29"/>
      <c r="AF86" s="29"/>
      <c r="AG86" s="29"/>
    </row>
    <row r="87" spans="1:33" ht="15.75" customHeight="1" x14ac:dyDescent="0.25">
      <c r="A87" s="10" t="s">
        <v>77</v>
      </c>
      <c r="B87" s="10" t="s">
        <v>90</v>
      </c>
      <c r="C87" s="10" t="s">
        <v>175</v>
      </c>
      <c r="D87" s="10" t="s">
        <v>92</v>
      </c>
      <c r="E87" s="10">
        <v>1104008336</v>
      </c>
      <c r="F87" s="51" t="s">
        <v>304</v>
      </c>
      <c r="G87" s="10" t="s">
        <v>741</v>
      </c>
      <c r="H87" s="10" t="s">
        <v>1480</v>
      </c>
      <c r="I87" s="13">
        <v>45831</v>
      </c>
      <c r="J87" s="10" t="s">
        <v>113</v>
      </c>
      <c r="K87" s="13">
        <v>31304</v>
      </c>
      <c r="L87" s="10">
        <f t="shared" ca="1" si="1"/>
        <v>40</v>
      </c>
      <c r="M87" s="10" t="s">
        <v>120</v>
      </c>
      <c r="N87" s="10" t="s">
        <v>122</v>
      </c>
      <c r="O87" s="10" t="s">
        <v>142</v>
      </c>
      <c r="P87" s="21" t="s">
        <v>128</v>
      </c>
      <c r="Q87" s="10" t="s">
        <v>133</v>
      </c>
      <c r="R87" s="10" t="s">
        <v>1483</v>
      </c>
      <c r="S87" s="10" t="s">
        <v>136</v>
      </c>
      <c r="T87" s="10"/>
      <c r="U87" s="10">
        <v>3207596406</v>
      </c>
      <c r="V87" s="10" t="s">
        <v>1485</v>
      </c>
      <c r="W87" s="10" t="s">
        <v>206</v>
      </c>
      <c r="X87" s="10" t="s">
        <v>216</v>
      </c>
      <c r="Y87" s="28" t="s">
        <v>1486</v>
      </c>
      <c r="Z87" s="10" t="s">
        <v>159</v>
      </c>
      <c r="AA87" s="10"/>
      <c r="AB87" s="10"/>
      <c r="AC87" s="29"/>
      <c r="AD87" s="29"/>
      <c r="AE87" s="29"/>
      <c r="AF87" s="29"/>
      <c r="AG87" s="29"/>
    </row>
    <row r="88" spans="1:33" ht="15.75" hidden="1" customHeight="1" x14ac:dyDescent="0.25">
      <c r="A88" s="96" t="s">
        <v>77</v>
      </c>
      <c r="B88" s="96" t="s">
        <v>90</v>
      </c>
      <c r="C88" s="10" t="s">
        <v>175</v>
      </c>
      <c r="D88" s="96" t="s">
        <v>92</v>
      </c>
      <c r="E88" s="96">
        <v>1005575305</v>
      </c>
      <c r="F88" s="97" t="s">
        <v>1492</v>
      </c>
      <c r="G88" s="10" t="s">
        <v>302</v>
      </c>
      <c r="H88" s="96" t="s">
        <v>1493</v>
      </c>
      <c r="I88" s="99">
        <v>45847</v>
      </c>
      <c r="J88" s="96" t="s">
        <v>113</v>
      </c>
      <c r="K88" s="99">
        <v>33490</v>
      </c>
      <c r="L88" s="96">
        <f t="shared" ca="1" si="1"/>
        <v>34</v>
      </c>
      <c r="M88" s="96" t="s">
        <v>120</v>
      </c>
      <c r="N88" s="96" t="s">
        <v>122</v>
      </c>
      <c r="O88" s="96" t="s">
        <v>142</v>
      </c>
      <c r="P88" s="100" t="s">
        <v>128</v>
      </c>
      <c r="Q88" s="10" t="s">
        <v>133</v>
      </c>
      <c r="R88" s="96"/>
      <c r="S88" s="96" t="s">
        <v>136</v>
      </c>
      <c r="T88" s="10"/>
      <c r="U88" s="10">
        <v>3215627486</v>
      </c>
      <c r="V88" s="10" t="s">
        <v>1500</v>
      </c>
      <c r="W88" s="10"/>
      <c r="X88" s="10"/>
      <c r="Y88" s="28" t="s">
        <v>1501</v>
      </c>
      <c r="Z88" s="10" t="s">
        <v>377</v>
      </c>
      <c r="AA88" s="10"/>
      <c r="AB88" s="10"/>
      <c r="AC88" s="29"/>
      <c r="AD88" s="29"/>
      <c r="AE88" s="29"/>
      <c r="AF88" s="29"/>
      <c r="AG88" s="29"/>
    </row>
    <row r="89" spans="1:33" ht="15.75" customHeight="1" x14ac:dyDescent="0.25">
      <c r="A89" s="10" t="s">
        <v>77</v>
      </c>
      <c r="B89" s="10" t="s">
        <v>90</v>
      </c>
      <c r="C89" s="10" t="s">
        <v>175</v>
      </c>
      <c r="D89" s="10" t="s">
        <v>92</v>
      </c>
      <c r="E89" s="10">
        <v>72043763</v>
      </c>
      <c r="F89" s="51" t="s">
        <v>38</v>
      </c>
      <c r="G89" s="10" t="s">
        <v>741</v>
      </c>
      <c r="H89" s="10" t="s">
        <v>1506</v>
      </c>
      <c r="I89" s="13">
        <v>45841</v>
      </c>
      <c r="J89" s="10" t="s">
        <v>113</v>
      </c>
      <c r="K89" s="13">
        <v>24724</v>
      </c>
      <c r="L89" s="10">
        <f t="shared" ca="1" si="1"/>
        <v>58</v>
      </c>
      <c r="M89" s="10" t="s">
        <v>120</v>
      </c>
      <c r="N89" s="10" t="s">
        <v>122</v>
      </c>
      <c r="O89" s="10" t="s">
        <v>142</v>
      </c>
      <c r="P89" s="21" t="s">
        <v>128</v>
      </c>
      <c r="Q89" s="10" t="s">
        <v>133</v>
      </c>
      <c r="R89" s="10" t="s">
        <v>348</v>
      </c>
      <c r="S89" s="10" t="s">
        <v>136</v>
      </c>
      <c r="T89" s="10"/>
      <c r="U89" s="10">
        <v>3022256443</v>
      </c>
      <c r="V89" s="10" t="s">
        <v>839</v>
      </c>
      <c r="W89" s="10" t="s">
        <v>253</v>
      </c>
      <c r="X89" s="10" t="s">
        <v>373</v>
      </c>
      <c r="Y89" s="28" t="s">
        <v>1510</v>
      </c>
      <c r="Z89" s="10" t="s">
        <v>159</v>
      </c>
      <c r="AA89" s="10"/>
      <c r="AB89" s="10"/>
      <c r="AC89" s="29"/>
      <c r="AD89" s="29"/>
      <c r="AE89" s="29"/>
      <c r="AF89" s="29"/>
      <c r="AG89" s="29"/>
    </row>
    <row r="90" spans="1:33" ht="15.75" hidden="1" customHeight="1" x14ac:dyDescent="0.25">
      <c r="A90" s="10" t="s">
        <v>77</v>
      </c>
      <c r="B90" s="10" t="s">
        <v>90</v>
      </c>
      <c r="C90" s="10" t="s">
        <v>175</v>
      </c>
      <c r="D90" s="10" t="s">
        <v>92</v>
      </c>
      <c r="E90" s="12">
        <v>1042240637</v>
      </c>
      <c r="F90" s="14" t="s">
        <v>1516</v>
      </c>
      <c r="G90" s="10" t="s">
        <v>11</v>
      </c>
      <c r="H90" s="10" t="s">
        <v>1517</v>
      </c>
      <c r="I90" s="16">
        <v>45891</v>
      </c>
      <c r="J90" s="12" t="s">
        <v>113</v>
      </c>
      <c r="K90" s="13">
        <v>35061</v>
      </c>
      <c r="L90" s="10">
        <f t="shared" ca="1" si="1"/>
        <v>30</v>
      </c>
      <c r="M90" s="10" t="s">
        <v>120</v>
      </c>
      <c r="N90" s="10" t="s">
        <v>277</v>
      </c>
      <c r="O90" s="12" t="s">
        <v>142</v>
      </c>
      <c r="P90" s="21" t="s">
        <v>128</v>
      </c>
      <c r="Q90" s="10" t="s">
        <v>133</v>
      </c>
      <c r="R90" s="12" t="s">
        <v>1518</v>
      </c>
      <c r="S90" s="12" t="s">
        <v>136</v>
      </c>
      <c r="T90" s="12" t="s">
        <v>1519</v>
      </c>
      <c r="U90" s="12">
        <v>3242656381</v>
      </c>
      <c r="V90" s="12" t="s">
        <v>1520</v>
      </c>
      <c r="W90" s="10" t="s">
        <v>471</v>
      </c>
      <c r="X90" s="12"/>
      <c r="Y90" s="34" t="s">
        <v>1521</v>
      </c>
      <c r="Z90" s="12" t="s">
        <v>293</v>
      </c>
      <c r="AA90" s="16"/>
      <c r="AB90" s="17"/>
      <c r="AC90" s="39"/>
      <c r="AD90" s="39"/>
      <c r="AE90" s="39"/>
      <c r="AF90" s="39"/>
      <c r="AG90" s="39"/>
    </row>
    <row r="91" spans="1:33" ht="15.75" hidden="1" customHeight="1" x14ac:dyDescent="0.25">
      <c r="A91" s="10" t="s">
        <v>77</v>
      </c>
      <c r="B91" s="10" t="s">
        <v>90</v>
      </c>
      <c r="C91" s="10" t="s">
        <v>175</v>
      </c>
      <c r="D91" s="10" t="s">
        <v>92</v>
      </c>
      <c r="E91" s="12">
        <v>12694972</v>
      </c>
      <c r="F91" s="15" t="s">
        <v>1524</v>
      </c>
      <c r="G91" s="10" t="s">
        <v>11</v>
      </c>
      <c r="H91" s="10" t="s">
        <v>1525</v>
      </c>
      <c r="I91" s="16">
        <v>45898</v>
      </c>
      <c r="J91" s="12" t="s">
        <v>113</v>
      </c>
      <c r="K91" s="13">
        <v>30563</v>
      </c>
      <c r="L91" s="10">
        <f t="shared" ca="1" si="1"/>
        <v>42</v>
      </c>
      <c r="M91" s="10" t="s">
        <v>120</v>
      </c>
      <c r="N91" s="10" t="s">
        <v>277</v>
      </c>
      <c r="O91" s="12" t="s">
        <v>142</v>
      </c>
      <c r="P91" s="21" t="s">
        <v>128</v>
      </c>
      <c r="Q91" s="10" t="s">
        <v>133</v>
      </c>
      <c r="R91" s="12" t="s">
        <v>1527</v>
      </c>
      <c r="S91" s="12" t="s">
        <v>136</v>
      </c>
      <c r="T91" s="12" t="s">
        <v>1528</v>
      </c>
      <c r="U91" s="12">
        <v>3208078789</v>
      </c>
      <c r="V91" s="12" t="s">
        <v>1529</v>
      </c>
      <c r="W91" s="10" t="s">
        <v>169</v>
      </c>
      <c r="X91" s="12"/>
      <c r="Y91" s="60" t="s">
        <v>1530</v>
      </c>
      <c r="Z91" s="12" t="s">
        <v>293</v>
      </c>
      <c r="AA91" s="10">
        <v>3015373438</v>
      </c>
      <c r="AB91" s="10"/>
      <c r="AC91" s="29"/>
      <c r="AD91" s="29"/>
      <c r="AE91" s="29"/>
      <c r="AF91" s="29"/>
      <c r="AG91" s="29"/>
    </row>
    <row r="92" spans="1:33" ht="15.75" hidden="1" customHeight="1" x14ac:dyDescent="0.25">
      <c r="A92" s="10" t="s">
        <v>77</v>
      </c>
      <c r="B92" s="10" t="s">
        <v>90</v>
      </c>
      <c r="C92" s="10" t="s">
        <v>175</v>
      </c>
      <c r="D92" s="10" t="s">
        <v>92</v>
      </c>
      <c r="E92" s="12">
        <v>70754197</v>
      </c>
      <c r="F92" s="15" t="s">
        <v>1533</v>
      </c>
      <c r="G92" s="10" t="s">
        <v>32</v>
      </c>
      <c r="H92" s="10" t="s">
        <v>1534</v>
      </c>
      <c r="I92" s="16">
        <v>45869</v>
      </c>
      <c r="J92" s="12" t="s">
        <v>113</v>
      </c>
      <c r="K92" s="13">
        <v>27089</v>
      </c>
      <c r="L92" s="10">
        <f t="shared" ca="1" si="1"/>
        <v>52</v>
      </c>
      <c r="M92" s="10" t="s">
        <v>120</v>
      </c>
      <c r="N92" s="10" t="s">
        <v>122</v>
      </c>
      <c r="O92" s="12" t="s">
        <v>142</v>
      </c>
      <c r="P92" s="21" t="s">
        <v>128</v>
      </c>
      <c r="Q92" s="10" t="s">
        <v>133</v>
      </c>
      <c r="R92" s="12"/>
      <c r="S92" s="12"/>
      <c r="T92" s="12"/>
      <c r="U92" s="12">
        <v>3015227485</v>
      </c>
      <c r="V92" s="12"/>
      <c r="W92" s="10"/>
      <c r="X92" s="12"/>
      <c r="Y92" s="60" t="s">
        <v>1112</v>
      </c>
      <c r="Z92" s="12" t="s">
        <v>293</v>
      </c>
      <c r="AA92" s="10"/>
      <c r="AB92" s="10"/>
      <c r="AC92" s="29"/>
      <c r="AD92" s="29"/>
      <c r="AE92" s="29"/>
      <c r="AF92" s="29"/>
      <c r="AG92" s="29"/>
    </row>
    <row r="93" spans="1:33" ht="15.75" customHeight="1" x14ac:dyDescent="0.25">
      <c r="A93" s="42" t="s">
        <v>77</v>
      </c>
      <c r="B93" s="42" t="s">
        <v>90</v>
      </c>
      <c r="C93" s="10" t="s">
        <v>175</v>
      </c>
      <c r="D93" s="42" t="s">
        <v>92</v>
      </c>
      <c r="E93" s="10">
        <v>72071711</v>
      </c>
      <c r="F93" s="51" t="s">
        <v>1535</v>
      </c>
      <c r="G93" s="10" t="s">
        <v>26</v>
      </c>
      <c r="H93" s="10"/>
      <c r="I93" s="13">
        <v>46001</v>
      </c>
      <c r="J93" s="42" t="s">
        <v>113</v>
      </c>
      <c r="K93" s="13">
        <v>24447</v>
      </c>
      <c r="L93" s="42">
        <f t="shared" ca="1" si="1"/>
        <v>59</v>
      </c>
      <c r="M93" s="10" t="s">
        <v>120</v>
      </c>
      <c r="N93" s="10" t="s">
        <v>277</v>
      </c>
      <c r="O93" s="10" t="s">
        <v>1456</v>
      </c>
      <c r="P93" s="21" t="s">
        <v>128</v>
      </c>
      <c r="Q93" s="10" t="s">
        <v>133</v>
      </c>
      <c r="R93" s="10" t="s">
        <v>1536</v>
      </c>
      <c r="S93" s="10" t="s">
        <v>136</v>
      </c>
      <c r="T93" s="10" t="s">
        <v>1537</v>
      </c>
      <c r="U93" s="10">
        <v>3012017784</v>
      </c>
      <c r="V93" s="10" t="s">
        <v>1538</v>
      </c>
      <c r="W93" s="10" t="s">
        <v>673</v>
      </c>
      <c r="X93" s="10" t="s">
        <v>1266</v>
      </c>
      <c r="Y93" s="10">
        <v>3012017784</v>
      </c>
      <c r="Z93" s="10" t="s">
        <v>377</v>
      </c>
      <c r="AA93" s="10">
        <v>3178553448</v>
      </c>
      <c r="AB93" s="10"/>
      <c r="AC93" s="29"/>
      <c r="AD93" s="29"/>
      <c r="AE93" s="29"/>
      <c r="AF93" s="29"/>
      <c r="AG93" s="29"/>
    </row>
    <row r="94" spans="1:33" ht="15.75" customHeight="1" x14ac:dyDescent="0.25">
      <c r="A94" s="42" t="s">
        <v>77</v>
      </c>
      <c r="B94" s="42" t="s">
        <v>90</v>
      </c>
      <c r="C94" s="10" t="s">
        <v>175</v>
      </c>
      <c r="D94" s="42" t="s">
        <v>92</v>
      </c>
      <c r="E94" s="42">
        <v>15682605</v>
      </c>
      <c r="F94" s="25" t="s">
        <v>1539</v>
      </c>
      <c r="G94" s="10" t="s">
        <v>26</v>
      </c>
      <c r="H94" s="42"/>
      <c r="I94" s="90">
        <v>45979</v>
      </c>
      <c r="J94" s="42" t="s">
        <v>113</v>
      </c>
      <c r="K94" s="89">
        <v>27143</v>
      </c>
      <c r="L94" s="42">
        <f t="shared" ca="1" si="1"/>
        <v>52</v>
      </c>
      <c r="M94" s="42" t="s">
        <v>120</v>
      </c>
      <c r="N94" s="42" t="s">
        <v>122</v>
      </c>
      <c r="O94" s="42" t="s">
        <v>1456</v>
      </c>
      <c r="P94" s="21" t="s">
        <v>128</v>
      </c>
      <c r="Q94" s="10" t="s">
        <v>133</v>
      </c>
      <c r="R94" s="42" t="s">
        <v>1540</v>
      </c>
      <c r="S94" s="42" t="s">
        <v>136</v>
      </c>
      <c r="T94" s="42" t="s">
        <v>1541</v>
      </c>
      <c r="U94" s="42">
        <v>3008219497</v>
      </c>
      <c r="V94" s="42" t="s">
        <v>1542</v>
      </c>
      <c r="W94" s="42" t="s">
        <v>1543</v>
      </c>
      <c r="X94" s="42" t="s">
        <v>1544</v>
      </c>
      <c r="Y94" s="60" t="s">
        <v>1545</v>
      </c>
      <c r="Z94" s="42" t="s">
        <v>293</v>
      </c>
      <c r="AA94" s="42">
        <v>3022999373</v>
      </c>
      <c r="AB94" s="42"/>
      <c r="AC94" s="80"/>
      <c r="AD94" s="80"/>
      <c r="AE94" s="80"/>
      <c r="AF94" s="80"/>
      <c r="AG94" s="80"/>
    </row>
    <row r="95" spans="1:33" ht="15.75" hidden="1" customHeight="1" x14ac:dyDescent="0.25">
      <c r="A95" s="42" t="s">
        <v>77</v>
      </c>
      <c r="B95" s="42" t="s">
        <v>90</v>
      </c>
      <c r="C95" s="10" t="s">
        <v>175</v>
      </c>
      <c r="D95" s="42" t="s">
        <v>92</v>
      </c>
      <c r="E95" s="42">
        <v>1042449029</v>
      </c>
      <c r="F95" s="25" t="s">
        <v>1546</v>
      </c>
      <c r="G95" s="10" t="s">
        <v>32</v>
      </c>
      <c r="H95" s="42" t="s">
        <v>1547</v>
      </c>
      <c r="I95" s="89">
        <v>45980</v>
      </c>
      <c r="J95" s="42" t="s">
        <v>1136</v>
      </c>
      <c r="K95" s="89">
        <v>34586</v>
      </c>
      <c r="L95" s="42">
        <f t="shared" ca="1" si="1"/>
        <v>31</v>
      </c>
      <c r="M95" s="42" t="s">
        <v>120</v>
      </c>
      <c r="N95" s="42" t="s">
        <v>122</v>
      </c>
      <c r="O95" s="42" t="s">
        <v>210</v>
      </c>
      <c r="P95" s="21" t="s">
        <v>128</v>
      </c>
      <c r="Q95" s="10" t="s">
        <v>133</v>
      </c>
      <c r="R95" s="42" t="s">
        <v>1549</v>
      </c>
      <c r="S95" s="42" t="s">
        <v>136</v>
      </c>
      <c r="T95" s="42" t="s">
        <v>151</v>
      </c>
      <c r="U95" s="42">
        <v>3207789192</v>
      </c>
      <c r="V95" s="42" t="s">
        <v>1550</v>
      </c>
      <c r="W95" s="42" t="s">
        <v>471</v>
      </c>
      <c r="X95" s="42" t="s">
        <v>1006</v>
      </c>
      <c r="Y95" s="42">
        <v>47700011162</v>
      </c>
      <c r="Z95" s="42" t="s">
        <v>159</v>
      </c>
      <c r="AA95" s="42">
        <v>3125325586</v>
      </c>
      <c r="AB95" s="42"/>
      <c r="AC95" s="80"/>
      <c r="AD95" s="80"/>
      <c r="AE95" s="80"/>
      <c r="AF95" s="80"/>
      <c r="AG95" s="80"/>
    </row>
    <row r="96" spans="1:33" ht="15.75" customHeight="1" x14ac:dyDescent="0.25">
      <c r="A96" s="10" t="s">
        <v>77</v>
      </c>
      <c r="B96" s="10" t="s">
        <v>90</v>
      </c>
      <c r="C96" s="10" t="s">
        <v>175</v>
      </c>
      <c r="D96" s="10" t="s">
        <v>92</v>
      </c>
      <c r="E96" s="10">
        <v>72139943</v>
      </c>
      <c r="F96" s="51" t="s">
        <v>1552</v>
      </c>
      <c r="G96" s="10" t="s">
        <v>26</v>
      </c>
      <c r="H96" s="10" t="s">
        <v>1553</v>
      </c>
      <c r="I96" s="16">
        <v>45966</v>
      </c>
      <c r="J96" s="10" t="s">
        <v>113</v>
      </c>
      <c r="K96" s="13">
        <v>24219</v>
      </c>
      <c r="L96" s="10">
        <f t="shared" ca="1" si="1"/>
        <v>60</v>
      </c>
      <c r="M96" s="10" t="s">
        <v>120</v>
      </c>
      <c r="N96" s="10" t="s">
        <v>277</v>
      </c>
      <c r="O96" s="10" t="s">
        <v>124</v>
      </c>
      <c r="P96" s="21" t="s">
        <v>128</v>
      </c>
      <c r="Q96" s="10" t="s">
        <v>133</v>
      </c>
      <c r="R96" s="10" t="s">
        <v>1554</v>
      </c>
      <c r="S96" s="10" t="s">
        <v>136</v>
      </c>
      <c r="T96" s="10" t="s">
        <v>1555</v>
      </c>
      <c r="U96" s="10">
        <v>3027260427</v>
      </c>
      <c r="V96" s="10" t="s">
        <v>1556</v>
      </c>
      <c r="W96" s="10" t="s">
        <v>169</v>
      </c>
      <c r="X96" s="10" t="s">
        <v>1266</v>
      </c>
      <c r="Y96" s="65" t="s">
        <v>1557</v>
      </c>
      <c r="Z96" s="10" t="s">
        <v>377</v>
      </c>
      <c r="AA96" s="10">
        <v>3171096911</v>
      </c>
      <c r="AB96" s="10"/>
      <c r="AC96" s="80"/>
      <c r="AD96" s="80"/>
      <c r="AE96" s="80"/>
      <c r="AF96" s="80"/>
      <c r="AG96" s="80"/>
    </row>
    <row r="97" spans="1:33" ht="15.75" customHeight="1" x14ac:dyDescent="0.25">
      <c r="A97" s="10" t="s">
        <v>77</v>
      </c>
      <c r="B97" s="10" t="s">
        <v>90</v>
      </c>
      <c r="C97" s="10" t="s">
        <v>175</v>
      </c>
      <c r="D97" s="10" t="s">
        <v>92</v>
      </c>
      <c r="E97" s="10">
        <v>8794703</v>
      </c>
      <c r="F97" s="25" t="s">
        <v>290</v>
      </c>
      <c r="G97" s="10" t="s">
        <v>26</v>
      </c>
      <c r="H97" s="10" t="s">
        <v>1560</v>
      </c>
      <c r="I97" s="13">
        <v>45831</v>
      </c>
      <c r="J97" s="10" t="s">
        <v>113</v>
      </c>
      <c r="K97" s="13">
        <v>26306</v>
      </c>
      <c r="L97" s="10">
        <f t="shared" ca="1" si="1"/>
        <v>54</v>
      </c>
      <c r="M97" s="10" t="s">
        <v>120</v>
      </c>
      <c r="N97" s="10" t="s">
        <v>122</v>
      </c>
      <c r="O97" s="42" t="s">
        <v>142</v>
      </c>
      <c r="P97" s="21" t="s">
        <v>128</v>
      </c>
      <c r="Q97" s="10" t="s">
        <v>133</v>
      </c>
      <c r="R97" s="10" t="s">
        <v>1564</v>
      </c>
      <c r="S97" s="10" t="s">
        <v>801</v>
      </c>
      <c r="T97" s="10"/>
      <c r="U97" s="10">
        <v>3002482666</v>
      </c>
      <c r="V97" s="10" t="s">
        <v>1565</v>
      </c>
      <c r="W97" s="10" t="s">
        <v>206</v>
      </c>
      <c r="X97" s="10" t="s">
        <v>170</v>
      </c>
      <c r="Y97" s="28" t="s">
        <v>1568</v>
      </c>
      <c r="Z97" s="10" t="s">
        <v>159</v>
      </c>
      <c r="AA97" s="10"/>
      <c r="AB97" s="10"/>
      <c r="AC97" s="80"/>
      <c r="AD97" s="80"/>
      <c r="AE97" s="80"/>
      <c r="AF97" s="80"/>
      <c r="AG97" s="80"/>
    </row>
    <row r="98" spans="1:33" ht="15.75" hidden="1" customHeight="1" x14ac:dyDescent="0.25">
      <c r="A98" s="42" t="s">
        <v>160</v>
      </c>
      <c r="B98" s="42" t="s">
        <v>90</v>
      </c>
      <c r="C98" s="10" t="s">
        <v>91</v>
      </c>
      <c r="D98" s="42" t="s">
        <v>92</v>
      </c>
      <c r="E98" s="42">
        <v>1143165213</v>
      </c>
      <c r="F98" s="25" t="s">
        <v>1571</v>
      </c>
      <c r="G98" s="42" t="s">
        <v>1572</v>
      </c>
      <c r="H98" s="42"/>
      <c r="I98" s="89">
        <v>45989</v>
      </c>
      <c r="J98" s="42" t="s">
        <v>113</v>
      </c>
      <c r="K98" s="89">
        <v>35884</v>
      </c>
      <c r="L98" s="42">
        <f t="shared" ca="1" si="1"/>
        <v>28</v>
      </c>
      <c r="M98" s="42" t="s">
        <v>120</v>
      </c>
      <c r="N98" s="42" t="s">
        <v>122</v>
      </c>
      <c r="O98" s="42" t="s">
        <v>124</v>
      </c>
      <c r="P98" s="21" t="s">
        <v>128</v>
      </c>
      <c r="Q98" s="10" t="s">
        <v>133</v>
      </c>
      <c r="R98" s="42" t="s">
        <v>1578</v>
      </c>
      <c r="S98" s="42" t="s">
        <v>136</v>
      </c>
      <c r="T98" s="42"/>
      <c r="U98" s="42">
        <v>3025529426</v>
      </c>
      <c r="V98" s="42" t="s">
        <v>1580</v>
      </c>
      <c r="W98" s="42" t="s">
        <v>539</v>
      </c>
      <c r="X98" s="42" t="s">
        <v>966</v>
      </c>
      <c r="Y98" s="60" t="s">
        <v>1581</v>
      </c>
      <c r="Z98" s="42" t="s">
        <v>377</v>
      </c>
      <c r="AA98" s="42">
        <v>3023014918</v>
      </c>
      <c r="AB98" s="42"/>
      <c r="AC98" s="80"/>
      <c r="AD98" s="80"/>
      <c r="AE98" s="80"/>
      <c r="AF98" s="80"/>
      <c r="AG98" s="80"/>
    </row>
    <row r="99" spans="1:33" ht="15.75" customHeight="1" x14ac:dyDescent="0.25">
      <c r="A99" s="10" t="s">
        <v>77</v>
      </c>
      <c r="B99" s="10" t="s">
        <v>90</v>
      </c>
      <c r="C99" s="10" t="s">
        <v>175</v>
      </c>
      <c r="D99" s="10" t="s">
        <v>92</v>
      </c>
      <c r="E99" s="10">
        <v>72241146</v>
      </c>
      <c r="F99" s="25" t="s">
        <v>247</v>
      </c>
      <c r="G99" s="10" t="s">
        <v>26</v>
      </c>
      <c r="H99" s="10" t="s">
        <v>1585</v>
      </c>
      <c r="I99" s="13">
        <v>45870</v>
      </c>
      <c r="J99" s="10" t="s">
        <v>113</v>
      </c>
      <c r="K99" s="30">
        <v>28806</v>
      </c>
      <c r="L99" s="10">
        <f t="shared" ca="1" si="1"/>
        <v>47</v>
      </c>
      <c r="M99" s="10" t="s">
        <v>120</v>
      </c>
      <c r="N99" s="10" t="s">
        <v>122</v>
      </c>
      <c r="O99" s="10" t="s">
        <v>142</v>
      </c>
      <c r="P99" s="21" t="s">
        <v>128</v>
      </c>
      <c r="Q99" s="10" t="s">
        <v>133</v>
      </c>
      <c r="R99" s="10" t="s">
        <v>1590</v>
      </c>
      <c r="S99" s="10" t="s">
        <v>151</v>
      </c>
      <c r="T99" s="10"/>
      <c r="U99" s="10">
        <v>3013656552</v>
      </c>
      <c r="V99" s="29" t="s">
        <v>1593</v>
      </c>
      <c r="W99" s="10" t="s">
        <v>791</v>
      </c>
      <c r="X99" s="10" t="s">
        <v>216</v>
      </c>
      <c r="Y99" s="28" t="s">
        <v>1596</v>
      </c>
      <c r="Z99" s="10" t="s">
        <v>159</v>
      </c>
      <c r="AA99" s="13"/>
      <c r="AB99" s="13"/>
      <c r="AC99" s="29"/>
      <c r="AD99" s="29"/>
      <c r="AE99" s="29"/>
      <c r="AF99" s="29"/>
      <c r="AG99" s="29"/>
    </row>
    <row r="100" spans="1:33" ht="15.75" hidden="1" customHeight="1" x14ac:dyDescent="0.25">
      <c r="A100" s="42" t="s">
        <v>77</v>
      </c>
      <c r="B100" s="42" t="s">
        <v>90</v>
      </c>
      <c r="C100" s="10" t="s">
        <v>175</v>
      </c>
      <c r="D100" s="42" t="s">
        <v>92</v>
      </c>
      <c r="E100" s="42">
        <v>73238625</v>
      </c>
      <c r="F100" s="51" t="s">
        <v>1599</v>
      </c>
      <c r="G100" s="10" t="s">
        <v>11</v>
      </c>
      <c r="H100" s="42"/>
      <c r="I100" s="89">
        <v>45995</v>
      </c>
      <c r="J100" s="42" t="s">
        <v>113</v>
      </c>
      <c r="K100" s="89">
        <v>27458</v>
      </c>
      <c r="L100" s="42">
        <f t="shared" ca="1" si="1"/>
        <v>51</v>
      </c>
      <c r="M100" s="42" t="s">
        <v>120</v>
      </c>
      <c r="N100" s="42" t="s">
        <v>122</v>
      </c>
      <c r="O100" s="42" t="s">
        <v>142</v>
      </c>
      <c r="P100" s="21" t="s">
        <v>128</v>
      </c>
      <c r="Q100" s="10" t="s">
        <v>133</v>
      </c>
      <c r="R100" s="42" t="s">
        <v>1602</v>
      </c>
      <c r="S100" s="42" t="s">
        <v>136</v>
      </c>
      <c r="T100" s="42" t="s">
        <v>1603</v>
      </c>
      <c r="U100" s="42">
        <v>3004187169</v>
      </c>
      <c r="V100" s="42" t="s">
        <v>1604</v>
      </c>
      <c r="W100" s="42" t="s">
        <v>155</v>
      </c>
      <c r="X100" s="42" t="s">
        <v>1605</v>
      </c>
      <c r="Y100" s="42">
        <v>8600003714</v>
      </c>
      <c r="Z100" s="42" t="s">
        <v>159</v>
      </c>
      <c r="AA100" s="42">
        <v>3045262793</v>
      </c>
      <c r="AB100" s="42"/>
      <c r="AC100" s="80"/>
      <c r="AD100" s="80"/>
      <c r="AE100" s="80"/>
      <c r="AF100" s="80"/>
      <c r="AG100" s="80"/>
    </row>
    <row r="101" spans="1:33" ht="15.75" hidden="1" customHeight="1" x14ac:dyDescent="0.25">
      <c r="A101" s="42" t="s">
        <v>160</v>
      </c>
      <c r="B101" s="42" t="s">
        <v>90</v>
      </c>
      <c r="C101" s="10" t="s">
        <v>91</v>
      </c>
      <c r="D101" s="42" t="s">
        <v>92</v>
      </c>
      <c r="E101" s="42">
        <v>1143169979</v>
      </c>
      <c r="F101" s="51" t="s">
        <v>1606</v>
      </c>
      <c r="G101" s="42" t="s">
        <v>1607</v>
      </c>
      <c r="H101" s="42"/>
      <c r="I101" s="89">
        <v>45996</v>
      </c>
      <c r="J101" s="42" t="s">
        <v>113</v>
      </c>
      <c r="K101" s="89">
        <v>36401</v>
      </c>
      <c r="L101" s="42">
        <f t="shared" ca="1" si="1"/>
        <v>26</v>
      </c>
      <c r="M101" s="42" t="s">
        <v>120</v>
      </c>
      <c r="N101" s="42" t="s">
        <v>122</v>
      </c>
      <c r="O101" s="42" t="s">
        <v>124</v>
      </c>
      <c r="P101" s="21" t="s">
        <v>128</v>
      </c>
      <c r="Q101" s="10" t="s">
        <v>133</v>
      </c>
      <c r="R101" s="42" t="s">
        <v>1608</v>
      </c>
      <c r="S101" s="42" t="s">
        <v>414</v>
      </c>
      <c r="T101" s="42" t="s">
        <v>1609</v>
      </c>
      <c r="U101" s="42">
        <v>3142025129</v>
      </c>
      <c r="V101" s="42" t="s">
        <v>1610</v>
      </c>
      <c r="W101" s="42" t="s">
        <v>155</v>
      </c>
      <c r="X101" s="42" t="s">
        <v>170</v>
      </c>
      <c r="Y101" s="42">
        <v>3142025129</v>
      </c>
      <c r="Z101" s="42" t="s">
        <v>377</v>
      </c>
      <c r="AA101" s="42" t="s">
        <v>1611</v>
      </c>
      <c r="AB101" s="42"/>
      <c r="AC101" s="80"/>
      <c r="AD101" s="80"/>
      <c r="AE101" s="80"/>
      <c r="AF101" s="80"/>
      <c r="AG101" s="80"/>
    </row>
    <row r="102" spans="1:33" ht="15.75" hidden="1" customHeight="1" x14ac:dyDescent="0.25">
      <c r="A102" s="42" t="s">
        <v>160</v>
      </c>
      <c r="B102" s="42" t="s">
        <v>90</v>
      </c>
      <c r="C102" s="10" t="s">
        <v>175</v>
      </c>
      <c r="D102" s="42" t="s">
        <v>92</v>
      </c>
      <c r="E102" s="10">
        <v>8683046</v>
      </c>
      <c r="F102" s="51" t="s">
        <v>1613</v>
      </c>
      <c r="G102" s="10" t="s">
        <v>1614</v>
      </c>
      <c r="H102" s="10"/>
      <c r="I102" s="13">
        <v>46000</v>
      </c>
      <c r="J102" s="42" t="s">
        <v>113</v>
      </c>
      <c r="K102" s="13">
        <v>20222</v>
      </c>
      <c r="L102" s="42">
        <f t="shared" ca="1" si="1"/>
        <v>71</v>
      </c>
      <c r="M102" s="10" t="s">
        <v>120</v>
      </c>
      <c r="N102" s="10" t="s">
        <v>277</v>
      </c>
      <c r="O102" s="42" t="s">
        <v>124</v>
      </c>
      <c r="P102" s="21" t="s">
        <v>128</v>
      </c>
      <c r="Q102" s="10" t="s">
        <v>133</v>
      </c>
      <c r="R102" s="10" t="s">
        <v>1617</v>
      </c>
      <c r="S102" s="10" t="s">
        <v>151</v>
      </c>
      <c r="T102" s="10" t="s">
        <v>1618</v>
      </c>
      <c r="U102" s="10">
        <v>3126380927</v>
      </c>
      <c r="V102" s="10" t="s">
        <v>1619</v>
      </c>
      <c r="W102" s="10" t="s">
        <v>203</v>
      </c>
      <c r="X102" s="10" t="s">
        <v>1266</v>
      </c>
      <c r="Y102" s="10">
        <v>40437615691</v>
      </c>
      <c r="Z102" s="10" t="s">
        <v>159</v>
      </c>
      <c r="AA102" s="10">
        <v>3215310814</v>
      </c>
      <c r="AB102" s="10"/>
      <c r="AC102" s="29"/>
      <c r="AD102" s="29"/>
      <c r="AE102" s="29"/>
      <c r="AF102" s="29"/>
      <c r="AG102" s="29"/>
    </row>
    <row r="103" spans="1:33" ht="15.75" customHeight="1" x14ac:dyDescent="0.25">
      <c r="A103" s="10" t="s">
        <v>77</v>
      </c>
      <c r="B103" s="10" t="s">
        <v>90</v>
      </c>
      <c r="C103" s="10" t="s">
        <v>175</v>
      </c>
      <c r="D103" s="10" t="s">
        <v>92</v>
      </c>
      <c r="E103" s="10">
        <v>1001855031</v>
      </c>
      <c r="F103" s="25" t="s">
        <v>234</v>
      </c>
      <c r="G103" s="10" t="s">
        <v>26</v>
      </c>
      <c r="H103" s="10" t="s">
        <v>1626</v>
      </c>
      <c r="I103" s="13">
        <v>45831</v>
      </c>
      <c r="J103" s="10" t="s">
        <v>113</v>
      </c>
      <c r="K103" s="30">
        <v>35712</v>
      </c>
      <c r="L103" s="10">
        <f t="shared" ca="1" si="1"/>
        <v>28</v>
      </c>
      <c r="M103" s="10" t="s">
        <v>120</v>
      </c>
      <c r="N103" s="10" t="s">
        <v>122</v>
      </c>
      <c r="O103" s="10" t="s">
        <v>142</v>
      </c>
      <c r="P103" s="21" t="s">
        <v>128</v>
      </c>
      <c r="Q103" s="10" t="s">
        <v>133</v>
      </c>
      <c r="R103" s="10" t="s">
        <v>1630</v>
      </c>
      <c r="S103" s="10" t="s">
        <v>136</v>
      </c>
      <c r="T103" s="10"/>
      <c r="U103" s="10">
        <v>3012896096</v>
      </c>
      <c r="V103" s="10" t="s">
        <v>1632</v>
      </c>
      <c r="W103" s="10" t="s">
        <v>253</v>
      </c>
      <c r="X103" s="10" t="s">
        <v>170</v>
      </c>
      <c r="Y103" s="28" t="s">
        <v>1634</v>
      </c>
      <c r="Z103" s="10" t="s">
        <v>159</v>
      </c>
      <c r="AA103" s="16"/>
      <c r="AB103" s="16"/>
      <c r="AC103" s="29"/>
      <c r="AD103" s="29"/>
      <c r="AE103" s="29"/>
      <c r="AF103" s="29"/>
      <c r="AG103" s="29"/>
    </row>
    <row r="104" spans="1:33" ht="15.75" hidden="1" customHeight="1" x14ac:dyDescent="0.25">
      <c r="A104" s="10" t="s">
        <v>160</v>
      </c>
      <c r="B104" s="42" t="s">
        <v>90</v>
      </c>
      <c r="C104" s="10" t="s">
        <v>91</v>
      </c>
      <c r="D104" s="42" t="s">
        <v>92</v>
      </c>
      <c r="E104" s="10">
        <v>1007874366</v>
      </c>
      <c r="F104" s="51" t="s">
        <v>1638</v>
      </c>
      <c r="G104" s="10" t="s">
        <v>1359</v>
      </c>
      <c r="H104" s="10"/>
      <c r="I104" s="13">
        <v>46013</v>
      </c>
      <c r="J104" s="42" t="s">
        <v>113</v>
      </c>
      <c r="K104" s="13">
        <v>37557</v>
      </c>
      <c r="L104" s="42">
        <f t="shared" ca="1" si="1"/>
        <v>23</v>
      </c>
      <c r="M104" s="10" t="s">
        <v>320</v>
      </c>
      <c r="N104" s="10" t="s">
        <v>236</v>
      </c>
      <c r="O104" s="10" t="s">
        <v>142</v>
      </c>
      <c r="P104" s="21" t="s">
        <v>128</v>
      </c>
      <c r="Q104" s="10" t="s">
        <v>133</v>
      </c>
      <c r="R104" s="10" t="s">
        <v>1641</v>
      </c>
      <c r="S104" s="10" t="s">
        <v>136</v>
      </c>
      <c r="T104" s="10" t="s">
        <v>1642</v>
      </c>
      <c r="U104" s="10">
        <v>3113263020</v>
      </c>
      <c r="V104" s="10" t="s">
        <v>1643</v>
      </c>
      <c r="W104" s="10" t="s">
        <v>215</v>
      </c>
      <c r="X104" s="10" t="s">
        <v>170</v>
      </c>
      <c r="Y104" s="28" t="s">
        <v>1644</v>
      </c>
      <c r="Z104" s="10" t="s">
        <v>159</v>
      </c>
      <c r="AA104" s="10">
        <v>3239278206</v>
      </c>
      <c r="AB104" s="10"/>
      <c r="AC104" s="29"/>
      <c r="AD104" s="29"/>
      <c r="AE104" s="29"/>
      <c r="AF104" s="29"/>
      <c r="AG104" s="29"/>
    </row>
    <row r="105" spans="1:33" ht="15.75" hidden="1" customHeight="1" x14ac:dyDescent="0.25">
      <c r="A105" s="42" t="s">
        <v>77</v>
      </c>
      <c r="B105" s="42" t="s">
        <v>90</v>
      </c>
      <c r="C105" s="10" t="s">
        <v>175</v>
      </c>
      <c r="D105" s="42" t="s">
        <v>92</v>
      </c>
      <c r="E105" s="10">
        <v>19563134</v>
      </c>
      <c r="F105" s="51" t="s">
        <v>1649</v>
      </c>
      <c r="G105" s="10" t="s">
        <v>302</v>
      </c>
      <c r="H105" s="10"/>
      <c r="I105" s="13">
        <v>46002</v>
      </c>
      <c r="J105" s="42" t="s">
        <v>113</v>
      </c>
      <c r="K105" s="13">
        <v>30606</v>
      </c>
      <c r="L105" s="42">
        <f t="shared" ca="1" si="1"/>
        <v>42</v>
      </c>
      <c r="M105" s="10" t="s">
        <v>120</v>
      </c>
      <c r="N105" s="10" t="s">
        <v>122</v>
      </c>
      <c r="O105" s="10" t="s">
        <v>210</v>
      </c>
      <c r="P105" s="21" t="s">
        <v>128</v>
      </c>
      <c r="Q105" s="10" t="s">
        <v>133</v>
      </c>
      <c r="R105" s="10" t="s">
        <v>1653</v>
      </c>
      <c r="S105" s="10" t="s">
        <v>151</v>
      </c>
      <c r="T105" s="10" t="s">
        <v>1654</v>
      </c>
      <c r="U105" s="10">
        <v>3106698106</v>
      </c>
      <c r="V105" s="10" t="s">
        <v>1655</v>
      </c>
      <c r="W105" s="10" t="s">
        <v>155</v>
      </c>
      <c r="X105" s="10" t="s">
        <v>966</v>
      </c>
      <c r="Y105" s="28" t="s">
        <v>1656</v>
      </c>
      <c r="Z105" s="10" t="s">
        <v>159</v>
      </c>
      <c r="AA105" s="10">
        <v>3014903346</v>
      </c>
      <c r="AB105" s="10"/>
      <c r="AC105" s="29"/>
      <c r="AD105" s="29"/>
      <c r="AE105" s="29"/>
      <c r="AF105" s="29"/>
      <c r="AG105" s="29"/>
    </row>
    <row r="106" spans="1:33" ht="15.75" customHeight="1" x14ac:dyDescent="0.25">
      <c r="A106" s="10" t="s">
        <v>77</v>
      </c>
      <c r="B106" s="10" t="s">
        <v>90</v>
      </c>
      <c r="C106" s="10" t="s">
        <v>175</v>
      </c>
      <c r="D106" s="10" t="s">
        <v>92</v>
      </c>
      <c r="E106" s="10">
        <v>84083891</v>
      </c>
      <c r="F106" s="25" t="s">
        <v>1660</v>
      </c>
      <c r="G106" s="10" t="s">
        <v>26</v>
      </c>
      <c r="H106" s="10" t="s">
        <v>1661</v>
      </c>
      <c r="I106" s="13">
        <v>45870</v>
      </c>
      <c r="J106" s="10" t="s">
        <v>113</v>
      </c>
      <c r="K106" s="13">
        <v>28350</v>
      </c>
      <c r="L106" s="10">
        <f t="shared" ca="1" si="1"/>
        <v>49</v>
      </c>
      <c r="M106" s="10" t="s">
        <v>120</v>
      </c>
      <c r="N106" s="10" t="s">
        <v>122</v>
      </c>
      <c r="O106" s="10" t="s">
        <v>124</v>
      </c>
      <c r="P106" s="21" t="s">
        <v>128</v>
      </c>
      <c r="Q106" s="10" t="s">
        <v>133</v>
      </c>
      <c r="R106" s="10" t="s">
        <v>1664</v>
      </c>
      <c r="S106" s="10" t="s">
        <v>151</v>
      </c>
      <c r="T106" s="10"/>
      <c r="U106" s="10">
        <v>3125745762</v>
      </c>
      <c r="V106" s="40" t="s">
        <v>1665</v>
      </c>
      <c r="W106" s="10" t="s">
        <v>155</v>
      </c>
      <c r="X106" s="10" t="s">
        <v>288</v>
      </c>
      <c r="Y106" s="28" t="s">
        <v>1666</v>
      </c>
      <c r="Z106" s="10" t="s">
        <v>159</v>
      </c>
      <c r="AA106" s="13"/>
      <c r="AB106" s="13"/>
    </row>
    <row r="107" spans="1:33" ht="15.75" hidden="1" customHeight="1" x14ac:dyDescent="0.25">
      <c r="A107" s="10" t="s">
        <v>77</v>
      </c>
      <c r="B107" s="10" t="s">
        <v>90</v>
      </c>
      <c r="C107" s="10" t="s">
        <v>175</v>
      </c>
      <c r="D107" s="10" t="s">
        <v>92</v>
      </c>
      <c r="E107" s="10">
        <v>1002234903</v>
      </c>
      <c r="F107" s="51" t="s">
        <v>1668</v>
      </c>
      <c r="G107" s="10" t="s">
        <v>11</v>
      </c>
      <c r="H107" s="10" t="s">
        <v>836</v>
      </c>
      <c r="I107" s="13">
        <v>46020</v>
      </c>
      <c r="J107" s="10" t="s">
        <v>113</v>
      </c>
      <c r="K107" s="13">
        <v>32536</v>
      </c>
      <c r="L107" s="10">
        <f t="shared" ca="1" si="1"/>
        <v>37</v>
      </c>
      <c r="M107" s="10" t="s">
        <v>120</v>
      </c>
      <c r="N107" s="10" t="s">
        <v>122</v>
      </c>
      <c r="O107" s="10" t="s">
        <v>124</v>
      </c>
      <c r="P107" s="42" t="s">
        <v>128</v>
      </c>
      <c r="Q107" s="10" t="s">
        <v>133</v>
      </c>
      <c r="R107" s="10" t="s">
        <v>1671</v>
      </c>
      <c r="S107" s="10" t="s">
        <v>136</v>
      </c>
      <c r="T107" s="10" t="s">
        <v>1672</v>
      </c>
      <c r="U107" s="10">
        <v>3234383026</v>
      </c>
      <c r="V107" s="10" t="s">
        <v>1673</v>
      </c>
      <c r="W107" s="10" t="s">
        <v>1312</v>
      </c>
      <c r="X107" s="10" t="s">
        <v>966</v>
      </c>
      <c r="Y107" s="10">
        <v>95700006572</v>
      </c>
      <c r="Z107" s="10" t="s">
        <v>159</v>
      </c>
      <c r="AA107" s="12">
        <v>3013912571</v>
      </c>
      <c r="AB107" s="10"/>
      <c r="AC107" s="29"/>
      <c r="AD107" s="29"/>
      <c r="AE107" s="29"/>
      <c r="AF107" s="29"/>
      <c r="AG107" s="29"/>
    </row>
    <row r="108" spans="1:33" ht="15.75" hidden="1" customHeight="1" x14ac:dyDescent="0.25">
      <c r="A108" s="10" t="s">
        <v>77</v>
      </c>
      <c r="B108" s="10" t="s">
        <v>90</v>
      </c>
      <c r="C108" s="10" t="s">
        <v>175</v>
      </c>
      <c r="D108" s="10" t="s">
        <v>92</v>
      </c>
      <c r="E108" s="10">
        <v>1042850692</v>
      </c>
      <c r="F108" s="51" t="s">
        <v>1675</v>
      </c>
      <c r="G108" s="10" t="s">
        <v>302</v>
      </c>
      <c r="H108" s="10" t="s">
        <v>836</v>
      </c>
      <c r="I108" s="13">
        <v>46020</v>
      </c>
      <c r="J108" s="10" t="s">
        <v>113</v>
      </c>
      <c r="K108" s="13">
        <v>35024</v>
      </c>
      <c r="L108" s="10">
        <f t="shared" ca="1" si="1"/>
        <v>30</v>
      </c>
      <c r="M108" s="10" t="s">
        <v>120</v>
      </c>
      <c r="N108" s="10" t="s">
        <v>122</v>
      </c>
      <c r="O108" s="105" t="s">
        <v>124</v>
      </c>
      <c r="P108" s="42" t="s">
        <v>128</v>
      </c>
      <c r="Q108" s="10" t="s">
        <v>133</v>
      </c>
      <c r="R108" s="10" t="s">
        <v>1676</v>
      </c>
      <c r="S108" s="10" t="s">
        <v>136</v>
      </c>
      <c r="T108" s="10" t="s">
        <v>1677</v>
      </c>
      <c r="U108" s="10">
        <v>3246035786</v>
      </c>
      <c r="V108" s="10" t="s">
        <v>1678</v>
      </c>
      <c r="W108" s="10" t="s">
        <v>1312</v>
      </c>
      <c r="X108" s="10" t="s">
        <v>966</v>
      </c>
      <c r="Y108" s="10">
        <v>26000794912</v>
      </c>
      <c r="Z108" s="10" t="s">
        <v>377</v>
      </c>
      <c r="AA108" s="12">
        <v>3011132368</v>
      </c>
      <c r="AB108" s="10"/>
      <c r="AC108" s="29"/>
      <c r="AD108" s="29"/>
      <c r="AE108" s="29"/>
      <c r="AF108" s="29"/>
      <c r="AG108" s="29"/>
    </row>
    <row r="109" spans="1:33" ht="15.75" customHeight="1" x14ac:dyDescent="0.25">
      <c r="A109" s="10" t="s">
        <v>77</v>
      </c>
      <c r="B109" s="10" t="s">
        <v>90</v>
      </c>
      <c r="C109" s="10" t="s">
        <v>175</v>
      </c>
      <c r="D109" s="10" t="s">
        <v>92</v>
      </c>
      <c r="E109" s="10">
        <v>8499245</v>
      </c>
      <c r="F109" s="51" t="s">
        <v>299</v>
      </c>
      <c r="G109" s="10" t="s">
        <v>741</v>
      </c>
      <c r="H109" s="10" t="s">
        <v>981</v>
      </c>
      <c r="I109" s="13">
        <v>46027</v>
      </c>
      <c r="J109" s="10" t="s">
        <v>113</v>
      </c>
      <c r="K109" s="13">
        <v>31243</v>
      </c>
      <c r="L109" s="10">
        <f t="shared" ca="1" si="1"/>
        <v>41</v>
      </c>
      <c r="M109" s="10" t="s">
        <v>120</v>
      </c>
      <c r="N109" s="10" t="s">
        <v>122</v>
      </c>
      <c r="O109" s="105" t="s">
        <v>142</v>
      </c>
      <c r="P109" s="42" t="s">
        <v>128</v>
      </c>
      <c r="Q109" s="10" t="s">
        <v>133</v>
      </c>
      <c r="R109" s="10" t="s">
        <v>989</v>
      </c>
      <c r="S109" s="10" t="s">
        <v>1681</v>
      </c>
      <c r="T109" s="10" t="s">
        <v>990</v>
      </c>
      <c r="U109" s="10">
        <v>3052117430</v>
      </c>
      <c r="V109" s="10" t="s">
        <v>991</v>
      </c>
      <c r="W109" s="10" t="s">
        <v>206</v>
      </c>
      <c r="X109" s="10" t="s">
        <v>966</v>
      </c>
      <c r="Y109" s="10">
        <v>8600003732</v>
      </c>
      <c r="Z109" s="10" t="s">
        <v>159</v>
      </c>
      <c r="AA109" s="12">
        <v>3008544101</v>
      </c>
      <c r="AB109" s="48"/>
    </row>
    <row r="110" spans="1:33" ht="15.75" customHeight="1" x14ac:dyDescent="0.25">
      <c r="A110" s="42" t="s">
        <v>77</v>
      </c>
      <c r="B110" s="42" t="s">
        <v>90</v>
      </c>
      <c r="C110" s="10" t="s">
        <v>175</v>
      </c>
      <c r="D110" s="42" t="s">
        <v>92</v>
      </c>
      <c r="E110" s="95">
        <v>8766054</v>
      </c>
      <c r="F110" s="23" t="s">
        <v>1684</v>
      </c>
      <c r="G110" s="10" t="s">
        <v>26</v>
      </c>
      <c r="H110" s="5"/>
      <c r="I110" s="13">
        <v>46004</v>
      </c>
      <c r="J110" s="42" t="s">
        <v>113</v>
      </c>
      <c r="K110" s="16">
        <v>24122</v>
      </c>
      <c r="L110" s="42">
        <f t="shared" ca="1" si="1"/>
        <v>60</v>
      </c>
      <c r="M110" s="10" t="s">
        <v>120</v>
      </c>
      <c r="N110" s="10" t="s">
        <v>236</v>
      </c>
      <c r="O110" s="105" t="s">
        <v>124</v>
      </c>
      <c r="P110" s="21" t="s">
        <v>128</v>
      </c>
      <c r="Q110" s="10" t="s">
        <v>133</v>
      </c>
      <c r="R110" s="87" t="s">
        <v>1690</v>
      </c>
      <c r="S110" s="10" t="s">
        <v>151</v>
      </c>
      <c r="T110" s="86" t="s">
        <v>170</v>
      </c>
      <c r="U110" s="12">
        <v>3173096602</v>
      </c>
      <c r="V110" s="98" t="s">
        <v>1692</v>
      </c>
      <c r="W110" s="10" t="s">
        <v>155</v>
      </c>
      <c r="X110" s="10" t="s">
        <v>288</v>
      </c>
      <c r="Y110" s="87">
        <v>48184409871</v>
      </c>
      <c r="Z110" s="10" t="s">
        <v>159</v>
      </c>
      <c r="AA110" s="87">
        <v>3205292580</v>
      </c>
      <c r="AB110" s="48"/>
      <c r="AC110" s="29"/>
      <c r="AD110" s="29"/>
      <c r="AE110" s="29"/>
      <c r="AF110" s="29"/>
      <c r="AG110" s="29"/>
    </row>
    <row r="111" spans="1:33" ht="15.75" hidden="1" customHeight="1" x14ac:dyDescent="0.25">
      <c r="A111" s="10" t="s">
        <v>160</v>
      </c>
      <c r="B111" s="10" t="s">
        <v>90</v>
      </c>
      <c r="C111" s="10" t="s">
        <v>91</v>
      </c>
      <c r="D111" s="10" t="s">
        <v>92</v>
      </c>
      <c r="E111" s="12">
        <v>1045735257</v>
      </c>
      <c r="F111" s="50" t="s">
        <v>1695</v>
      </c>
      <c r="G111" s="10" t="s">
        <v>926</v>
      </c>
      <c r="H111" s="10" t="s">
        <v>1271</v>
      </c>
      <c r="I111" s="16">
        <v>46043</v>
      </c>
      <c r="J111" s="12" t="s">
        <v>113</v>
      </c>
      <c r="K111" s="16">
        <v>35040</v>
      </c>
      <c r="L111" s="10">
        <f t="shared" ca="1" si="1"/>
        <v>30</v>
      </c>
      <c r="M111" s="10" t="s">
        <v>320</v>
      </c>
      <c r="N111" s="10" t="s">
        <v>236</v>
      </c>
      <c r="O111" s="101" t="s">
        <v>142</v>
      </c>
      <c r="P111" s="42" t="s">
        <v>128</v>
      </c>
      <c r="Q111" s="10" t="s">
        <v>133</v>
      </c>
      <c r="R111" s="12" t="s">
        <v>1697</v>
      </c>
      <c r="S111" s="12" t="s">
        <v>136</v>
      </c>
      <c r="T111" s="12" t="s">
        <v>1698</v>
      </c>
      <c r="U111" s="12">
        <v>3016473495</v>
      </c>
      <c r="V111" s="12" t="s">
        <v>1699</v>
      </c>
      <c r="W111" s="12" t="s">
        <v>1333</v>
      </c>
      <c r="X111" s="12" t="s">
        <v>1266</v>
      </c>
      <c r="Y111" s="34" t="s">
        <v>1700</v>
      </c>
      <c r="Z111" s="12" t="s">
        <v>377</v>
      </c>
      <c r="AA111" s="10">
        <v>3023706872</v>
      </c>
      <c r="AB111" s="10"/>
      <c r="AC111" s="29"/>
      <c r="AD111" s="29"/>
      <c r="AE111" s="29"/>
      <c r="AF111" s="29"/>
      <c r="AG111" s="29"/>
    </row>
    <row r="112" spans="1:33" ht="15.75" hidden="1" customHeight="1" x14ac:dyDescent="0.25">
      <c r="A112" s="10" t="s">
        <v>160</v>
      </c>
      <c r="B112" s="10" t="s">
        <v>90</v>
      </c>
      <c r="C112" s="10" t="s">
        <v>175</v>
      </c>
      <c r="D112" s="10" t="s">
        <v>92</v>
      </c>
      <c r="E112" s="12">
        <v>1042436066</v>
      </c>
      <c r="F112" s="50" t="s">
        <v>1703</v>
      </c>
      <c r="G112" s="10" t="s">
        <v>717</v>
      </c>
      <c r="H112" s="10" t="s">
        <v>1271</v>
      </c>
      <c r="I112" s="16">
        <v>46043</v>
      </c>
      <c r="J112" s="12" t="s">
        <v>113</v>
      </c>
      <c r="K112" s="16">
        <v>32330</v>
      </c>
      <c r="L112" s="10">
        <f t="shared" ca="1" si="1"/>
        <v>38</v>
      </c>
      <c r="M112" s="10" t="s">
        <v>120</v>
      </c>
      <c r="N112" s="10" t="s">
        <v>122</v>
      </c>
      <c r="O112" s="101" t="s">
        <v>124</v>
      </c>
      <c r="P112" s="42" t="s">
        <v>128</v>
      </c>
      <c r="Q112" s="10" t="s">
        <v>133</v>
      </c>
      <c r="R112" s="12" t="s">
        <v>1707</v>
      </c>
      <c r="S112" s="12" t="s">
        <v>151</v>
      </c>
      <c r="T112" s="12" t="s">
        <v>1708</v>
      </c>
      <c r="U112" s="12">
        <v>3052818770</v>
      </c>
      <c r="V112" s="12" t="s">
        <v>1709</v>
      </c>
      <c r="W112" s="12" t="s">
        <v>203</v>
      </c>
      <c r="X112" s="12" t="s">
        <v>1710</v>
      </c>
      <c r="Y112" s="34" t="s">
        <v>1711</v>
      </c>
      <c r="Z112" s="10" t="s">
        <v>159</v>
      </c>
      <c r="AA112" s="10">
        <v>3022191432</v>
      </c>
      <c r="AB112" s="10"/>
      <c r="AC112" s="29"/>
      <c r="AD112" s="29"/>
      <c r="AE112" s="29"/>
      <c r="AF112" s="29"/>
      <c r="AG112" s="29"/>
    </row>
    <row r="113" spans="1:33" hidden="1" x14ac:dyDescent="0.25">
      <c r="A113" s="10" t="s">
        <v>77</v>
      </c>
      <c r="B113" s="10" t="s">
        <v>90</v>
      </c>
      <c r="C113" s="10" t="s">
        <v>175</v>
      </c>
      <c r="D113" s="10" t="s">
        <v>92</v>
      </c>
      <c r="E113" s="12">
        <v>1047236787</v>
      </c>
      <c r="F113" s="15" t="s">
        <v>1713</v>
      </c>
      <c r="G113" s="10" t="s">
        <v>11</v>
      </c>
      <c r="H113" s="10" t="s">
        <v>1271</v>
      </c>
      <c r="I113" s="16">
        <v>46044</v>
      </c>
      <c r="J113" s="12" t="s">
        <v>113</v>
      </c>
      <c r="K113" s="16">
        <v>35487</v>
      </c>
      <c r="L113" s="10">
        <f t="shared" ca="1" si="1"/>
        <v>29</v>
      </c>
      <c r="M113" s="10" t="s">
        <v>120</v>
      </c>
      <c r="N113" s="10" t="s">
        <v>122</v>
      </c>
      <c r="O113" s="12" t="s">
        <v>142</v>
      </c>
      <c r="P113" s="42" t="s">
        <v>128</v>
      </c>
      <c r="Q113" s="10" t="s">
        <v>133</v>
      </c>
      <c r="R113" s="12" t="s">
        <v>1717</v>
      </c>
      <c r="S113" s="12" t="s">
        <v>414</v>
      </c>
      <c r="T113" s="12" t="s">
        <v>1718</v>
      </c>
      <c r="U113" s="12">
        <v>3226462282</v>
      </c>
      <c r="V113" s="12" t="s">
        <v>1720</v>
      </c>
      <c r="W113" s="12"/>
      <c r="X113" s="12"/>
      <c r="Y113" s="34" t="s">
        <v>1722</v>
      </c>
      <c r="Z113" s="10" t="s">
        <v>377</v>
      </c>
      <c r="AA113" s="10">
        <v>3116125806</v>
      </c>
      <c r="AB113" s="24"/>
      <c r="AC113" s="107"/>
      <c r="AD113" s="76"/>
      <c r="AE113" s="76"/>
      <c r="AF113" s="76"/>
      <c r="AG113" s="76"/>
    </row>
    <row r="114" spans="1:33" hidden="1" x14ac:dyDescent="0.25">
      <c r="A114" s="10" t="s">
        <v>77</v>
      </c>
      <c r="B114" s="10" t="s">
        <v>90</v>
      </c>
      <c r="C114" s="10" t="s">
        <v>175</v>
      </c>
      <c r="D114" s="10" t="s">
        <v>92</v>
      </c>
      <c r="E114" s="12">
        <v>1045715255</v>
      </c>
      <c r="F114" s="15" t="s">
        <v>1724</v>
      </c>
      <c r="G114" s="10" t="s">
        <v>302</v>
      </c>
      <c r="H114" s="10" t="s">
        <v>1271</v>
      </c>
      <c r="I114" s="16">
        <v>46050</v>
      </c>
      <c r="J114" s="12" t="s">
        <v>113</v>
      </c>
      <c r="K114" s="16">
        <v>34164</v>
      </c>
      <c r="L114" s="10">
        <f t="shared" ca="1" si="1"/>
        <v>33</v>
      </c>
      <c r="M114" s="10" t="s">
        <v>120</v>
      </c>
      <c r="N114" s="10" t="s">
        <v>122</v>
      </c>
      <c r="O114" s="12" t="s">
        <v>124</v>
      </c>
      <c r="P114" s="42" t="s">
        <v>128</v>
      </c>
      <c r="Q114" s="10" t="s">
        <v>133</v>
      </c>
      <c r="R114" s="12" t="s">
        <v>1727</v>
      </c>
      <c r="S114" s="12" t="s">
        <v>136</v>
      </c>
      <c r="T114" s="12" t="s">
        <v>1729</v>
      </c>
      <c r="U114" s="12">
        <v>3015009948</v>
      </c>
      <c r="V114" s="12" t="s">
        <v>1730</v>
      </c>
      <c r="W114" s="12" t="s">
        <v>781</v>
      </c>
      <c r="X114" s="12" t="s">
        <v>288</v>
      </c>
      <c r="Y114" s="34" t="s">
        <v>1731</v>
      </c>
      <c r="Z114" s="10" t="s">
        <v>377</v>
      </c>
      <c r="AA114" s="10">
        <v>3203015363</v>
      </c>
      <c r="AB114" s="24"/>
      <c r="AC114" s="107"/>
      <c r="AD114" s="76"/>
      <c r="AE114" s="76"/>
      <c r="AF114" s="76"/>
      <c r="AG114" s="76"/>
    </row>
    <row r="115" spans="1:33" x14ac:dyDescent="0.25">
      <c r="A115" s="10" t="s">
        <v>77</v>
      </c>
      <c r="B115" s="10" t="s">
        <v>90</v>
      </c>
      <c r="C115" s="10" t="s">
        <v>175</v>
      </c>
      <c r="D115" s="10" t="s">
        <v>92</v>
      </c>
      <c r="E115" s="10">
        <v>8527183</v>
      </c>
      <c r="F115" s="25" t="s">
        <v>1735</v>
      </c>
      <c r="G115" s="10" t="s">
        <v>26</v>
      </c>
      <c r="H115" s="10" t="s">
        <v>1736</v>
      </c>
      <c r="I115" s="13">
        <v>45831</v>
      </c>
      <c r="J115" s="10" t="s">
        <v>113</v>
      </c>
      <c r="K115" s="13">
        <v>30852</v>
      </c>
      <c r="L115" s="10">
        <f t="shared" ca="1" si="1"/>
        <v>42</v>
      </c>
      <c r="M115" s="10" t="s">
        <v>120</v>
      </c>
      <c r="N115" s="10" t="s">
        <v>122</v>
      </c>
      <c r="O115" s="10" t="s">
        <v>124</v>
      </c>
      <c r="P115" s="21" t="s">
        <v>128</v>
      </c>
      <c r="Q115" s="10" t="s">
        <v>133</v>
      </c>
      <c r="R115" s="10" t="s">
        <v>1741</v>
      </c>
      <c r="S115" s="10" t="s">
        <v>1225</v>
      </c>
      <c r="T115" s="10"/>
      <c r="U115" s="10">
        <v>3005435732</v>
      </c>
      <c r="V115" s="10" t="s">
        <v>1742</v>
      </c>
      <c r="W115" s="10" t="s">
        <v>831</v>
      </c>
      <c r="X115" s="10" t="s">
        <v>170</v>
      </c>
      <c r="Y115" s="28" t="s">
        <v>1743</v>
      </c>
      <c r="Z115" s="10" t="s">
        <v>159</v>
      </c>
      <c r="AA115" s="16"/>
      <c r="AB115" s="16"/>
      <c r="AC115" s="107"/>
      <c r="AD115" s="76"/>
      <c r="AE115" s="76"/>
      <c r="AF115" s="76"/>
      <c r="AG115" s="76"/>
    </row>
    <row r="116" spans="1:33" x14ac:dyDescent="0.25">
      <c r="A116" s="42" t="s">
        <v>77</v>
      </c>
      <c r="B116" s="42" t="s">
        <v>90</v>
      </c>
      <c r="C116" s="10" t="s">
        <v>175</v>
      </c>
      <c r="D116" s="42" t="s">
        <v>92</v>
      </c>
      <c r="E116" s="42">
        <v>79131885</v>
      </c>
      <c r="F116" s="25" t="s">
        <v>1749</v>
      </c>
      <c r="G116" s="10" t="s">
        <v>26</v>
      </c>
      <c r="H116" s="42"/>
      <c r="I116" s="89">
        <v>45988</v>
      </c>
      <c r="J116" s="42" t="s">
        <v>1136</v>
      </c>
      <c r="K116" s="89">
        <v>25039</v>
      </c>
      <c r="L116" s="42">
        <f t="shared" ca="1" si="1"/>
        <v>58</v>
      </c>
      <c r="M116" s="42" t="s">
        <v>120</v>
      </c>
      <c r="N116" s="42" t="s">
        <v>122</v>
      </c>
      <c r="O116" s="42" t="s">
        <v>124</v>
      </c>
      <c r="P116" s="21" t="s">
        <v>128</v>
      </c>
      <c r="Q116" s="10" t="s">
        <v>133</v>
      </c>
      <c r="R116" s="42" t="s">
        <v>1754</v>
      </c>
      <c r="S116" s="42" t="s">
        <v>136</v>
      </c>
      <c r="T116" s="42" t="s">
        <v>1756</v>
      </c>
      <c r="U116" s="42">
        <v>3015447365</v>
      </c>
      <c r="V116" s="42" t="s">
        <v>1757</v>
      </c>
      <c r="W116" s="42" t="s">
        <v>169</v>
      </c>
      <c r="X116" s="42" t="s">
        <v>1006</v>
      </c>
      <c r="Y116" s="42">
        <v>3015447365</v>
      </c>
      <c r="Z116" s="42" t="s">
        <v>293</v>
      </c>
      <c r="AA116" s="42">
        <v>310793488</v>
      </c>
      <c r="AB116" s="42"/>
      <c r="AC116" s="107"/>
      <c r="AD116" s="76"/>
      <c r="AE116" s="76"/>
      <c r="AF116" s="76"/>
      <c r="AG116" s="76"/>
    </row>
    <row r="117" spans="1:33" ht="15.75" hidden="1" customHeight="1" x14ac:dyDescent="0.25">
      <c r="A117" s="10" t="s">
        <v>160</v>
      </c>
      <c r="B117" s="10" t="s">
        <v>90</v>
      </c>
      <c r="C117" s="10" t="s">
        <v>91</v>
      </c>
      <c r="D117" s="10" t="s">
        <v>92</v>
      </c>
      <c r="E117" s="12">
        <v>1043119954</v>
      </c>
      <c r="F117" s="50" t="s">
        <v>1759</v>
      </c>
      <c r="G117" s="10" t="s">
        <v>1761</v>
      </c>
      <c r="H117" s="10" t="s">
        <v>1271</v>
      </c>
      <c r="I117" s="16">
        <v>46052</v>
      </c>
      <c r="J117" s="12" t="s">
        <v>113</v>
      </c>
      <c r="K117" s="16">
        <v>38315</v>
      </c>
      <c r="L117" s="10">
        <f t="shared" ca="1" si="1"/>
        <v>21</v>
      </c>
      <c r="M117" s="10" t="s">
        <v>320</v>
      </c>
      <c r="N117" s="10" t="s">
        <v>236</v>
      </c>
      <c r="O117" s="101" t="s">
        <v>142</v>
      </c>
      <c r="P117" s="42" t="s">
        <v>648</v>
      </c>
      <c r="Q117" s="10" t="s">
        <v>133</v>
      </c>
      <c r="R117" s="12" t="s">
        <v>1764</v>
      </c>
      <c r="S117" s="12" t="s">
        <v>151</v>
      </c>
      <c r="T117" s="12" t="s">
        <v>1766</v>
      </c>
      <c r="U117" s="12">
        <v>3235335391</v>
      </c>
      <c r="V117" s="12" t="s">
        <v>1767</v>
      </c>
      <c r="W117" s="12" t="s">
        <v>1768</v>
      </c>
      <c r="X117" s="12"/>
      <c r="Y117" s="34" t="s">
        <v>1769</v>
      </c>
      <c r="Z117" s="12" t="s">
        <v>159</v>
      </c>
      <c r="AA117" s="10">
        <v>3233116401</v>
      </c>
      <c r="AB117" s="10"/>
      <c r="AC117" s="29"/>
      <c r="AD117" s="29"/>
      <c r="AE117" s="29"/>
      <c r="AF117" s="29"/>
      <c r="AG117" s="29"/>
    </row>
    <row r="118" spans="1:33" x14ac:dyDescent="0.25">
      <c r="A118" s="10" t="s">
        <v>77</v>
      </c>
      <c r="B118" s="10" t="s">
        <v>90</v>
      </c>
      <c r="C118" s="10" t="s">
        <v>91</v>
      </c>
      <c r="D118" s="10" t="s">
        <v>92</v>
      </c>
      <c r="E118" s="12">
        <v>1001870430</v>
      </c>
      <c r="F118" s="25" t="s">
        <v>1770</v>
      </c>
      <c r="G118" s="10" t="s">
        <v>26</v>
      </c>
      <c r="H118" s="12"/>
      <c r="I118" s="13">
        <v>46126</v>
      </c>
      <c r="J118" s="12" t="s">
        <v>113</v>
      </c>
      <c r="K118" s="16">
        <v>37231</v>
      </c>
      <c r="L118" s="10">
        <f t="shared" ca="1" si="1"/>
        <v>24</v>
      </c>
      <c r="M118" s="10" t="s">
        <v>120</v>
      </c>
      <c r="N118" s="10" t="s">
        <v>236</v>
      </c>
      <c r="O118" s="42" t="s">
        <v>124</v>
      </c>
      <c r="P118" s="42" t="s">
        <v>128</v>
      </c>
      <c r="Q118" s="10" t="s">
        <v>133</v>
      </c>
      <c r="R118" s="12" t="s">
        <v>1772</v>
      </c>
      <c r="S118" s="12" t="s">
        <v>1773</v>
      </c>
      <c r="T118" s="12" t="s">
        <v>1773</v>
      </c>
      <c r="U118" s="12">
        <v>3009429196</v>
      </c>
      <c r="V118" s="12" t="s">
        <v>1774</v>
      </c>
      <c r="W118" s="12" t="s">
        <v>471</v>
      </c>
      <c r="X118" s="12" t="s">
        <v>170</v>
      </c>
      <c r="Y118" s="12">
        <v>3009429196</v>
      </c>
      <c r="Z118" s="12" t="s">
        <v>293</v>
      </c>
      <c r="AA118" s="12">
        <v>3044070546</v>
      </c>
      <c r="AB118" s="16"/>
      <c r="AC118" s="107"/>
      <c r="AD118" s="76"/>
      <c r="AE118" s="76"/>
      <c r="AF118" s="76"/>
      <c r="AG118" s="76"/>
    </row>
    <row r="119" spans="1:33" ht="16.5" hidden="1" customHeight="1" x14ac:dyDescent="0.25">
      <c r="A119" s="10" t="s">
        <v>77</v>
      </c>
      <c r="B119" s="10" t="s">
        <v>90</v>
      </c>
      <c r="C119" s="10" t="s">
        <v>175</v>
      </c>
      <c r="D119" s="10" t="s">
        <v>92</v>
      </c>
      <c r="E119" s="12">
        <v>1041896114</v>
      </c>
      <c r="F119" s="15" t="s">
        <v>1779</v>
      </c>
      <c r="G119" s="10" t="s">
        <v>32</v>
      </c>
      <c r="H119" s="10"/>
      <c r="I119" s="16">
        <v>46056</v>
      </c>
      <c r="J119" s="12" t="s">
        <v>113</v>
      </c>
      <c r="K119" s="16">
        <v>33457</v>
      </c>
      <c r="L119" s="10">
        <f t="shared" ca="1" si="1"/>
        <v>35</v>
      </c>
      <c r="M119" s="10" t="s">
        <v>120</v>
      </c>
      <c r="N119" s="10" t="s">
        <v>236</v>
      </c>
      <c r="O119" s="12" t="s">
        <v>210</v>
      </c>
      <c r="P119" s="42" t="s">
        <v>128</v>
      </c>
      <c r="Q119" s="10" t="s">
        <v>133</v>
      </c>
      <c r="R119" s="12" t="s">
        <v>1783</v>
      </c>
      <c r="S119" s="12" t="s">
        <v>1784</v>
      </c>
      <c r="T119" s="12" t="s">
        <v>1785</v>
      </c>
      <c r="U119" s="12">
        <v>3012851179</v>
      </c>
      <c r="V119" s="12" t="s">
        <v>1786</v>
      </c>
      <c r="W119" s="12" t="s">
        <v>1543</v>
      </c>
      <c r="X119" s="12" t="s">
        <v>288</v>
      </c>
      <c r="Y119" s="12">
        <v>48667059499</v>
      </c>
      <c r="Z119" s="10" t="s">
        <v>159</v>
      </c>
      <c r="AA119" s="10">
        <v>3218098845</v>
      </c>
      <c r="AB119" s="24"/>
      <c r="AC119" s="107"/>
      <c r="AD119" s="76"/>
      <c r="AE119" s="76"/>
      <c r="AF119" s="76"/>
      <c r="AG119" s="76"/>
    </row>
    <row r="120" spans="1:33" ht="15.75" hidden="1" customHeight="1" x14ac:dyDescent="0.25">
      <c r="A120" s="10" t="s">
        <v>77</v>
      </c>
      <c r="B120" s="10" t="s">
        <v>90</v>
      </c>
      <c r="C120" s="10" t="s">
        <v>175</v>
      </c>
      <c r="D120" s="10" t="s">
        <v>92</v>
      </c>
      <c r="E120" s="12">
        <v>17956099</v>
      </c>
      <c r="F120" s="25" t="s">
        <v>1789</v>
      </c>
      <c r="G120" s="10" t="s">
        <v>302</v>
      </c>
      <c r="H120" s="12" t="s">
        <v>1790</v>
      </c>
      <c r="I120" s="13">
        <v>46065</v>
      </c>
      <c r="J120" s="12" t="s">
        <v>113</v>
      </c>
      <c r="K120" s="16">
        <v>28097</v>
      </c>
      <c r="L120" s="10">
        <f t="shared" ca="1" si="1"/>
        <v>49</v>
      </c>
      <c r="M120" s="10" t="s">
        <v>120</v>
      </c>
      <c r="N120" s="10" t="s">
        <v>122</v>
      </c>
      <c r="O120" s="42" t="s">
        <v>1569</v>
      </c>
      <c r="P120" s="42" t="s">
        <v>128</v>
      </c>
      <c r="Q120" s="10" t="s">
        <v>133</v>
      </c>
      <c r="R120" s="12" t="s">
        <v>1791</v>
      </c>
      <c r="S120" s="12" t="s">
        <v>136</v>
      </c>
      <c r="T120" s="12" t="s">
        <v>1792</v>
      </c>
      <c r="U120" s="12">
        <v>3104626548</v>
      </c>
      <c r="V120" s="12" t="s">
        <v>1793</v>
      </c>
      <c r="W120" s="12" t="s">
        <v>781</v>
      </c>
      <c r="X120" s="12" t="s">
        <v>170</v>
      </c>
      <c r="Y120" s="34" t="s">
        <v>1794</v>
      </c>
      <c r="Z120" s="12" t="s">
        <v>159</v>
      </c>
      <c r="AA120" s="12">
        <v>3153546136</v>
      </c>
      <c r="AB120" s="16"/>
      <c r="AC120" s="32"/>
      <c r="AD120" s="32"/>
      <c r="AE120" s="32"/>
      <c r="AF120" s="32"/>
      <c r="AG120" s="32"/>
    </row>
    <row r="121" spans="1:33" ht="15.75" hidden="1" customHeight="1" x14ac:dyDescent="0.25">
      <c r="A121" s="10" t="s">
        <v>77</v>
      </c>
      <c r="B121" s="10" t="s">
        <v>90</v>
      </c>
      <c r="C121" s="10" t="s">
        <v>91</v>
      </c>
      <c r="D121" s="10" t="s">
        <v>92</v>
      </c>
      <c r="E121" s="12">
        <v>1045234335</v>
      </c>
      <c r="F121" s="25" t="s">
        <v>1796</v>
      </c>
      <c r="G121" s="10" t="s">
        <v>302</v>
      </c>
      <c r="H121" s="12"/>
      <c r="I121" s="13">
        <v>46076</v>
      </c>
      <c r="J121" s="12" t="s">
        <v>113</v>
      </c>
      <c r="K121" s="16">
        <v>33758</v>
      </c>
      <c r="L121" s="10">
        <f t="shared" ca="1" si="1"/>
        <v>34</v>
      </c>
      <c r="M121" s="10" t="s">
        <v>120</v>
      </c>
      <c r="N121" s="10" t="s">
        <v>122</v>
      </c>
      <c r="O121" s="42" t="s">
        <v>142</v>
      </c>
      <c r="P121" s="42" t="s">
        <v>128</v>
      </c>
      <c r="Q121" s="10" t="s">
        <v>133</v>
      </c>
      <c r="R121" s="12" t="s">
        <v>1798</v>
      </c>
      <c r="S121" s="12" t="s">
        <v>1225</v>
      </c>
      <c r="T121" s="12" t="s">
        <v>1799</v>
      </c>
      <c r="U121" s="12">
        <v>3242150736</v>
      </c>
      <c r="V121" s="12" t="s">
        <v>1800</v>
      </c>
      <c r="W121" s="12" t="s">
        <v>781</v>
      </c>
      <c r="X121" s="12" t="s">
        <v>1801</v>
      </c>
      <c r="Y121" s="12">
        <v>3242150736</v>
      </c>
      <c r="Z121" s="12" t="s">
        <v>377</v>
      </c>
      <c r="AA121" s="12">
        <v>3017751435</v>
      </c>
      <c r="AB121" s="16"/>
      <c r="AC121" s="32"/>
      <c r="AD121" s="32"/>
      <c r="AE121" s="32"/>
      <c r="AF121" s="32"/>
      <c r="AG121" s="32"/>
    </row>
    <row r="122" spans="1:33" hidden="1" x14ac:dyDescent="0.25">
      <c r="A122" s="10" t="s">
        <v>160</v>
      </c>
      <c r="B122" s="10" t="s">
        <v>90</v>
      </c>
      <c r="C122" s="10" t="s">
        <v>175</v>
      </c>
      <c r="D122" s="10" t="s">
        <v>92</v>
      </c>
      <c r="E122" s="12">
        <v>72260430</v>
      </c>
      <c r="F122" s="15" t="s">
        <v>1802</v>
      </c>
      <c r="G122" s="10" t="s">
        <v>1761</v>
      </c>
      <c r="H122" s="10"/>
      <c r="I122" s="16">
        <v>46081</v>
      </c>
      <c r="J122" s="12" t="s">
        <v>113</v>
      </c>
      <c r="K122" s="53">
        <v>29619</v>
      </c>
      <c r="L122" s="10">
        <f t="shared" ca="1" si="1"/>
        <v>45</v>
      </c>
      <c r="M122" s="10" t="s">
        <v>120</v>
      </c>
      <c r="N122" s="10" t="s">
        <v>277</v>
      </c>
      <c r="O122" s="42" t="s">
        <v>142</v>
      </c>
      <c r="P122" s="21" t="s">
        <v>128</v>
      </c>
      <c r="Q122" s="10" t="s">
        <v>133</v>
      </c>
      <c r="R122" s="12" t="s">
        <v>1805</v>
      </c>
      <c r="S122" s="12" t="s">
        <v>151</v>
      </c>
      <c r="T122" s="12" t="s">
        <v>1806</v>
      </c>
      <c r="U122" s="12">
        <v>3013196484</v>
      </c>
      <c r="V122" s="12" t="s">
        <v>1807</v>
      </c>
      <c r="W122" s="12" t="s">
        <v>539</v>
      </c>
      <c r="X122" s="12" t="s">
        <v>170</v>
      </c>
      <c r="Y122" s="12">
        <v>3013196484</v>
      </c>
      <c r="Z122" s="10" t="s">
        <v>377</v>
      </c>
      <c r="AA122" s="10">
        <v>3007407412</v>
      </c>
      <c r="AB122" s="24"/>
      <c r="AC122" s="107"/>
      <c r="AD122" s="76"/>
      <c r="AE122" s="76"/>
      <c r="AF122" s="76"/>
      <c r="AG122" s="76"/>
    </row>
    <row r="123" spans="1:33" hidden="1" x14ac:dyDescent="0.25">
      <c r="A123" s="10" t="s">
        <v>160</v>
      </c>
      <c r="B123" s="10" t="s">
        <v>90</v>
      </c>
      <c r="C123" s="10" t="s">
        <v>175</v>
      </c>
      <c r="D123" s="10" t="s">
        <v>92</v>
      </c>
      <c r="E123" s="12">
        <v>1048206225</v>
      </c>
      <c r="F123" s="15" t="s">
        <v>1809</v>
      </c>
      <c r="G123" s="10" t="s">
        <v>1810</v>
      </c>
      <c r="H123" s="10"/>
      <c r="I123" s="16">
        <v>46084</v>
      </c>
      <c r="J123" s="12" t="s">
        <v>113</v>
      </c>
      <c r="K123" s="53">
        <v>38505</v>
      </c>
      <c r="L123" s="10">
        <f t="shared" ca="1" si="1"/>
        <v>21</v>
      </c>
      <c r="M123" s="10" t="s">
        <v>120</v>
      </c>
      <c r="N123" s="10" t="s">
        <v>236</v>
      </c>
      <c r="O123" s="42" t="s">
        <v>142</v>
      </c>
      <c r="P123" s="21" t="s">
        <v>128</v>
      </c>
      <c r="Q123" s="10" t="s">
        <v>133</v>
      </c>
      <c r="R123" s="12" t="s">
        <v>1816</v>
      </c>
      <c r="S123" s="12" t="s">
        <v>899</v>
      </c>
      <c r="T123" s="12" t="s">
        <v>1817</v>
      </c>
      <c r="U123" s="12">
        <v>3212646916</v>
      </c>
      <c r="V123" s="12" t="s">
        <v>1819</v>
      </c>
      <c r="W123" s="12" t="s">
        <v>203</v>
      </c>
      <c r="X123" s="12" t="s">
        <v>170</v>
      </c>
      <c r="Y123" s="12">
        <v>13100007652</v>
      </c>
      <c r="Z123" s="10" t="s">
        <v>159</v>
      </c>
      <c r="AA123" s="10">
        <v>3212646916</v>
      </c>
      <c r="AB123" s="24"/>
      <c r="AC123" s="107"/>
      <c r="AD123" s="76"/>
      <c r="AE123" s="76"/>
      <c r="AF123" s="76"/>
      <c r="AG123" s="76"/>
    </row>
    <row r="124" spans="1:33" hidden="1" x14ac:dyDescent="0.25">
      <c r="A124" s="10" t="s">
        <v>160</v>
      </c>
      <c r="B124" s="10" t="s">
        <v>90</v>
      </c>
      <c r="C124" s="10" t="s">
        <v>175</v>
      </c>
      <c r="D124" s="10" t="s">
        <v>92</v>
      </c>
      <c r="E124" s="12">
        <v>1042448189</v>
      </c>
      <c r="F124" s="15" t="s">
        <v>1821</v>
      </c>
      <c r="G124" s="10" t="s">
        <v>1761</v>
      </c>
      <c r="H124" s="10"/>
      <c r="I124" s="16">
        <v>46092</v>
      </c>
      <c r="J124" s="12" t="s">
        <v>113</v>
      </c>
      <c r="K124" s="53">
        <v>34465</v>
      </c>
      <c r="L124" s="10">
        <f t="shared" ca="1" si="1"/>
        <v>32</v>
      </c>
      <c r="M124" s="10" t="s">
        <v>120</v>
      </c>
      <c r="N124" s="10" t="s">
        <v>236</v>
      </c>
      <c r="O124" s="42" t="s">
        <v>142</v>
      </c>
      <c r="P124" s="21" t="s">
        <v>128</v>
      </c>
      <c r="Q124" s="10" t="s">
        <v>133</v>
      </c>
      <c r="R124" s="12" t="s">
        <v>1826</v>
      </c>
      <c r="S124" s="12" t="s">
        <v>151</v>
      </c>
      <c r="T124" s="12" t="s">
        <v>170</v>
      </c>
      <c r="U124" s="12">
        <v>3008366045</v>
      </c>
      <c r="V124" s="12" t="s">
        <v>1829</v>
      </c>
      <c r="W124" s="12" t="s">
        <v>781</v>
      </c>
      <c r="X124" s="12" t="s">
        <v>1266</v>
      </c>
      <c r="Y124" s="12">
        <v>3008366045</v>
      </c>
      <c r="Z124" s="10" t="s">
        <v>377</v>
      </c>
      <c r="AA124" s="10">
        <v>3146648398</v>
      </c>
      <c r="AB124" s="24"/>
      <c r="AC124" s="107"/>
      <c r="AD124" s="76"/>
      <c r="AE124" s="76"/>
      <c r="AF124" s="76"/>
      <c r="AG124" s="76"/>
    </row>
    <row r="125" spans="1:33" hidden="1" x14ac:dyDescent="0.25">
      <c r="A125" s="10" t="s">
        <v>160</v>
      </c>
      <c r="B125" s="10" t="s">
        <v>90</v>
      </c>
      <c r="C125" s="10" t="s">
        <v>91</v>
      </c>
      <c r="D125" s="10" t="s">
        <v>92</v>
      </c>
      <c r="E125" s="12">
        <v>1221973541</v>
      </c>
      <c r="F125" s="15" t="s">
        <v>1831</v>
      </c>
      <c r="G125" s="10" t="s">
        <v>693</v>
      </c>
      <c r="H125" s="10"/>
      <c r="I125" s="16">
        <v>46108</v>
      </c>
      <c r="J125" s="12" t="s">
        <v>113</v>
      </c>
      <c r="K125" s="53">
        <v>35578</v>
      </c>
      <c r="L125" s="10">
        <f t="shared" ca="1" si="1"/>
        <v>29</v>
      </c>
      <c r="M125" s="10" t="s">
        <v>120</v>
      </c>
      <c r="N125" s="10" t="s">
        <v>122</v>
      </c>
      <c r="O125" s="42" t="s">
        <v>142</v>
      </c>
      <c r="P125" s="21" t="s">
        <v>128</v>
      </c>
      <c r="Q125" s="10" t="s">
        <v>133</v>
      </c>
      <c r="R125" s="12" t="s">
        <v>1834</v>
      </c>
      <c r="S125" s="12" t="s">
        <v>414</v>
      </c>
      <c r="T125" s="12" t="s">
        <v>1836</v>
      </c>
      <c r="U125" s="12">
        <v>3127246131</v>
      </c>
      <c r="V125" s="12" t="s">
        <v>1837</v>
      </c>
      <c r="W125" s="12" t="s">
        <v>203</v>
      </c>
      <c r="X125" s="12" t="s">
        <v>288</v>
      </c>
      <c r="Y125" s="12">
        <v>110500047169</v>
      </c>
      <c r="Z125" s="10" t="s">
        <v>377</v>
      </c>
      <c r="AA125" s="10">
        <v>314551446</v>
      </c>
      <c r="AB125" s="24"/>
      <c r="AC125" s="107"/>
      <c r="AD125" s="76"/>
      <c r="AE125" s="76"/>
      <c r="AF125" s="76"/>
      <c r="AG125" s="76"/>
    </row>
    <row r="126" spans="1:33" ht="15.75" hidden="1" customHeight="1" x14ac:dyDescent="0.25">
      <c r="A126" s="10" t="s">
        <v>77</v>
      </c>
      <c r="B126" s="10" t="s">
        <v>90</v>
      </c>
      <c r="C126" s="10" t="s">
        <v>91</v>
      </c>
      <c r="D126" s="10" t="s">
        <v>92</v>
      </c>
      <c r="E126" s="12">
        <v>1042433632</v>
      </c>
      <c r="F126" s="25" t="s">
        <v>1840</v>
      </c>
      <c r="G126" s="10" t="s">
        <v>11</v>
      </c>
      <c r="H126" s="12"/>
      <c r="I126" s="13">
        <v>46126</v>
      </c>
      <c r="J126" s="12" t="s">
        <v>113</v>
      </c>
      <c r="K126" s="16">
        <v>32944</v>
      </c>
      <c r="L126" s="10">
        <f t="shared" ca="1" si="1"/>
        <v>36</v>
      </c>
      <c r="M126" s="10" t="s">
        <v>120</v>
      </c>
      <c r="N126" s="10" t="s">
        <v>122</v>
      </c>
      <c r="O126" s="42" t="s">
        <v>142</v>
      </c>
      <c r="P126" s="42" t="s">
        <v>128</v>
      </c>
      <c r="Q126" s="10" t="s">
        <v>133</v>
      </c>
      <c r="R126" s="12" t="s">
        <v>1845</v>
      </c>
      <c r="S126" s="12" t="s">
        <v>151</v>
      </c>
      <c r="T126" s="12" t="s">
        <v>1847</v>
      </c>
      <c r="U126" s="12">
        <v>3218896582</v>
      </c>
      <c r="V126" s="12" t="s">
        <v>1849</v>
      </c>
      <c r="W126" s="12" t="s">
        <v>781</v>
      </c>
      <c r="X126" s="12" t="s">
        <v>288</v>
      </c>
      <c r="Y126" s="12">
        <v>550029700105645</v>
      </c>
      <c r="Z126" s="12" t="s">
        <v>377</v>
      </c>
      <c r="AA126" s="12">
        <v>3167716255</v>
      </c>
      <c r="AB126" s="16"/>
      <c r="AC126" s="32"/>
      <c r="AD126" s="32"/>
      <c r="AE126" s="32"/>
      <c r="AF126" s="32"/>
      <c r="AG126" s="32"/>
    </row>
    <row r="127" spans="1:33" hidden="1" x14ac:dyDescent="0.25">
      <c r="A127" s="10" t="s">
        <v>77</v>
      </c>
      <c r="B127" s="10" t="s">
        <v>90</v>
      </c>
      <c r="C127" s="10" t="s">
        <v>91</v>
      </c>
      <c r="D127" s="10" t="s">
        <v>92</v>
      </c>
      <c r="E127" s="12">
        <v>1143453391</v>
      </c>
      <c r="F127" s="15" t="s">
        <v>1851</v>
      </c>
      <c r="G127" s="10" t="s">
        <v>302</v>
      </c>
      <c r="H127" s="10"/>
      <c r="I127" s="13">
        <v>46139</v>
      </c>
      <c r="J127" s="12" t="s">
        <v>113</v>
      </c>
      <c r="K127" s="16">
        <v>34800</v>
      </c>
      <c r="L127" s="10">
        <f t="shared" ca="1" si="1"/>
        <v>31</v>
      </c>
      <c r="M127" s="10" t="s">
        <v>120</v>
      </c>
      <c r="N127" s="10" t="s">
        <v>236</v>
      </c>
      <c r="O127" s="42" t="s">
        <v>142</v>
      </c>
      <c r="P127" s="42" t="s">
        <v>128</v>
      </c>
      <c r="Q127" s="10" t="s">
        <v>133</v>
      </c>
      <c r="R127" s="12" t="s">
        <v>1855</v>
      </c>
      <c r="S127" s="12" t="s">
        <v>151</v>
      </c>
      <c r="T127" s="12" t="s">
        <v>1856</v>
      </c>
      <c r="U127" s="12">
        <v>3503485677</v>
      </c>
      <c r="V127" s="12" t="s">
        <v>1857</v>
      </c>
      <c r="W127" s="12" t="s">
        <v>781</v>
      </c>
      <c r="X127" s="12" t="s">
        <v>255</v>
      </c>
      <c r="Y127" s="12">
        <v>3503485677</v>
      </c>
      <c r="Z127" s="10" t="s">
        <v>377</v>
      </c>
      <c r="AA127" s="10">
        <v>3214282390</v>
      </c>
      <c r="AB127" s="24"/>
      <c r="AC127" s="107"/>
      <c r="AD127" s="76"/>
      <c r="AE127" s="76"/>
      <c r="AF127" s="76"/>
      <c r="AG127" s="76"/>
    </row>
    <row r="128" spans="1:33" hidden="1" x14ac:dyDescent="0.25">
      <c r="A128" s="10" t="s">
        <v>160</v>
      </c>
      <c r="B128" s="10" t="s">
        <v>90</v>
      </c>
      <c r="C128" s="10" t="s">
        <v>91</v>
      </c>
      <c r="D128" s="10" t="s">
        <v>92</v>
      </c>
      <c r="E128" s="12">
        <v>72357321</v>
      </c>
      <c r="F128" s="15" t="s">
        <v>1862</v>
      </c>
      <c r="G128" s="10" t="s">
        <v>32</v>
      </c>
      <c r="H128" s="10"/>
      <c r="I128" s="13">
        <v>46139</v>
      </c>
      <c r="J128" s="12" t="s">
        <v>113</v>
      </c>
      <c r="K128" s="53">
        <v>31354</v>
      </c>
      <c r="L128" s="10">
        <f t="shared" ca="1" si="1"/>
        <v>40</v>
      </c>
      <c r="M128" s="10" t="s">
        <v>120</v>
      </c>
      <c r="N128" s="10" t="s">
        <v>122</v>
      </c>
      <c r="O128" s="42" t="s">
        <v>142</v>
      </c>
      <c r="P128" s="42" t="s">
        <v>128</v>
      </c>
      <c r="Q128" s="10" t="s">
        <v>133</v>
      </c>
      <c r="R128" s="12" t="s">
        <v>1866</v>
      </c>
      <c r="S128" s="12" t="s">
        <v>136</v>
      </c>
      <c r="T128" s="12" t="s">
        <v>1868</v>
      </c>
      <c r="U128" s="12">
        <v>3016063635</v>
      </c>
      <c r="V128" s="12" t="s">
        <v>1869</v>
      </c>
      <c r="W128" s="12" t="s">
        <v>781</v>
      </c>
      <c r="X128" s="12"/>
      <c r="Y128" s="12">
        <v>3016063635</v>
      </c>
      <c r="Z128" s="10" t="s">
        <v>377</v>
      </c>
      <c r="AA128" s="10">
        <v>3108848587</v>
      </c>
      <c r="AB128" s="24"/>
      <c r="AC128" s="107"/>
      <c r="AD128" s="76"/>
      <c r="AE128" s="76"/>
      <c r="AF128" s="76"/>
      <c r="AG128" s="76"/>
    </row>
    <row r="129" spans="1:33" ht="15.75" customHeight="1" x14ac:dyDescent="0.25">
      <c r="A129" s="10" t="s">
        <v>77</v>
      </c>
      <c r="B129" s="10" t="s">
        <v>90</v>
      </c>
      <c r="C129" s="10" t="s">
        <v>91</v>
      </c>
      <c r="D129" s="10" t="s">
        <v>92</v>
      </c>
      <c r="E129" s="12">
        <v>72184506</v>
      </c>
      <c r="F129" s="15" t="s">
        <v>115</v>
      </c>
      <c r="G129" s="10" t="s">
        <v>26</v>
      </c>
      <c r="H129" s="10"/>
      <c r="I129" s="16">
        <v>46156</v>
      </c>
      <c r="J129" s="12" t="s">
        <v>113</v>
      </c>
      <c r="K129" s="53">
        <v>26347</v>
      </c>
      <c r="L129" s="10">
        <f t="shared" ca="1" si="1"/>
        <v>54</v>
      </c>
      <c r="M129" s="10" t="s">
        <v>120</v>
      </c>
      <c r="N129" s="10" t="s">
        <v>277</v>
      </c>
      <c r="O129" s="42" t="s">
        <v>124</v>
      </c>
      <c r="P129" s="21" t="s">
        <v>128</v>
      </c>
      <c r="Q129" s="10" t="s">
        <v>133</v>
      </c>
      <c r="R129" s="12" t="s">
        <v>1879</v>
      </c>
      <c r="S129" s="12" t="s">
        <v>136</v>
      </c>
      <c r="T129" s="12" t="s">
        <v>1880</v>
      </c>
      <c r="U129" s="12">
        <v>3155073277</v>
      </c>
      <c r="V129" s="12" t="s">
        <v>1881</v>
      </c>
      <c r="W129" s="12" t="s">
        <v>539</v>
      </c>
      <c r="X129" s="12" t="s">
        <v>170</v>
      </c>
      <c r="Y129" s="12">
        <v>95753717634</v>
      </c>
      <c r="Z129" s="10" t="s">
        <v>159</v>
      </c>
      <c r="AA129" s="10">
        <v>3022993697</v>
      </c>
      <c r="AB129" s="24"/>
    </row>
    <row r="130" spans="1:33" x14ac:dyDescent="0.25">
      <c r="A130" s="10" t="s">
        <v>77</v>
      </c>
      <c r="B130" s="10" t="s">
        <v>90</v>
      </c>
      <c r="C130" s="10" t="s">
        <v>175</v>
      </c>
      <c r="D130" s="10" t="s">
        <v>92</v>
      </c>
      <c r="E130" s="12">
        <v>1068387809</v>
      </c>
      <c r="F130" s="50" t="s">
        <v>1269</v>
      </c>
      <c r="G130" s="10" t="s">
        <v>26</v>
      </c>
      <c r="H130" s="10" t="s">
        <v>1271</v>
      </c>
      <c r="I130" s="16">
        <v>46043</v>
      </c>
      <c r="J130" s="12" t="s">
        <v>113</v>
      </c>
      <c r="K130" s="16">
        <v>34032</v>
      </c>
      <c r="L130" s="10">
        <f t="shared" ca="1" si="1"/>
        <v>33</v>
      </c>
      <c r="M130" s="10" t="s">
        <v>120</v>
      </c>
      <c r="N130" s="10" t="s">
        <v>236</v>
      </c>
      <c r="O130" s="12" t="s">
        <v>142</v>
      </c>
      <c r="P130" s="42" t="s">
        <v>128</v>
      </c>
      <c r="Q130" s="10" t="s">
        <v>133</v>
      </c>
      <c r="R130" s="12" t="s">
        <v>1276</v>
      </c>
      <c r="S130" s="12" t="s">
        <v>136</v>
      </c>
      <c r="T130" s="12"/>
      <c r="U130" s="12">
        <v>3001644994</v>
      </c>
      <c r="V130" s="12" t="s">
        <v>1891</v>
      </c>
      <c r="W130" s="12"/>
      <c r="X130" s="12"/>
      <c r="Y130" s="34" t="s">
        <v>1278</v>
      </c>
      <c r="Z130" s="12" t="s">
        <v>293</v>
      </c>
      <c r="AA130" s="13"/>
      <c r="AB130" s="10"/>
      <c r="AC130" s="107"/>
      <c r="AD130" s="76"/>
      <c r="AE130" s="76"/>
      <c r="AF130" s="76"/>
      <c r="AG130" s="76"/>
    </row>
    <row r="131" spans="1:33" hidden="1" x14ac:dyDescent="0.25">
      <c r="A131" s="10" t="s">
        <v>77</v>
      </c>
      <c r="B131" s="10" t="s">
        <v>90</v>
      </c>
      <c r="C131" s="10" t="s">
        <v>91</v>
      </c>
      <c r="D131" s="10" t="s">
        <v>92</v>
      </c>
      <c r="E131" s="12">
        <v>1140817629</v>
      </c>
      <c r="F131" s="15" t="s">
        <v>1893</v>
      </c>
      <c r="G131" s="10" t="s">
        <v>32</v>
      </c>
      <c r="H131" s="10"/>
      <c r="I131" s="16">
        <v>46156</v>
      </c>
      <c r="J131" s="12" t="s">
        <v>113</v>
      </c>
      <c r="K131" s="53">
        <v>32461</v>
      </c>
      <c r="L131" s="10">
        <f t="shared" ca="1" si="1"/>
        <v>37</v>
      </c>
      <c r="M131" s="10" t="s">
        <v>120</v>
      </c>
      <c r="N131" s="10" t="s">
        <v>277</v>
      </c>
      <c r="O131" s="42" t="s">
        <v>124</v>
      </c>
      <c r="P131" s="21" t="s">
        <v>128</v>
      </c>
      <c r="Q131" s="10" t="s">
        <v>133</v>
      </c>
      <c r="R131" s="12" t="s">
        <v>1894</v>
      </c>
      <c r="S131" s="12" t="s">
        <v>136</v>
      </c>
      <c r="T131" s="12" t="s">
        <v>1895</v>
      </c>
      <c r="U131" s="12">
        <v>3015909104</v>
      </c>
      <c r="V131" s="12" t="s">
        <v>1896</v>
      </c>
      <c r="W131" s="12" t="s">
        <v>539</v>
      </c>
      <c r="X131" s="12" t="s">
        <v>966</v>
      </c>
      <c r="Y131" s="12">
        <v>77360091573</v>
      </c>
      <c r="Z131" s="10" t="s">
        <v>159</v>
      </c>
      <c r="AA131" s="10">
        <v>3003028260</v>
      </c>
      <c r="AB131" s="24"/>
      <c r="AC131" s="107"/>
      <c r="AD131" s="76"/>
      <c r="AE131" s="76"/>
      <c r="AF131" s="76"/>
      <c r="AG131" s="76"/>
    </row>
    <row r="132" spans="1:33" hidden="1" x14ac:dyDescent="0.25">
      <c r="A132" s="10" t="s">
        <v>160</v>
      </c>
      <c r="B132" s="10" t="s">
        <v>90</v>
      </c>
      <c r="C132" s="10" t="s">
        <v>91</v>
      </c>
      <c r="D132" s="10" t="s">
        <v>92</v>
      </c>
      <c r="E132" s="12">
        <v>1045732361</v>
      </c>
      <c r="F132" s="15" t="s">
        <v>1897</v>
      </c>
      <c r="G132" s="10" t="s">
        <v>11</v>
      </c>
      <c r="H132" s="10"/>
      <c r="I132" s="16">
        <v>46163</v>
      </c>
      <c r="J132" s="12" t="s">
        <v>113</v>
      </c>
      <c r="K132" s="53">
        <v>34941</v>
      </c>
      <c r="L132" s="10">
        <f t="shared" ca="1" si="1"/>
        <v>30</v>
      </c>
      <c r="M132" s="10" t="s">
        <v>120</v>
      </c>
      <c r="N132" s="10" t="s">
        <v>236</v>
      </c>
      <c r="O132" s="42" t="s">
        <v>142</v>
      </c>
      <c r="P132" s="21" t="s">
        <v>128</v>
      </c>
      <c r="Q132" s="10" t="s">
        <v>133</v>
      </c>
      <c r="R132" s="12" t="s">
        <v>1902</v>
      </c>
      <c r="S132" s="12" t="s">
        <v>136</v>
      </c>
      <c r="T132" s="12" t="s">
        <v>1904</v>
      </c>
      <c r="U132" s="12">
        <v>3015306179</v>
      </c>
      <c r="V132" s="12" t="s">
        <v>1906</v>
      </c>
      <c r="W132" s="12" t="s">
        <v>539</v>
      </c>
      <c r="X132" s="12" t="s">
        <v>170</v>
      </c>
      <c r="Y132" s="12">
        <v>3015306179</v>
      </c>
      <c r="Z132" s="10" t="s">
        <v>377</v>
      </c>
      <c r="AA132" s="10">
        <v>3015621362</v>
      </c>
      <c r="AB132" s="17" t="s">
        <v>1907</v>
      </c>
      <c r="AC132" s="107"/>
      <c r="AD132" s="76"/>
      <c r="AE132" s="76"/>
      <c r="AF132" s="76"/>
      <c r="AG132" s="76"/>
    </row>
    <row r="133" spans="1:33" hidden="1" x14ac:dyDescent="0.25">
      <c r="A133" s="10" t="s">
        <v>77</v>
      </c>
      <c r="B133" s="10" t="s">
        <v>90</v>
      </c>
      <c r="C133" s="10" t="s">
        <v>91</v>
      </c>
      <c r="D133" s="10" t="s">
        <v>92</v>
      </c>
      <c r="E133" s="12">
        <v>1042354246</v>
      </c>
      <c r="F133" s="15" t="s">
        <v>1909</v>
      </c>
      <c r="G133" s="10" t="s">
        <v>11</v>
      </c>
      <c r="H133" s="10"/>
      <c r="I133" s="16">
        <v>46165</v>
      </c>
      <c r="J133" s="12" t="s">
        <v>113</v>
      </c>
      <c r="K133" s="53">
        <v>34955</v>
      </c>
      <c r="L133" s="10">
        <f t="shared" ca="1" si="1"/>
        <v>30</v>
      </c>
      <c r="M133" s="10" t="s">
        <v>120</v>
      </c>
      <c r="N133" s="10" t="s">
        <v>277</v>
      </c>
      <c r="O133" s="42" t="s">
        <v>124</v>
      </c>
      <c r="P133" s="21" t="s">
        <v>128</v>
      </c>
      <c r="Q133" s="10" t="s">
        <v>133</v>
      </c>
      <c r="R133" s="12" t="s">
        <v>1914</v>
      </c>
      <c r="S133" s="12" t="s">
        <v>776</v>
      </c>
      <c r="T133" s="12" t="s">
        <v>1915</v>
      </c>
      <c r="U133" s="12">
        <v>3016142299</v>
      </c>
      <c r="V133" s="12" t="s">
        <v>1917</v>
      </c>
      <c r="W133" s="12" t="s">
        <v>471</v>
      </c>
      <c r="X133" s="12" t="s">
        <v>170</v>
      </c>
      <c r="Y133" s="12">
        <v>3154283056</v>
      </c>
      <c r="Z133" s="10" t="s">
        <v>377</v>
      </c>
      <c r="AA133" s="10">
        <v>3017552413</v>
      </c>
      <c r="AB133" s="17" t="s">
        <v>1907</v>
      </c>
      <c r="AC133" s="107"/>
      <c r="AD133" s="76"/>
      <c r="AE133" s="76"/>
      <c r="AF133" s="76"/>
      <c r="AG133" s="76"/>
    </row>
    <row r="134" spans="1:33" hidden="1" x14ac:dyDescent="0.25">
      <c r="A134" s="10" t="s">
        <v>77</v>
      </c>
      <c r="B134" s="10" t="s">
        <v>90</v>
      </c>
      <c r="C134" s="10" t="s">
        <v>91</v>
      </c>
      <c r="D134" s="10" t="s">
        <v>92</v>
      </c>
      <c r="E134" s="12">
        <v>1048326825</v>
      </c>
      <c r="F134" s="15" t="s">
        <v>1923</v>
      </c>
      <c r="G134" s="10" t="s">
        <v>302</v>
      </c>
      <c r="H134" s="10"/>
      <c r="I134" s="16">
        <v>46167</v>
      </c>
      <c r="J134" s="12" t="s">
        <v>113</v>
      </c>
      <c r="K134" s="53">
        <v>35903</v>
      </c>
      <c r="L134" s="10">
        <f t="shared" ca="1" si="1"/>
        <v>28</v>
      </c>
      <c r="M134" s="10" t="s">
        <v>120</v>
      </c>
      <c r="N134" s="10" t="s">
        <v>122</v>
      </c>
      <c r="O134" s="42" t="s">
        <v>1456</v>
      </c>
      <c r="P134" s="21" t="s">
        <v>648</v>
      </c>
      <c r="Q134" s="10" t="s">
        <v>133</v>
      </c>
      <c r="R134" s="12" t="s">
        <v>1925</v>
      </c>
      <c r="S134" s="12" t="s">
        <v>507</v>
      </c>
      <c r="T134" s="12" t="s">
        <v>1927</v>
      </c>
      <c r="U134" s="12">
        <v>3212897727</v>
      </c>
      <c r="V134" s="12" t="s">
        <v>1929</v>
      </c>
      <c r="W134" s="12" t="s">
        <v>155</v>
      </c>
      <c r="X134" s="12" t="s">
        <v>170</v>
      </c>
      <c r="Y134" s="12">
        <v>18689787904</v>
      </c>
      <c r="Z134" s="10" t="s">
        <v>159</v>
      </c>
      <c r="AA134" s="10">
        <v>3506595526</v>
      </c>
      <c r="AB134" s="17" t="s">
        <v>1907</v>
      </c>
      <c r="AC134" s="107"/>
      <c r="AD134" s="76"/>
      <c r="AE134" s="76"/>
      <c r="AF134" s="76"/>
      <c r="AG134" s="76"/>
    </row>
    <row r="135" spans="1:33" hidden="1" x14ac:dyDescent="0.25">
      <c r="A135" s="10" t="s">
        <v>77</v>
      </c>
      <c r="B135" s="10" t="s">
        <v>90</v>
      </c>
      <c r="C135" s="10" t="s">
        <v>91</v>
      </c>
      <c r="D135" s="10" t="s">
        <v>92</v>
      </c>
      <c r="E135" s="12">
        <v>72273068</v>
      </c>
      <c r="F135" s="15" t="s">
        <v>1937</v>
      </c>
      <c r="G135" s="10" t="s">
        <v>11</v>
      </c>
      <c r="H135" s="10"/>
      <c r="I135" s="16">
        <v>46168</v>
      </c>
      <c r="J135" s="12" t="s">
        <v>113</v>
      </c>
      <c r="K135" s="53">
        <v>30085</v>
      </c>
      <c r="L135" s="10">
        <f t="shared" ca="1" si="1"/>
        <v>44</v>
      </c>
      <c r="M135" s="10" t="s">
        <v>120</v>
      </c>
      <c r="N135" s="10" t="s">
        <v>277</v>
      </c>
      <c r="O135" s="42" t="s">
        <v>142</v>
      </c>
      <c r="P135" s="21" t="s">
        <v>128</v>
      </c>
      <c r="Q135" s="10" t="s">
        <v>133</v>
      </c>
      <c r="R135" s="12" t="s">
        <v>1942</v>
      </c>
      <c r="S135" s="12" t="s">
        <v>136</v>
      </c>
      <c r="T135" s="12" t="s">
        <v>1729</v>
      </c>
      <c r="U135" s="12">
        <v>3006663774</v>
      </c>
      <c r="V135" s="12" t="s">
        <v>1943</v>
      </c>
      <c r="W135" s="12" t="s">
        <v>155</v>
      </c>
      <c r="X135" s="12" t="s">
        <v>170</v>
      </c>
      <c r="Y135" s="12">
        <v>3244432466</v>
      </c>
      <c r="Z135" s="10" t="s">
        <v>293</v>
      </c>
      <c r="AA135" s="12">
        <v>3144751456</v>
      </c>
      <c r="AB135" s="17" t="s">
        <v>1944</v>
      </c>
      <c r="AC135" s="107"/>
      <c r="AD135" s="76"/>
      <c r="AE135" s="76"/>
      <c r="AF135" s="76"/>
      <c r="AG135" s="76"/>
    </row>
    <row r="136" spans="1:33" hidden="1" x14ac:dyDescent="0.25">
      <c r="A136" s="10" t="s">
        <v>77</v>
      </c>
      <c r="B136" s="10" t="s">
        <v>90</v>
      </c>
      <c r="C136" s="10" t="s">
        <v>91</v>
      </c>
      <c r="D136" s="10" t="s">
        <v>92</v>
      </c>
      <c r="E136" s="12">
        <v>1048286101</v>
      </c>
      <c r="F136" s="15" t="s">
        <v>1948</v>
      </c>
      <c r="G136" s="10" t="s">
        <v>11</v>
      </c>
      <c r="H136" s="10"/>
      <c r="I136" s="16">
        <v>46168</v>
      </c>
      <c r="J136" s="12" t="s">
        <v>113</v>
      </c>
      <c r="K136" s="53">
        <v>32464</v>
      </c>
      <c r="L136" s="10">
        <f t="shared" ca="1" si="1"/>
        <v>37</v>
      </c>
      <c r="M136" s="10" t="s">
        <v>120</v>
      </c>
      <c r="N136" s="10" t="s">
        <v>277</v>
      </c>
      <c r="O136" s="42" t="s">
        <v>142</v>
      </c>
      <c r="P136" s="21" t="s">
        <v>128</v>
      </c>
      <c r="Q136" s="10" t="s">
        <v>133</v>
      </c>
      <c r="R136" s="12" t="s">
        <v>1950</v>
      </c>
      <c r="S136" s="12" t="s">
        <v>507</v>
      </c>
      <c r="T136" s="12" t="s">
        <v>1951</v>
      </c>
      <c r="U136" s="12">
        <v>3043462263</v>
      </c>
      <c r="V136" s="12" t="s">
        <v>1952</v>
      </c>
      <c r="W136" s="12" t="s">
        <v>155</v>
      </c>
      <c r="X136" s="12" t="s">
        <v>170</v>
      </c>
      <c r="Y136" s="12">
        <v>3043462263</v>
      </c>
      <c r="Z136" s="10" t="s">
        <v>377</v>
      </c>
      <c r="AA136" s="10">
        <v>3022085880</v>
      </c>
      <c r="AB136" s="17" t="s">
        <v>1953</v>
      </c>
      <c r="AC136" s="107"/>
      <c r="AD136" s="76"/>
      <c r="AE136" s="76"/>
      <c r="AF136" s="76"/>
      <c r="AG136" s="76"/>
    </row>
    <row r="137" spans="1:33" hidden="1" x14ac:dyDescent="0.25">
      <c r="A137" s="10" t="s">
        <v>77</v>
      </c>
      <c r="B137" s="10" t="s">
        <v>90</v>
      </c>
      <c r="C137" s="10" t="s">
        <v>91</v>
      </c>
      <c r="D137" s="10" t="s">
        <v>92</v>
      </c>
      <c r="E137" s="12">
        <v>1047224323</v>
      </c>
      <c r="F137" s="15" t="s">
        <v>1957</v>
      </c>
      <c r="G137" s="10" t="s">
        <v>11</v>
      </c>
      <c r="H137" s="10"/>
      <c r="I137" s="16">
        <v>46168</v>
      </c>
      <c r="J137" s="12" t="s">
        <v>113</v>
      </c>
      <c r="K137" s="53">
        <v>32346</v>
      </c>
      <c r="L137" s="10">
        <f t="shared" ca="1" si="1"/>
        <v>38</v>
      </c>
      <c r="M137" s="10" t="s">
        <v>120</v>
      </c>
      <c r="N137" s="10" t="s">
        <v>122</v>
      </c>
      <c r="O137" s="42" t="s">
        <v>142</v>
      </c>
      <c r="P137" s="21" t="s">
        <v>128</v>
      </c>
      <c r="Q137" s="10" t="s">
        <v>133</v>
      </c>
      <c r="R137" s="12" t="s">
        <v>1958</v>
      </c>
      <c r="S137" s="12" t="s">
        <v>801</v>
      </c>
      <c r="T137" s="12" t="s">
        <v>1959</v>
      </c>
      <c r="U137" s="12">
        <v>3236224727</v>
      </c>
      <c r="V137" s="12" t="s">
        <v>1960</v>
      </c>
      <c r="W137" s="12" t="s">
        <v>1543</v>
      </c>
      <c r="X137" s="12" t="s">
        <v>170</v>
      </c>
      <c r="Y137" s="12">
        <v>570488474018758</v>
      </c>
      <c r="Z137" s="10" t="s">
        <v>377</v>
      </c>
      <c r="AA137" s="10">
        <v>3292424791</v>
      </c>
      <c r="AB137" s="17" t="s">
        <v>1962</v>
      </c>
      <c r="AC137" s="107"/>
      <c r="AD137" s="76"/>
      <c r="AE137" s="76"/>
      <c r="AF137" s="76"/>
      <c r="AG137" s="76"/>
    </row>
    <row r="138" spans="1:33" hidden="1" x14ac:dyDescent="0.25">
      <c r="A138" s="10" t="s">
        <v>77</v>
      </c>
      <c r="B138" s="10" t="s">
        <v>90</v>
      </c>
      <c r="C138" s="10" t="s">
        <v>91</v>
      </c>
      <c r="D138" s="10" t="s">
        <v>92</v>
      </c>
      <c r="E138" s="12">
        <v>1001880235</v>
      </c>
      <c r="F138" s="15" t="s">
        <v>1964</v>
      </c>
      <c r="G138" s="10" t="s">
        <v>11</v>
      </c>
      <c r="H138" s="10"/>
      <c r="I138" s="16">
        <v>46168</v>
      </c>
      <c r="J138" s="12" t="s">
        <v>113</v>
      </c>
      <c r="K138" s="53">
        <v>37412</v>
      </c>
      <c r="L138" s="10">
        <f t="shared" ca="1" si="1"/>
        <v>24</v>
      </c>
      <c r="M138" s="10" t="s">
        <v>120</v>
      </c>
      <c r="N138" s="10" t="s">
        <v>236</v>
      </c>
      <c r="O138" s="42" t="s">
        <v>142</v>
      </c>
      <c r="P138" s="21" t="s">
        <v>128</v>
      </c>
      <c r="Q138" s="10" t="s">
        <v>133</v>
      </c>
      <c r="R138" s="12" t="s">
        <v>1969</v>
      </c>
      <c r="S138" s="12" t="s">
        <v>151</v>
      </c>
      <c r="T138" s="12" t="s">
        <v>784</v>
      </c>
      <c r="U138" s="12">
        <v>3135924609</v>
      </c>
      <c r="V138" s="12" t="s">
        <v>1973</v>
      </c>
      <c r="W138" s="12" t="s">
        <v>471</v>
      </c>
      <c r="X138" s="12" t="s">
        <v>255</v>
      </c>
      <c r="Y138" s="12">
        <v>47800006634</v>
      </c>
      <c r="Z138" s="10" t="s">
        <v>159</v>
      </c>
      <c r="AA138" s="10">
        <v>3132914055</v>
      </c>
      <c r="AB138" s="17" t="s">
        <v>1907</v>
      </c>
      <c r="AC138" s="107"/>
      <c r="AD138" s="76"/>
      <c r="AE138" s="76"/>
      <c r="AF138" s="76"/>
      <c r="AG138" s="76"/>
    </row>
    <row r="139" spans="1:33" hidden="1" x14ac:dyDescent="0.25">
      <c r="A139" s="10" t="s">
        <v>160</v>
      </c>
      <c r="B139" s="10" t="s">
        <v>90</v>
      </c>
      <c r="C139" s="10" t="s">
        <v>91</v>
      </c>
      <c r="D139" s="10" t="s">
        <v>92</v>
      </c>
      <c r="E139" s="12">
        <v>72357331</v>
      </c>
      <c r="F139" s="15" t="s">
        <v>1979</v>
      </c>
      <c r="G139" s="10" t="s">
        <v>1980</v>
      </c>
      <c r="H139" s="10"/>
      <c r="I139" s="16">
        <v>46175</v>
      </c>
      <c r="J139" s="12" t="s">
        <v>113</v>
      </c>
      <c r="K139" s="53">
        <v>31371</v>
      </c>
      <c r="L139" s="10">
        <f t="shared" ca="1" si="1"/>
        <v>40</v>
      </c>
      <c r="M139" s="10" t="s">
        <v>120</v>
      </c>
      <c r="N139" s="10" t="s">
        <v>236</v>
      </c>
      <c r="O139" s="42" t="s">
        <v>142</v>
      </c>
      <c r="P139" s="21" t="s">
        <v>128</v>
      </c>
      <c r="Q139" s="10" t="s">
        <v>133</v>
      </c>
      <c r="R139" s="12" t="s">
        <v>1983</v>
      </c>
      <c r="S139" s="12" t="s">
        <v>136</v>
      </c>
      <c r="T139" s="12" t="s">
        <v>1985</v>
      </c>
      <c r="U139" s="12">
        <v>3015538942</v>
      </c>
      <c r="V139" s="12" t="s">
        <v>1986</v>
      </c>
      <c r="W139" s="12" t="s">
        <v>215</v>
      </c>
      <c r="X139" s="12" t="s">
        <v>170</v>
      </c>
      <c r="Y139" s="12">
        <v>550488428389404</v>
      </c>
      <c r="Z139" s="10" t="s">
        <v>377</v>
      </c>
      <c r="AA139" s="10">
        <v>3003811249</v>
      </c>
      <c r="AB139" s="17" t="s">
        <v>1907</v>
      </c>
      <c r="AC139" s="107"/>
      <c r="AD139" s="76"/>
      <c r="AE139" s="76"/>
      <c r="AF139" s="76"/>
      <c r="AG139" s="76"/>
    </row>
    <row r="140" spans="1:33" x14ac:dyDescent="0.25">
      <c r="A140" s="10" t="s">
        <v>77</v>
      </c>
      <c r="B140" s="10" t="s">
        <v>90</v>
      </c>
      <c r="C140" s="10" t="s">
        <v>91</v>
      </c>
      <c r="D140" s="10" t="s">
        <v>92</v>
      </c>
      <c r="E140" s="12">
        <v>1002135866</v>
      </c>
      <c r="F140" s="15" t="s">
        <v>1989</v>
      </c>
      <c r="G140" s="10" t="s">
        <v>26</v>
      </c>
      <c r="H140" s="10"/>
      <c r="I140" s="16">
        <v>46176</v>
      </c>
      <c r="J140" s="12" t="s">
        <v>113</v>
      </c>
      <c r="K140" s="53">
        <v>36352</v>
      </c>
      <c r="L140" s="10">
        <f t="shared" ca="1" si="1"/>
        <v>27</v>
      </c>
      <c r="M140" s="10" t="s">
        <v>120</v>
      </c>
      <c r="N140" s="10" t="s">
        <v>122</v>
      </c>
      <c r="O140" s="42" t="s">
        <v>124</v>
      </c>
      <c r="P140" s="21" t="s">
        <v>128</v>
      </c>
      <c r="Q140" s="10" t="s">
        <v>133</v>
      </c>
      <c r="R140" s="12" t="s">
        <v>1993</v>
      </c>
      <c r="S140" s="12" t="s">
        <v>136</v>
      </c>
      <c r="T140" s="12" t="s">
        <v>1574</v>
      </c>
      <c r="U140" s="12">
        <v>3017995113</v>
      </c>
      <c r="V140" s="12" t="s">
        <v>1995</v>
      </c>
      <c r="W140" s="12" t="s">
        <v>1996</v>
      </c>
      <c r="X140" s="12" t="s">
        <v>1997</v>
      </c>
      <c r="Y140" s="12">
        <v>3017995113</v>
      </c>
      <c r="Z140" s="10" t="s">
        <v>377</v>
      </c>
      <c r="AA140" s="10">
        <v>3008948291</v>
      </c>
      <c r="AB140" s="17" t="s">
        <v>1907</v>
      </c>
      <c r="AC140" s="107"/>
      <c r="AD140" s="76"/>
      <c r="AE140" s="76"/>
      <c r="AF140" s="76"/>
      <c r="AG140" s="76"/>
    </row>
    <row r="141" spans="1:33" hidden="1" x14ac:dyDescent="0.25">
      <c r="A141" s="10" t="s">
        <v>160</v>
      </c>
      <c r="B141" s="10" t="s">
        <v>90</v>
      </c>
      <c r="C141" s="10" t="s">
        <v>91</v>
      </c>
      <c r="D141" s="10" t="s">
        <v>92</v>
      </c>
      <c r="E141" s="12">
        <v>1048277796</v>
      </c>
      <c r="F141" s="15" t="s">
        <v>2001</v>
      </c>
      <c r="G141" s="10" t="s">
        <v>2002</v>
      </c>
      <c r="H141" s="10"/>
      <c r="I141" s="16">
        <v>46177</v>
      </c>
      <c r="J141" s="12" t="s">
        <v>113</v>
      </c>
      <c r="K141" s="53">
        <v>38207</v>
      </c>
      <c r="L141" s="10">
        <f t="shared" ca="1" si="1"/>
        <v>22</v>
      </c>
      <c r="M141" s="10" t="s">
        <v>120</v>
      </c>
      <c r="N141" s="10" t="s">
        <v>236</v>
      </c>
      <c r="O141" s="42" t="s">
        <v>142</v>
      </c>
      <c r="P141" s="21" t="s">
        <v>128</v>
      </c>
      <c r="Q141" s="10" t="s">
        <v>133</v>
      </c>
      <c r="R141" s="12" t="s">
        <v>2007</v>
      </c>
      <c r="S141" s="12" t="s">
        <v>136</v>
      </c>
      <c r="T141" s="12" t="s">
        <v>1873</v>
      </c>
      <c r="U141" s="12">
        <v>3015574081</v>
      </c>
      <c r="V141" s="12" t="s">
        <v>1874</v>
      </c>
      <c r="W141" s="12" t="s">
        <v>1543</v>
      </c>
      <c r="X141" s="12" t="s">
        <v>1266</v>
      </c>
      <c r="Y141" s="12">
        <v>91280260121</v>
      </c>
      <c r="Z141" s="12" t="s">
        <v>159</v>
      </c>
      <c r="AA141" s="10">
        <v>3245762921</v>
      </c>
      <c r="AB141" s="17" t="s">
        <v>1907</v>
      </c>
      <c r="AC141" s="107"/>
      <c r="AD141" s="76"/>
      <c r="AE141" s="76"/>
      <c r="AF141" s="76"/>
      <c r="AG141" s="76"/>
    </row>
    <row r="142" spans="1:33" x14ac:dyDescent="0.25">
      <c r="A142" s="10" t="s">
        <v>77</v>
      </c>
      <c r="B142" s="10" t="s">
        <v>90</v>
      </c>
      <c r="C142" s="10" t="s">
        <v>91</v>
      </c>
      <c r="D142" s="10" t="s">
        <v>92</v>
      </c>
      <c r="E142" s="12">
        <v>73548106</v>
      </c>
      <c r="F142" s="15" t="s">
        <v>2011</v>
      </c>
      <c r="G142" s="10" t="s">
        <v>26</v>
      </c>
      <c r="H142" s="10"/>
      <c r="I142" s="16">
        <v>46177</v>
      </c>
      <c r="J142" s="12" t="s">
        <v>113</v>
      </c>
      <c r="K142" s="53">
        <v>25986</v>
      </c>
      <c r="L142" s="10">
        <f t="shared" ca="1" si="1"/>
        <v>55</v>
      </c>
      <c r="M142" s="10" t="s">
        <v>120</v>
      </c>
      <c r="N142" s="10" t="s">
        <v>122</v>
      </c>
      <c r="O142" s="42" t="s">
        <v>124</v>
      </c>
      <c r="P142" s="21" t="s">
        <v>128</v>
      </c>
      <c r="Q142" s="10" t="s">
        <v>133</v>
      </c>
      <c r="R142" s="12" t="s">
        <v>2014</v>
      </c>
      <c r="S142" s="12" t="s">
        <v>136</v>
      </c>
      <c r="T142" s="12" t="s">
        <v>2015</v>
      </c>
      <c r="U142" s="12">
        <v>3171924684</v>
      </c>
      <c r="V142" s="12" t="s">
        <v>2017</v>
      </c>
      <c r="W142" s="12" t="s">
        <v>1312</v>
      </c>
      <c r="X142" s="12" t="s">
        <v>170</v>
      </c>
      <c r="Y142" s="12">
        <v>3171924684</v>
      </c>
      <c r="Z142" s="10" t="s">
        <v>293</v>
      </c>
      <c r="AA142" s="10">
        <v>3016876316</v>
      </c>
      <c r="AB142" s="17" t="s">
        <v>1962</v>
      </c>
      <c r="AC142" s="107"/>
      <c r="AD142" s="76"/>
      <c r="AE142" s="76"/>
      <c r="AF142" s="76"/>
      <c r="AG142" s="76"/>
    </row>
    <row r="143" spans="1:33" hidden="1" x14ac:dyDescent="0.25">
      <c r="A143" s="10" t="s">
        <v>77</v>
      </c>
      <c r="B143" s="10" t="s">
        <v>90</v>
      </c>
      <c r="C143" s="10"/>
      <c r="D143" s="10" t="s">
        <v>92</v>
      </c>
      <c r="E143" s="12">
        <v>1046873278</v>
      </c>
      <c r="F143" s="15" t="s">
        <v>2020</v>
      </c>
      <c r="G143" s="10" t="s">
        <v>32</v>
      </c>
      <c r="H143" s="10"/>
      <c r="I143" s="16">
        <v>46178</v>
      </c>
      <c r="J143" s="12" t="s">
        <v>113</v>
      </c>
      <c r="K143" s="16">
        <v>33190</v>
      </c>
      <c r="L143" s="10">
        <f t="shared" ca="1" si="1"/>
        <v>35</v>
      </c>
      <c r="M143" s="10" t="s">
        <v>120</v>
      </c>
      <c r="N143" s="10" t="s">
        <v>122</v>
      </c>
      <c r="O143" s="42" t="s">
        <v>124</v>
      </c>
      <c r="P143" s="21" t="s">
        <v>128</v>
      </c>
      <c r="Q143" s="10" t="s">
        <v>133</v>
      </c>
      <c r="R143" s="12" t="s">
        <v>2025</v>
      </c>
      <c r="S143" s="12" t="s">
        <v>2026</v>
      </c>
      <c r="T143" s="12" t="s">
        <v>2027</v>
      </c>
      <c r="U143" s="12">
        <v>3014885038</v>
      </c>
      <c r="V143" s="12" t="s">
        <v>2028</v>
      </c>
      <c r="W143" s="12" t="s">
        <v>1543</v>
      </c>
      <c r="X143" s="12" t="s">
        <v>170</v>
      </c>
      <c r="Y143" s="12">
        <v>550488457475595</v>
      </c>
      <c r="Z143" s="10" t="s">
        <v>377</v>
      </c>
      <c r="AA143" s="10">
        <v>3016029412</v>
      </c>
      <c r="AB143" s="17" t="s">
        <v>2030</v>
      </c>
      <c r="AC143" s="107"/>
      <c r="AD143" s="76"/>
      <c r="AE143" s="76"/>
      <c r="AF143" s="76"/>
      <c r="AG143" s="76"/>
    </row>
    <row r="144" spans="1:33" hidden="1" x14ac:dyDescent="0.25">
      <c r="A144" s="10" t="s">
        <v>77</v>
      </c>
      <c r="B144" s="10" t="s">
        <v>90</v>
      </c>
      <c r="C144" s="10"/>
      <c r="D144" s="10" t="s">
        <v>92</v>
      </c>
      <c r="E144" s="12">
        <v>72204138</v>
      </c>
      <c r="F144" s="15" t="s">
        <v>2032</v>
      </c>
      <c r="G144" s="10" t="s">
        <v>302</v>
      </c>
      <c r="H144" s="10"/>
      <c r="I144" s="16">
        <v>46179</v>
      </c>
      <c r="J144" s="12" t="s">
        <v>113</v>
      </c>
      <c r="K144" s="16">
        <v>27230</v>
      </c>
      <c r="L144" s="10">
        <f t="shared" ca="1" si="1"/>
        <v>52</v>
      </c>
      <c r="M144" s="10" t="s">
        <v>120</v>
      </c>
      <c r="N144" s="10" t="s">
        <v>122</v>
      </c>
      <c r="O144" s="42" t="s">
        <v>142</v>
      </c>
      <c r="P144" s="21" t="s">
        <v>128</v>
      </c>
      <c r="Q144" s="10" t="s">
        <v>133</v>
      </c>
      <c r="R144" s="12" t="s">
        <v>2037</v>
      </c>
      <c r="S144" s="12" t="s">
        <v>136</v>
      </c>
      <c r="T144" s="12" t="s">
        <v>2038</v>
      </c>
      <c r="U144" s="12">
        <v>3018097722</v>
      </c>
      <c r="V144" s="12" t="s">
        <v>723</v>
      </c>
      <c r="W144" s="12" t="s">
        <v>155</v>
      </c>
      <c r="X144" s="12" t="s">
        <v>288</v>
      </c>
      <c r="Y144" s="12">
        <v>3018097722</v>
      </c>
      <c r="Z144" s="10" t="s">
        <v>377</v>
      </c>
      <c r="AA144" s="10">
        <v>3052571281</v>
      </c>
      <c r="AB144" s="17" t="s">
        <v>1962</v>
      </c>
      <c r="AC144" s="107"/>
      <c r="AD144" s="76"/>
      <c r="AE144" s="76"/>
      <c r="AF144" s="76"/>
      <c r="AG144" s="76"/>
    </row>
    <row r="145" spans="1:33" hidden="1" x14ac:dyDescent="0.25">
      <c r="A145" s="10" t="s">
        <v>160</v>
      </c>
      <c r="B145" s="10" t="s">
        <v>90</v>
      </c>
      <c r="C145" s="10" t="s">
        <v>91</v>
      </c>
      <c r="D145" s="10" t="s">
        <v>92</v>
      </c>
      <c r="E145" s="12">
        <v>1043123359</v>
      </c>
      <c r="F145" s="15" t="s">
        <v>2042</v>
      </c>
      <c r="G145" s="10" t="s">
        <v>1498</v>
      </c>
      <c r="H145" s="10"/>
      <c r="I145" s="16">
        <v>46181</v>
      </c>
      <c r="J145" s="12" t="s">
        <v>113</v>
      </c>
      <c r="K145" s="53">
        <v>34974</v>
      </c>
      <c r="L145" s="10">
        <f t="shared" ca="1" si="1"/>
        <v>30</v>
      </c>
      <c r="M145" s="10" t="s">
        <v>120</v>
      </c>
      <c r="N145" s="10" t="s">
        <v>122</v>
      </c>
      <c r="O145" s="42" t="s">
        <v>124</v>
      </c>
      <c r="P145" s="21" t="s">
        <v>128</v>
      </c>
      <c r="Q145" s="10" t="s">
        <v>133</v>
      </c>
      <c r="R145" s="12" t="s">
        <v>2048</v>
      </c>
      <c r="S145" s="12" t="s">
        <v>151</v>
      </c>
      <c r="T145" s="12" t="s">
        <v>2049</v>
      </c>
      <c r="U145" s="12">
        <v>3145823478</v>
      </c>
      <c r="V145" s="12" t="s">
        <v>2050</v>
      </c>
      <c r="W145" s="12" t="s">
        <v>471</v>
      </c>
      <c r="X145" s="12" t="s">
        <v>1997</v>
      </c>
      <c r="Y145" s="12">
        <v>3145823478</v>
      </c>
      <c r="Z145" s="12" t="s">
        <v>377</v>
      </c>
      <c r="AA145" s="10">
        <v>3217931772</v>
      </c>
      <c r="AB145" s="17" t="s">
        <v>1962</v>
      </c>
      <c r="AC145" s="107"/>
      <c r="AD145" s="76"/>
      <c r="AE145" s="76"/>
      <c r="AF145" s="76"/>
      <c r="AG145" s="76"/>
    </row>
    <row r="146" spans="1:33" hidden="1" x14ac:dyDescent="0.25">
      <c r="A146" s="10" t="s">
        <v>77</v>
      </c>
      <c r="B146" s="10" t="s">
        <v>90</v>
      </c>
      <c r="C146" s="10"/>
      <c r="D146" s="10" t="s">
        <v>92</v>
      </c>
      <c r="E146" s="12">
        <v>72246855</v>
      </c>
      <c r="F146" s="15" t="s">
        <v>2055</v>
      </c>
      <c r="G146" s="10" t="s">
        <v>11</v>
      </c>
      <c r="H146" s="10"/>
      <c r="I146" s="16">
        <v>46182</v>
      </c>
      <c r="J146" s="12" t="s">
        <v>113</v>
      </c>
      <c r="K146" s="16">
        <v>28740</v>
      </c>
      <c r="L146" s="10">
        <f t="shared" ca="1" si="1"/>
        <v>47</v>
      </c>
      <c r="M146" s="10" t="s">
        <v>120</v>
      </c>
      <c r="N146" s="10" t="s">
        <v>122</v>
      </c>
      <c r="O146" s="42" t="s">
        <v>142</v>
      </c>
      <c r="P146" s="21" t="s">
        <v>128</v>
      </c>
      <c r="Q146" s="10" t="s">
        <v>133</v>
      </c>
      <c r="R146" s="12" t="s">
        <v>2062</v>
      </c>
      <c r="S146" s="12" t="s">
        <v>136</v>
      </c>
      <c r="T146" s="12" t="s">
        <v>1729</v>
      </c>
      <c r="U146" s="12">
        <v>3002778870</v>
      </c>
      <c r="V146" s="12" t="s">
        <v>2064</v>
      </c>
      <c r="W146" s="12" t="s">
        <v>1559</v>
      </c>
      <c r="X146" s="12" t="s">
        <v>170</v>
      </c>
      <c r="Y146" s="12">
        <v>3002778870</v>
      </c>
      <c r="Z146" s="10" t="s">
        <v>293</v>
      </c>
      <c r="AA146" s="10">
        <v>3007204099</v>
      </c>
      <c r="AB146" s="17" t="s">
        <v>1962</v>
      </c>
      <c r="AC146" s="107"/>
      <c r="AD146" s="76"/>
      <c r="AE146" s="76"/>
      <c r="AF146" s="76"/>
      <c r="AG146" s="76"/>
    </row>
    <row r="147" spans="1:33" ht="15.75" hidden="1" customHeight="1" x14ac:dyDescent="0.25">
      <c r="A147" s="10" t="s">
        <v>77</v>
      </c>
      <c r="B147" s="10" t="s">
        <v>90</v>
      </c>
      <c r="C147" s="10" t="s">
        <v>175</v>
      </c>
      <c r="D147" s="10" t="s">
        <v>92</v>
      </c>
      <c r="E147" s="10">
        <v>1007842913</v>
      </c>
      <c r="F147" s="25" t="s">
        <v>2072</v>
      </c>
      <c r="G147" s="10" t="s">
        <v>11</v>
      </c>
      <c r="H147" s="10"/>
      <c r="I147" s="13">
        <v>46186</v>
      </c>
      <c r="J147" s="10" t="s">
        <v>113</v>
      </c>
      <c r="K147" s="36">
        <v>33637</v>
      </c>
      <c r="L147" s="10">
        <f t="shared" ca="1" si="1"/>
        <v>34</v>
      </c>
      <c r="M147" s="10" t="s">
        <v>120</v>
      </c>
      <c r="N147" s="10" t="s">
        <v>277</v>
      </c>
      <c r="O147" s="42" t="s">
        <v>142</v>
      </c>
      <c r="P147" s="21" t="s">
        <v>128</v>
      </c>
      <c r="Q147" s="10" t="s">
        <v>133</v>
      </c>
      <c r="R147" s="10" t="s">
        <v>2073</v>
      </c>
      <c r="S147" s="10" t="s">
        <v>136</v>
      </c>
      <c r="T147" s="10" t="s">
        <v>2074</v>
      </c>
      <c r="U147" s="10">
        <v>3001611136</v>
      </c>
      <c r="V147" s="10" t="s">
        <v>2075</v>
      </c>
      <c r="W147" s="10" t="s">
        <v>2076</v>
      </c>
      <c r="X147" s="10" t="s">
        <v>1997</v>
      </c>
      <c r="Y147" s="10">
        <v>3001611136</v>
      </c>
      <c r="Z147" s="10" t="s">
        <v>293</v>
      </c>
      <c r="AA147" s="12">
        <v>3103868233</v>
      </c>
      <c r="AB147" s="12" t="s">
        <v>2078</v>
      </c>
      <c r="AC147" s="29"/>
      <c r="AD147" s="29"/>
      <c r="AE147" s="29"/>
      <c r="AF147" s="29"/>
    </row>
    <row r="148" spans="1:33" ht="15.75" hidden="1" customHeight="1" x14ac:dyDescent="0.25">
      <c r="A148" s="10" t="s">
        <v>77</v>
      </c>
      <c r="B148" s="10" t="s">
        <v>90</v>
      </c>
      <c r="C148" s="10" t="s">
        <v>175</v>
      </c>
      <c r="D148" s="10" t="s">
        <v>92</v>
      </c>
      <c r="E148" s="10">
        <v>72279995</v>
      </c>
      <c r="F148" s="25" t="s">
        <v>2079</v>
      </c>
      <c r="G148" s="10" t="s">
        <v>32</v>
      </c>
      <c r="H148" s="10"/>
      <c r="I148" s="13">
        <v>46186</v>
      </c>
      <c r="J148" s="10" t="s">
        <v>113</v>
      </c>
      <c r="K148" s="36">
        <v>29772</v>
      </c>
      <c r="L148" s="10">
        <f t="shared" ca="1" si="1"/>
        <v>45</v>
      </c>
      <c r="M148" s="10" t="s">
        <v>120</v>
      </c>
      <c r="N148" s="10" t="s">
        <v>122</v>
      </c>
      <c r="O148" s="42" t="s">
        <v>142</v>
      </c>
      <c r="P148" s="21" t="s">
        <v>128</v>
      </c>
      <c r="Q148" s="10" t="s">
        <v>133</v>
      </c>
      <c r="R148" s="10" t="s">
        <v>2086</v>
      </c>
      <c r="S148" s="10" t="s">
        <v>136</v>
      </c>
      <c r="T148" s="10" t="s">
        <v>1574</v>
      </c>
      <c r="U148" s="10">
        <v>3046280956</v>
      </c>
      <c r="V148" s="10" t="s">
        <v>2089</v>
      </c>
      <c r="W148" s="10" t="s">
        <v>155</v>
      </c>
      <c r="X148" s="10" t="s">
        <v>1266</v>
      </c>
      <c r="Y148" s="10">
        <v>43400006046</v>
      </c>
      <c r="Z148" s="10" t="s">
        <v>159</v>
      </c>
      <c r="AA148" s="12">
        <v>3245231671</v>
      </c>
      <c r="AB148" s="12" t="s">
        <v>1944</v>
      </c>
      <c r="AC148" s="29"/>
      <c r="AD148" s="29"/>
      <c r="AE148" s="29"/>
      <c r="AF148" s="29"/>
    </row>
    <row r="149" spans="1:33" ht="15.75" customHeight="1" x14ac:dyDescent="0.25">
      <c r="A149" s="10" t="s">
        <v>77</v>
      </c>
      <c r="B149" s="10" t="s">
        <v>90</v>
      </c>
      <c r="C149" s="10" t="s">
        <v>175</v>
      </c>
      <c r="D149" s="10" t="s">
        <v>92</v>
      </c>
      <c r="E149" s="10">
        <v>72234484</v>
      </c>
      <c r="F149" s="25" t="s">
        <v>2095</v>
      </c>
      <c r="G149" s="10" t="s">
        <v>26</v>
      </c>
      <c r="H149" s="10"/>
      <c r="I149" s="13">
        <v>46186</v>
      </c>
      <c r="J149" s="10" t="s">
        <v>113</v>
      </c>
      <c r="K149" s="36">
        <v>28410</v>
      </c>
      <c r="L149" s="10">
        <f t="shared" ca="1" si="1"/>
        <v>48</v>
      </c>
      <c r="M149" s="10" t="s">
        <v>120</v>
      </c>
      <c r="N149" s="10" t="s">
        <v>122</v>
      </c>
      <c r="O149" s="42" t="s">
        <v>210</v>
      </c>
      <c r="P149" s="21" t="s">
        <v>128</v>
      </c>
      <c r="Q149" s="10" t="s">
        <v>133</v>
      </c>
      <c r="R149" s="10" t="s">
        <v>2097</v>
      </c>
      <c r="S149" s="10" t="s">
        <v>2099</v>
      </c>
      <c r="T149" s="10" t="s">
        <v>2100</v>
      </c>
      <c r="U149" s="10">
        <v>3045911013</v>
      </c>
      <c r="V149" s="10" t="s">
        <v>2102</v>
      </c>
      <c r="W149" s="10" t="s">
        <v>155</v>
      </c>
      <c r="X149" s="10" t="s">
        <v>288</v>
      </c>
      <c r="Y149" s="10">
        <v>8600006177</v>
      </c>
      <c r="Z149" s="10" t="s">
        <v>159</v>
      </c>
      <c r="AA149" s="12">
        <v>3014076255</v>
      </c>
      <c r="AB149" s="12" t="s">
        <v>2103</v>
      </c>
      <c r="AC149" s="29"/>
      <c r="AD149" s="29"/>
      <c r="AE149" s="29"/>
      <c r="AF149" s="29"/>
    </row>
    <row r="150" spans="1:33" ht="15.75" hidden="1" customHeight="1" x14ac:dyDescent="0.25">
      <c r="A150" s="10" t="s">
        <v>77</v>
      </c>
      <c r="B150" s="10" t="s">
        <v>90</v>
      </c>
      <c r="C150" s="10" t="s">
        <v>175</v>
      </c>
      <c r="D150" s="10" t="s">
        <v>92</v>
      </c>
      <c r="E150" s="10">
        <v>1082862449</v>
      </c>
      <c r="F150" s="25" t="s">
        <v>246</v>
      </c>
      <c r="G150" s="10" t="s">
        <v>302</v>
      </c>
      <c r="H150" s="10" t="s">
        <v>249</v>
      </c>
      <c r="I150" s="13">
        <v>46186</v>
      </c>
      <c r="J150" s="10" t="s">
        <v>113</v>
      </c>
      <c r="K150" s="13">
        <v>38518</v>
      </c>
      <c r="L150" s="10">
        <f t="shared" ca="1" si="1"/>
        <v>21</v>
      </c>
      <c r="M150" s="10" t="s">
        <v>120</v>
      </c>
      <c r="N150" s="10" t="s">
        <v>122</v>
      </c>
      <c r="O150" s="12" t="s">
        <v>142</v>
      </c>
      <c r="P150" s="21" t="s">
        <v>128</v>
      </c>
      <c r="Q150" s="10" t="s">
        <v>133</v>
      </c>
      <c r="R150" s="10" t="s">
        <v>262</v>
      </c>
      <c r="S150" s="10" t="s">
        <v>151</v>
      </c>
      <c r="T150" s="10" t="s">
        <v>1729</v>
      </c>
      <c r="U150" s="10">
        <v>3113124189</v>
      </c>
      <c r="V150" s="10" t="s">
        <v>264</v>
      </c>
      <c r="W150" s="10" t="s">
        <v>1543</v>
      </c>
      <c r="X150" s="10" t="s">
        <v>1997</v>
      </c>
      <c r="Y150" s="10">
        <v>3113124189</v>
      </c>
      <c r="Z150" s="10" t="s">
        <v>377</v>
      </c>
      <c r="AA150" s="60" t="s">
        <v>2115</v>
      </c>
      <c r="AB150" s="12" t="s">
        <v>2116</v>
      </c>
      <c r="AC150" s="39"/>
      <c r="AD150" s="39"/>
      <c r="AE150" s="39"/>
      <c r="AF150" s="39"/>
      <c r="AG150" s="39"/>
    </row>
    <row r="151" spans="1:33" ht="15.75" hidden="1" customHeight="1" x14ac:dyDescent="0.25">
      <c r="A151" s="42" t="s">
        <v>77</v>
      </c>
      <c r="B151" s="42" t="s">
        <v>90</v>
      </c>
      <c r="C151" s="10" t="s">
        <v>91</v>
      </c>
      <c r="D151" s="42" t="s">
        <v>92</v>
      </c>
      <c r="E151" s="42">
        <v>1152943867</v>
      </c>
      <c r="F151" s="25" t="s">
        <v>1771</v>
      </c>
      <c r="G151" s="10" t="s">
        <v>302</v>
      </c>
      <c r="H151" s="42"/>
      <c r="I151" s="13">
        <v>46186</v>
      </c>
      <c r="J151" s="42" t="s">
        <v>1136</v>
      </c>
      <c r="K151" s="89">
        <v>35411</v>
      </c>
      <c r="L151" s="42">
        <f t="shared" ca="1" si="1"/>
        <v>29</v>
      </c>
      <c r="M151" s="42" t="s">
        <v>120</v>
      </c>
      <c r="N151" s="42" t="s">
        <v>122</v>
      </c>
      <c r="O151" s="42" t="s">
        <v>1456</v>
      </c>
      <c r="P151" s="21" t="s">
        <v>128</v>
      </c>
      <c r="Q151" s="10" t="s">
        <v>133</v>
      </c>
      <c r="R151" s="42" t="s">
        <v>1777</v>
      </c>
      <c r="S151" s="42" t="s">
        <v>136</v>
      </c>
      <c r="T151" s="42" t="s">
        <v>136</v>
      </c>
      <c r="U151" s="42">
        <v>3123467784</v>
      </c>
      <c r="V151" s="42" t="s">
        <v>1778</v>
      </c>
      <c r="W151" s="42" t="s">
        <v>155</v>
      </c>
      <c r="X151" s="42" t="s">
        <v>170</v>
      </c>
      <c r="Y151" s="60" t="s">
        <v>2125</v>
      </c>
      <c r="Z151" s="10" t="s">
        <v>159</v>
      </c>
      <c r="AA151" s="10">
        <v>3243561921</v>
      </c>
      <c r="AB151" s="10" t="s">
        <v>2129</v>
      </c>
      <c r="AC151" s="80"/>
      <c r="AD151" s="80"/>
      <c r="AE151" s="80"/>
      <c r="AF151" s="80"/>
    </row>
    <row r="152" spans="1:33" ht="15.75" customHeight="1" x14ac:dyDescent="0.25">
      <c r="A152" s="10" t="s">
        <v>77</v>
      </c>
      <c r="B152" s="10" t="s">
        <v>90</v>
      </c>
      <c r="C152" s="10" t="s">
        <v>175</v>
      </c>
      <c r="D152" s="10" t="s">
        <v>92</v>
      </c>
      <c r="E152" s="12">
        <v>72056393</v>
      </c>
      <c r="F152" s="14" t="s">
        <v>2130</v>
      </c>
      <c r="G152" s="10" t="s">
        <v>26</v>
      </c>
      <c r="H152" s="10" t="s">
        <v>2133</v>
      </c>
      <c r="I152" s="13">
        <v>46186</v>
      </c>
      <c r="J152" s="12" t="s">
        <v>113</v>
      </c>
      <c r="K152" s="13">
        <v>31218</v>
      </c>
      <c r="L152" s="10">
        <f t="shared" ca="1" si="1"/>
        <v>41</v>
      </c>
      <c r="M152" s="10" t="s">
        <v>120</v>
      </c>
      <c r="N152" s="10" t="s">
        <v>277</v>
      </c>
      <c r="O152" s="12" t="s">
        <v>142</v>
      </c>
      <c r="P152" s="21" t="s">
        <v>128</v>
      </c>
      <c r="Q152" s="10" t="s">
        <v>133</v>
      </c>
      <c r="R152" s="12" t="s">
        <v>2138</v>
      </c>
      <c r="S152" s="12" t="s">
        <v>151</v>
      </c>
      <c r="T152" s="12" t="s">
        <v>808</v>
      </c>
      <c r="U152" s="12">
        <v>3043474723</v>
      </c>
      <c r="V152" s="12" t="s">
        <v>858</v>
      </c>
      <c r="W152" s="10" t="s">
        <v>155</v>
      </c>
      <c r="X152" s="12" t="s">
        <v>170</v>
      </c>
      <c r="Y152" s="12">
        <v>76907432871</v>
      </c>
      <c r="Z152" s="10" t="s">
        <v>159</v>
      </c>
      <c r="AA152" s="10">
        <v>3107199364</v>
      </c>
      <c r="AB152" s="12" t="s">
        <v>2140</v>
      </c>
    </row>
    <row r="153" spans="1:33" ht="15.75" hidden="1" customHeight="1" x14ac:dyDescent="0.25">
      <c r="A153" s="10" t="s">
        <v>77</v>
      </c>
      <c r="B153" s="10" t="s">
        <v>90</v>
      </c>
      <c r="C153" s="10" t="s">
        <v>91</v>
      </c>
      <c r="D153" s="10" t="s">
        <v>92</v>
      </c>
      <c r="E153" s="10">
        <v>1010083985</v>
      </c>
      <c r="F153" s="25" t="s">
        <v>391</v>
      </c>
      <c r="G153" s="10" t="s">
        <v>302</v>
      </c>
      <c r="H153" s="10" t="s">
        <v>1712</v>
      </c>
      <c r="I153" s="13">
        <v>46186</v>
      </c>
      <c r="J153" s="10" t="s">
        <v>113</v>
      </c>
      <c r="K153" s="13">
        <v>31975</v>
      </c>
      <c r="L153" s="10">
        <f t="shared" ca="1" si="1"/>
        <v>39</v>
      </c>
      <c r="M153" s="10" t="s">
        <v>120</v>
      </c>
      <c r="N153" s="10" t="s">
        <v>122</v>
      </c>
      <c r="O153" s="12" t="s">
        <v>142</v>
      </c>
      <c r="P153" s="21" t="s">
        <v>128</v>
      </c>
      <c r="Q153" s="10" t="s">
        <v>133</v>
      </c>
      <c r="R153" s="10" t="s">
        <v>1715</v>
      </c>
      <c r="S153" s="10" t="s">
        <v>136</v>
      </c>
      <c r="T153" s="10" t="s">
        <v>2124</v>
      </c>
      <c r="U153" s="10">
        <v>3228397637</v>
      </c>
      <c r="V153" s="10" t="s">
        <v>1716</v>
      </c>
      <c r="W153" s="10" t="s">
        <v>253</v>
      </c>
      <c r="X153" s="10" t="s">
        <v>255</v>
      </c>
      <c r="Y153" s="10">
        <v>8600003878</v>
      </c>
      <c r="Z153" s="10" t="s">
        <v>159</v>
      </c>
      <c r="AA153" s="10">
        <v>3052093370</v>
      </c>
      <c r="AB153" s="10" t="s">
        <v>2147</v>
      </c>
      <c r="AC153" s="39"/>
      <c r="AD153" s="39"/>
      <c r="AE153" s="39"/>
      <c r="AF153" s="39"/>
    </row>
    <row r="154" spans="1:33" ht="15.75" hidden="1" customHeight="1" x14ac:dyDescent="0.25">
      <c r="A154" s="10" t="s">
        <v>77</v>
      </c>
      <c r="B154" s="10" t="s">
        <v>90</v>
      </c>
      <c r="C154" s="10"/>
      <c r="D154" s="10" t="s">
        <v>92</v>
      </c>
      <c r="E154" s="10">
        <v>8783692</v>
      </c>
      <c r="F154" s="25" t="s">
        <v>2150</v>
      </c>
      <c r="G154" s="10" t="s">
        <v>11</v>
      </c>
      <c r="H154" s="10"/>
      <c r="I154" s="13">
        <v>46189</v>
      </c>
      <c r="J154" s="10" t="s">
        <v>113</v>
      </c>
      <c r="K154" s="13">
        <v>28063</v>
      </c>
      <c r="L154" s="10">
        <f t="shared" ca="1" si="1"/>
        <v>49</v>
      </c>
      <c r="M154" s="10" t="s">
        <v>120</v>
      </c>
      <c r="N154" s="10" t="s">
        <v>236</v>
      </c>
      <c r="O154" s="12" t="s">
        <v>142</v>
      </c>
      <c r="P154" s="21" t="s">
        <v>128</v>
      </c>
      <c r="Q154" s="10" t="s">
        <v>133</v>
      </c>
      <c r="R154" s="10" t="s">
        <v>2154</v>
      </c>
      <c r="S154" s="10" t="s">
        <v>507</v>
      </c>
      <c r="T154" s="10" t="s">
        <v>2155</v>
      </c>
      <c r="U154" s="10">
        <v>3116970077</v>
      </c>
      <c r="V154" s="10" t="s">
        <v>2157</v>
      </c>
      <c r="W154" s="10" t="s">
        <v>471</v>
      </c>
      <c r="X154" s="10" t="s">
        <v>288</v>
      </c>
      <c r="Y154" s="10">
        <v>3116970177</v>
      </c>
      <c r="Z154" s="10" t="s">
        <v>377</v>
      </c>
      <c r="AA154" s="10" t="s">
        <v>2160</v>
      </c>
      <c r="AB154" s="10" t="s">
        <v>2160</v>
      </c>
      <c r="AC154" s="39"/>
      <c r="AD154" s="39"/>
      <c r="AE154" s="39"/>
      <c r="AF154" s="39"/>
    </row>
    <row r="155" spans="1:33" ht="15.75" hidden="1" customHeight="1" x14ac:dyDescent="0.25">
      <c r="A155" s="10" t="s">
        <v>77</v>
      </c>
      <c r="B155" s="10" t="s">
        <v>90</v>
      </c>
      <c r="C155" s="10"/>
      <c r="D155" s="10" t="s">
        <v>92</v>
      </c>
      <c r="E155" s="10">
        <v>1002134228</v>
      </c>
      <c r="F155" s="25" t="s">
        <v>2161</v>
      </c>
      <c r="G155" s="10" t="s">
        <v>11</v>
      </c>
      <c r="H155" s="10"/>
      <c r="I155" s="13">
        <v>46189</v>
      </c>
      <c r="J155" s="10" t="s">
        <v>113</v>
      </c>
      <c r="K155" s="13">
        <v>37446</v>
      </c>
      <c r="L155" s="10">
        <f t="shared" ca="1" si="1"/>
        <v>24</v>
      </c>
      <c r="M155" s="10" t="s">
        <v>120</v>
      </c>
      <c r="N155" s="10" t="s">
        <v>236</v>
      </c>
      <c r="O155" s="12" t="s">
        <v>142</v>
      </c>
      <c r="P155" s="21" t="s">
        <v>128</v>
      </c>
      <c r="Q155" s="10" t="s">
        <v>133</v>
      </c>
      <c r="R155" s="10" t="s">
        <v>2167</v>
      </c>
      <c r="S155" s="10" t="s">
        <v>151</v>
      </c>
      <c r="T155" s="10" t="s">
        <v>2169</v>
      </c>
      <c r="U155" s="10">
        <v>3046016197</v>
      </c>
      <c r="V155" s="10" t="s">
        <v>2170</v>
      </c>
      <c r="W155" s="10" t="s">
        <v>155</v>
      </c>
      <c r="X155" s="10" t="s">
        <v>1997</v>
      </c>
      <c r="Y155" s="10">
        <v>3046016197</v>
      </c>
      <c r="Z155" s="10" t="s">
        <v>377</v>
      </c>
      <c r="AA155" s="10">
        <v>3015950163</v>
      </c>
      <c r="AB155" s="10" t="s">
        <v>2172</v>
      </c>
      <c r="AC155" s="39"/>
      <c r="AD155" s="39"/>
      <c r="AE155" s="39"/>
      <c r="AF155" s="39"/>
    </row>
    <row r="156" spans="1:33" ht="15.75" customHeight="1" x14ac:dyDescent="0.25">
      <c r="A156" s="10" t="s">
        <v>77</v>
      </c>
      <c r="B156" s="10" t="s">
        <v>90</v>
      </c>
      <c r="C156" s="10"/>
      <c r="D156" s="10" t="s">
        <v>92</v>
      </c>
      <c r="E156" s="10">
        <v>72247014</v>
      </c>
      <c r="F156" s="25" t="s">
        <v>2173</v>
      </c>
      <c r="G156" s="10" t="s">
        <v>26</v>
      </c>
      <c r="H156" s="10"/>
      <c r="I156" s="13">
        <v>46190</v>
      </c>
      <c r="J156" s="10" t="s">
        <v>113</v>
      </c>
      <c r="K156" s="13">
        <v>29232</v>
      </c>
      <c r="L156" s="10">
        <f t="shared" ca="1" si="1"/>
        <v>46</v>
      </c>
      <c r="M156" s="10" t="s">
        <v>120</v>
      </c>
      <c r="N156" s="10" t="s">
        <v>122</v>
      </c>
      <c r="O156" s="12" t="s">
        <v>124</v>
      </c>
      <c r="P156" s="21" t="s">
        <v>128</v>
      </c>
      <c r="Q156" s="10" t="s">
        <v>133</v>
      </c>
      <c r="R156" s="10" t="s">
        <v>2175</v>
      </c>
      <c r="S156" s="10" t="s">
        <v>801</v>
      </c>
      <c r="T156" s="10" t="s">
        <v>1718</v>
      </c>
      <c r="U156" s="10">
        <v>3106313701</v>
      </c>
      <c r="V156" s="10" t="s">
        <v>2176</v>
      </c>
      <c r="W156" s="10" t="s">
        <v>539</v>
      </c>
      <c r="X156" s="10" t="s">
        <v>539</v>
      </c>
      <c r="Y156" s="10">
        <v>550027000171481</v>
      </c>
      <c r="Z156" s="10" t="s">
        <v>377</v>
      </c>
      <c r="AA156" s="10">
        <v>3137515294</v>
      </c>
      <c r="AB156" s="10" t="s">
        <v>2180</v>
      </c>
      <c r="AC156" s="39"/>
      <c r="AD156" s="39"/>
      <c r="AE156" s="39"/>
      <c r="AF156" s="39"/>
    </row>
    <row r="157" spans="1:33" ht="15.75" hidden="1" customHeight="1" x14ac:dyDescent="0.25">
      <c r="A157" s="10" t="s">
        <v>77</v>
      </c>
      <c r="B157" s="10" t="s">
        <v>90</v>
      </c>
      <c r="C157" s="10"/>
      <c r="D157" s="10" t="s">
        <v>92</v>
      </c>
      <c r="E157" s="10">
        <v>1079913445</v>
      </c>
      <c r="F157" s="25" t="s">
        <v>2181</v>
      </c>
      <c r="G157" s="10" t="s">
        <v>32</v>
      </c>
      <c r="H157" s="10"/>
      <c r="I157" s="13">
        <v>46190</v>
      </c>
      <c r="J157" s="10" t="s">
        <v>113</v>
      </c>
      <c r="K157" s="13">
        <v>32162</v>
      </c>
      <c r="L157" s="10">
        <f t="shared" ca="1" si="1"/>
        <v>38</v>
      </c>
      <c r="M157" s="10" t="s">
        <v>120</v>
      </c>
      <c r="N157" s="10" t="s">
        <v>122</v>
      </c>
      <c r="O157" s="12" t="s">
        <v>142</v>
      </c>
      <c r="P157" s="21" t="s">
        <v>128</v>
      </c>
      <c r="Q157" s="10" t="s">
        <v>133</v>
      </c>
      <c r="R157" s="10" t="s">
        <v>2184</v>
      </c>
      <c r="S157" s="10" t="s">
        <v>801</v>
      </c>
      <c r="T157" s="10" t="s">
        <v>2185</v>
      </c>
      <c r="U157" s="10">
        <v>3023145295</v>
      </c>
      <c r="V157" s="10" t="s">
        <v>2187</v>
      </c>
      <c r="W157" s="10" t="s">
        <v>1543</v>
      </c>
      <c r="X157" s="10" t="s">
        <v>1997</v>
      </c>
      <c r="Y157" s="10">
        <v>3023145295</v>
      </c>
      <c r="Z157" s="10" t="s">
        <v>293</v>
      </c>
      <c r="AA157" s="10">
        <v>3206539962</v>
      </c>
      <c r="AB157" s="10" t="s">
        <v>2188</v>
      </c>
      <c r="AC157" s="39"/>
      <c r="AD157" s="39"/>
      <c r="AE157" s="39"/>
      <c r="AF157" s="39"/>
    </row>
    <row r="158" spans="1:33" ht="15.75" hidden="1" customHeight="1" x14ac:dyDescent="0.25">
      <c r="A158" s="10" t="s">
        <v>77</v>
      </c>
      <c r="B158" s="10" t="s">
        <v>90</v>
      </c>
      <c r="C158" s="10" t="s">
        <v>175</v>
      </c>
      <c r="D158" s="10" t="s">
        <v>92</v>
      </c>
      <c r="E158" s="10">
        <v>1192780264</v>
      </c>
      <c r="F158" s="25" t="s">
        <v>1926</v>
      </c>
      <c r="G158" s="10" t="s">
        <v>302</v>
      </c>
      <c r="H158" s="10" t="s">
        <v>1928</v>
      </c>
      <c r="I158" s="13">
        <v>46191</v>
      </c>
      <c r="J158" s="10" t="s">
        <v>113</v>
      </c>
      <c r="K158" s="13">
        <v>36129</v>
      </c>
      <c r="L158" s="10">
        <f t="shared" ca="1" si="1"/>
        <v>27</v>
      </c>
      <c r="M158" s="10" t="s">
        <v>120</v>
      </c>
      <c r="N158" s="10" t="s">
        <v>122</v>
      </c>
      <c r="O158" s="10" t="s">
        <v>142</v>
      </c>
      <c r="P158" s="21" t="s">
        <v>128</v>
      </c>
      <c r="Q158" s="10" t="s">
        <v>133</v>
      </c>
      <c r="R158" s="10" t="s">
        <v>1931</v>
      </c>
      <c r="S158" s="10" t="s">
        <v>151</v>
      </c>
      <c r="T158" s="10" t="s">
        <v>1932</v>
      </c>
      <c r="U158" s="10">
        <v>3014301754</v>
      </c>
      <c r="V158" s="10" t="s">
        <v>1933</v>
      </c>
      <c r="W158" s="10" t="s">
        <v>155</v>
      </c>
      <c r="X158" s="10" t="s">
        <v>170</v>
      </c>
      <c r="Y158" s="28" t="s">
        <v>2197</v>
      </c>
      <c r="Z158" s="10" t="s">
        <v>293</v>
      </c>
      <c r="AA158" s="12">
        <v>3045961241</v>
      </c>
      <c r="AB158" s="12" t="s">
        <v>1962</v>
      </c>
    </row>
    <row r="159" spans="1:33" ht="15.75" hidden="1" customHeight="1" x14ac:dyDescent="0.25">
      <c r="A159" s="42" t="s">
        <v>77</v>
      </c>
      <c r="B159" s="42" t="s">
        <v>90</v>
      </c>
      <c r="C159" s="42" t="s">
        <v>91</v>
      </c>
      <c r="D159" s="42" t="s">
        <v>92</v>
      </c>
      <c r="E159" s="95">
        <v>1140906237</v>
      </c>
      <c r="F159" s="23" t="s">
        <v>2202</v>
      </c>
      <c r="G159" s="10" t="s">
        <v>302</v>
      </c>
      <c r="H159" s="5"/>
      <c r="I159" s="13">
        <v>46191</v>
      </c>
      <c r="J159" s="42" t="s">
        <v>113</v>
      </c>
      <c r="K159" s="16">
        <v>34062</v>
      </c>
      <c r="L159" s="42">
        <f t="shared" ca="1" si="1"/>
        <v>33</v>
      </c>
      <c r="M159" s="10" t="s">
        <v>120</v>
      </c>
      <c r="N159" s="10" t="s">
        <v>122</v>
      </c>
      <c r="O159" s="10" t="s">
        <v>142</v>
      </c>
      <c r="P159" s="21" t="s">
        <v>128</v>
      </c>
      <c r="Q159" s="10" t="s">
        <v>133</v>
      </c>
      <c r="R159" s="10" t="s">
        <v>2207</v>
      </c>
      <c r="S159" s="10" t="s">
        <v>136</v>
      </c>
      <c r="T159" s="86" t="s">
        <v>2208</v>
      </c>
      <c r="U159" s="12">
        <v>3136183477</v>
      </c>
      <c r="V159" s="86" t="s">
        <v>2209</v>
      </c>
      <c r="W159" s="10"/>
      <c r="X159" s="10"/>
      <c r="Y159" s="12">
        <v>3136183477</v>
      </c>
      <c r="Z159" s="10" t="s">
        <v>377</v>
      </c>
      <c r="AA159" s="10">
        <v>3243702367</v>
      </c>
      <c r="AB159" s="12" t="s">
        <v>1962</v>
      </c>
    </row>
    <row r="160" spans="1:33" ht="15.75" hidden="1" customHeight="1" x14ac:dyDescent="0.25">
      <c r="A160" s="10" t="s">
        <v>160</v>
      </c>
      <c r="B160" s="10" t="s">
        <v>90</v>
      </c>
      <c r="C160" s="10" t="s">
        <v>175</v>
      </c>
      <c r="D160" s="10" t="s">
        <v>92</v>
      </c>
      <c r="E160" s="10">
        <v>1052067122</v>
      </c>
      <c r="F160" s="23" t="s">
        <v>2216</v>
      </c>
      <c r="G160" s="10" t="s">
        <v>2217</v>
      </c>
      <c r="H160" s="10"/>
      <c r="I160" s="13">
        <v>46195</v>
      </c>
      <c r="J160" s="42" t="s">
        <v>113</v>
      </c>
      <c r="K160" s="13">
        <v>37916</v>
      </c>
      <c r="L160" s="42">
        <f t="shared" ca="1" si="1"/>
        <v>22</v>
      </c>
      <c r="M160" s="10" t="s">
        <v>120</v>
      </c>
      <c r="N160" s="42" t="s">
        <v>236</v>
      </c>
      <c r="O160" s="10" t="s">
        <v>142</v>
      </c>
      <c r="P160" s="21" t="s">
        <v>128</v>
      </c>
      <c r="Q160" s="10" t="s">
        <v>133</v>
      </c>
      <c r="R160" s="10" t="s">
        <v>2219</v>
      </c>
      <c r="S160" s="10" t="s">
        <v>151</v>
      </c>
      <c r="T160" s="10" t="s">
        <v>1296</v>
      </c>
      <c r="U160" s="10">
        <v>3022565823</v>
      </c>
      <c r="V160" s="10" t="s">
        <v>2220</v>
      </c>
      <c r="W160" s="10" t="s">
        <v>471</v>
      </c>
      <c r="X160" s="10"/>
      <c r="Y160" s="10">
        <v>3022565823</v>
      </c>
      <c r="Z160" s="10" t="s">
        <v>293</v>
      </c>
      <c r="AA160" s="10">
        <v>3017087751</v>
      </c>
      <c r="AB160" s="10" t="s">
        <v>2223</v>
      </c>
      <c r="AC160" s="76"/>
      <c r="AD160" s="76"/>
      <c r="AE160" s="76"/>
      <c r="AF160" s="76"/>
      <c r="AG160" s="76"/>
    </row>
    <row r="161" spans="1:33" ht="15.75" hidden="1" customHeight="1" x14ac:dyDescent="0.25">
      <c r="A161" s="42" t="s">
        <v>77</v>
      </c>
      <c r="B161" s="42" t="s">
        <v>90</v>
      </c>
      <c r="C161" s="42" t="s">
        <v>91</v>
      </c>
      <c r="D161" s="42" t="s">
        <v>92</v>
      </c>
      <c r="E161" s="95">
        <v>1001879420</v>
      </c>
      <c r="F161" s="23" t="s">
        <v>2225</v>
      </c>
      <c r="G161" s="10" t="s">
        <v>302</v>
      </c>
      <c r="H161" s="5"/>
      <c r="I161" s="13">
        <v>46196</v>
      </c>
      <c r="J161" s="42" t="s">
        <v>113</v>
      </c>
      <c r="K161" s="16">
        <v>36086</v>
      </c>
      <c r="L161" s="42">
        <f t="shared" ca="1" si="1"/>
        <v>27</v>
      </c>
      <c r="M161" s="10" t="s">
        <v>120</v>
      </c>
      <c r="N161" s="10" t="s">
        <v>122</v>
      </c>
      <c r="O161" s="10" t="s">
        <v>142</v>
      </c>
      <c r="P161" s="10" t="s">
        <v>128</v>
      </c>
      <c r="Q161" s="10" t="s">
        <v>133</v>
      </c>
      <c r="R161" s="10" t="s">
        <v>2227</v>
      </c>
      <c r="S161" s="10" t="s">
        <v>136</v>
      </c>
      <c r="T161" s="86" t="s">
        <v>1154</v>
      </c>
      <c r="U161" s="86">
        <v>3011395321</v>
      </c>
      <c r="V161" s="86" t="s">
        <v>2228</v>
      </c>
      <c r="W161" s="10" t="s">
        <v>155</v>
      </c>
      <c r="X161" s="10" t="s">
        <v>255</v>
      </c>
      <c r="Y161" s="86">
        <v>48156713069</v>
      </c>
      <c r="Z161" s="10" t="s">
        <v>159</v>
      </c>
      <c r="AA161" s="12">
        <v>3023361592</v>
      </c>
      <c r="AB161" s="12" t="s">
        <v>1962</v>
      </c>
    </row>
    <row r="162" spans="1:33" ht="15.75" hidden="1" customHeight="1" x14ac:dyDescent="0.25">
      <c r="A162" s="42" t="s">
        <v>77</v>
      </c>
      <c r="B162" s="42" t="s">
        <v>90</v>
      </c>
      <c r="C162" s="42" t="s">
        <v>91</v>
      </c>
      <c r="D162" s="42" t="s">
        <v>92</v>
      </c>
      <c r="E162" s="12">
        <v>1047215623</v>
      </c>
      <c r="F162" s="23" t="s">
        <v>621</v>
      </c>
      <c r="G162" s="10" t="s">
        <v>18</v>
      </c>
      <c r="H162" s="12" t="s">
        <v>728</v>
      </c>
      <c r="I162" s="13">
        <v>46196</v>
      </c>
      <c r="J162" s="12" t="s">
        <v>113</v>
      </c>
      <c r="K162" s="16">
        <v>36383</v>
      </c>
      <c r="L162" s="42">
        <f t="shared" ca="1" si="1"/>
        <v>27</v>
      </c>
      <c r="M162" s="12" t="s">
        <v>120</v>
      </c>
      <c r="N162" s="10" t="s">
        <v>122</v>
      </c>
      <c r="O162" s="42" t="s">
        <v>210</v>
      </c>
      <c r="P162" s="21" t="s">
        <v>128</v>
      </c>
      <c r="Q162" s="10" t="s">
        <v>133</v>
      </c>
      <c r="R162" s="95" t="s">
        <v>2238</v>
      </c>
      <c r="S162" s="10" t="s">
        <v>136</v>
      </c>
      <c r="T162" s="86" t="s">
        <v>2240</v>
      </c>
      <c r="U162" s="12">
        <v>3044043279</v>
      </c>
      <c r="V162" s="12" t="s">
        <v>734</v>
      </c>
      <c r="W162" s="10" t="s">
        <v>215</v>
      </c>
      <c r="X162" s="10" t="s">
        <v>170</v>
      </c>
      <c r="Y162" s="34" t="s">
        <v>735</v>
      </c>
      <c r="Z162" s="12" t="s">
        <v>159</v>
      </c>
      <c r="AA162" s="10">
        <v>3042140936</v>
      </c>
      <c r="AB162" s="10" t="s">
        <v>2243</v>
      </c>
    </row>
    <row r="163" spans="1:33" ht="15.75" hidden="1" customHeight="1" x14ac:dyDescent="0.25">
      <c r="A163" s="42" t="s">
        <v>77</v>
      </c>
      <c r="B163" s="42" t="s">
        <v>90</v>
      </c>
      <c r="C163" s="42" t="s">
        <v>175</v>
      </c>
      <c r="D163" s="42" t="s">
        <v>92</v>
      </c>
      <c r="E163" s="42">
        <v>9196036</v>
      </c>
      <c r="F163" s="25" t="s">
        <v>462</v>
      </c>
      <c r="G163" s="42" t="s">
        <v>302</v>
      </c>
      <c r="H163" s="42" t="s">
        <v>2113</v>
      </c>
      <c r="I163" s="89">
        <v>46198</v>
      </c>
      <c r="J163" s="42" t="s">
        <v>113</v>
      </c>
      <c r="K163" s="89">
        <v>27517</v>
      </c>
      <c r="L163" s="42">
        <f t="shared" ca="1" si="1"/>
        <v>51</v>
      </c>
      <c r="M163" s="42" t="s">
        <v>120</v>
      </c>
      <c r="N163" s="42" t="s">
        <v>122</v>
      </c>
      <c r="O163" s="42" t="s">
        <v>124</v>
      </c>
      <c r="P163" s="103" t="s">
        <v>128</v>
      </c>
      <c r="Q163" s="10" t="s">
        <v>133</v>
      </c>
      <c r="R163" s="42" t="s">
        <v>2118</v>
      </c>
      <c r="S163" s="42" t="s">
        <v>507</v>
      </c>
      <c r="T163" s="42" t="s">
        <v>2119</v>
      </c>
      <c r="U163" s="42">
        <v>3052826308</v>
      </c>
      <c r="V163" s="42" t="s">
        <v>2120</v>
      </c>
      <c r="W163" s="42" t="s">
        <v>155</v>
      </c>
      <c r="X163" s="42" t="s">
        <v>2121</v>
      </c>
      <c r="Y163" s="42">
        <v>8600003875</v>
      </c>
      <c r="Z163" s="42" t="s">
        <v>159</v>
      </c>
      <c r="AA163" s="89"/>
      <c r="AB163" s="42"/>
      <c r="AC163" s="80"/>
      <c r="AD163" s="80"/>
      <c r="AE163" s="80"/>
      <c r="AF163" s="80"/>
      <c r="AG163" s="80"/>
    </row>
    <row r="164" spans="1:33" ht="15.75" hidden="1" customHeight="1" x14ac:dyDescent="0.25">
      <c r="A164" s="10" t="s">
        <v>160</v>
      </c>
      <c r="B164" s="10" t="s">
        <v>90</v>
      </c>
      <c r="C164" s="10" t="s">
        <v>175</v>
      </c>
      <c r="D164" s="10" t="s">
        <v>92</v>
      </c>
      <c r="E164" s="10">
        <v>1129506490</v>
      </c>
      <c r="F164" s="23" t="s">
        <v>2255</v>
      </c>
      <c r="G164" s="10" t="s">
        <v>2256</v>
      </c>
      <c r="H164" s="10"/>
      <c r="I164" s="13">
        <v>46150</v>
      </c>
      <c r="J164" s="42" t="s">
        <v>113</v>
      </c>
      <c r="K164" s="13">
        <v>35626</v>
      </c>
      <c r="L164" s="42">
        <f t="shared" ca="1" si="1"/>
        <v>29</v>
      </c>
      <c r="M164" s="42" t="s">
        <v>120</v>
      </c>
      <c r="N164" s="42" t="s">
        <v>236</v>
      </c>
      <c r="O164" s="10" t="s">
        <v>124</v>
      </c>
      <c r="P164" s="103" t="s">
        <v>128</v>
      </c>
      <c r="Q164" s="10" t="s">
        <v>133</v>
      </c>
      <c r="R164" s="10" t="s">
        <v>2259</v>
      </c>
      <c r="S164" s="10" t="s">
        <v>151</v>
      </c>
      <c r="T164" s="10" t="s">
        <v>2260</v>
      </c>
      <c r="U164" s="10">
        <v>3176576213</v>
      </c>
      <c r="V164" s="10" t="s">
        <v>2262</v>
      </c>
      <c r="W164" s="10" t="s">
        <v>539</v>
      </c>
      <c r="X164" s="10" t="s">
        <v>170</v>
      </c>
      <c r="Y164" s="10">
        <v>488410927989</v>
      </c>
      <c r="Z164" s="10" t="s">
        <v>377</v>
      </c>
      <c r="AA164" s="10">
        <v>3176576213</v>
      </c>
      <c r="AB164" s="10" t="s">
        <v>2263</v>
      </c>
      <c r="AC164" s="76"/>
      <c r="AD164" s="76"/>
      <c r="AE164" s="76"/>
      <c r="AF164" s="76"/>
      <c r="AG164" s="76"/>
    </row>
    <row r="165" spans="1:33" ht="15.75" hidden="1" customHeight="1" x14ac:dyDescent="0.25">
      <c r="A165" s="10" t="s">
        <v>160</v>
      </c>
      <c r="B165" s="10" t="s">
        <v>90</v>
      </c>
      <c r="C165" s="10" t="s">
        <v>175</v>
      </c>
      <c r="D165" s="10" t="s">
        <v>92</v>
      </c>
      <c r="E165" s="10">
        <v>1143262373</v>
      </c>
      <c r="F165" s="23" t="s">
        <v>2265</v>
      </c>
      <c r="G165" s="10" t="s">
        <v>926</v>
      </c>
      <c r="H165" s="10"/>
      <c r="I165" s="89">
        <v>46198</v>
      </c>
      <c r="J165" s="42" t="s">
        <v>113</v>
      </c>
      <c r="K165" s="13">
        <v>35683</v>
      </c>
      <c r="L165" s="42">
        <f t="shared" ca="1" si="1"/>
        <v>28</v>
      </c>
      <c r="M165" s="42" t="s">
        <v>320</v>
      </c>
      <c r="N165" s="42" t="s">
        <v>236</v>
      </c>
      <c r="O165" s="10" t="s">
        <v>142</v>
      </c>
      <c r="P165" s="10" t="s">
        <v>128</v>
      </c>
      <c r="Q165" s="10" t="s">
        <v>133</v>
      </c>
      <c r="R165" s="10" t="s">
        <v>2268</v>
      </c>
      <c r="S165" s="10" t="s">
        <v>136</v>
      </c>
      <c r="T165" s="10" t="s">
        <v>241</v>
      </c>
      <c r="U165" s="10">
        <v>3116808823</v>
      </c>
      <c r="V165" s="10" t="s">
        <v>2269</v>
      </c>
      <c r="W165" s="10" t="s">
        <v>155</v>
      </c>
      <c r="X165" s="10" t="s">
        <v>170</v>
      </c>
      <c r="Y165" s="10">
        <v>3116808823</v>
      </c>
      <c r="Z165" s="10" t="s">
        <v>377</v>
      </c>
      <c r="AA165" s="10">
        <v>3235325219</v>
      </c>
      <c r="AB165" s="10" t="s">
        <v>1907</v>
      </c>
      <c r="AC165" s="76"/>
      <c r="AD165" s="76"/>
      <c r="AE165" s="76"/>
      <c r="AF165" s="76"/>
      <c r="AG165" s="76"/>
    </row>
    <row r="166" spans="1:33" ht="15.75" hidden="1" customHeight="1" x14ac:dyDescent="0.25">
      <c r="A166" s="10" t="s">
        <v>160</v>
      </c>
      <c r="B166" s="10" t="s">
        <v>90</v>
      </c>
      <c r="C166" s="10" t="s">
        <v>175</v>
      </c>
      <c r="D166" s="10" t="s">
        <v>92</v>
      </c>
      <c r="E166" s="10">
        <v>1143163039</v>
      </c>
      <c r="F166" s="23" t="s">
        <v>2273</v>
      </c>
      <c r="G166" s="10" t="s">
        <v>926</v>
      </c>
      <c r="H166" s="10"/>
      <c r="I166" s="89">
        <v>46198</v>
      </c>
      <c r="J166" s="42" t="s">
        <v>113</v>
      </c>
      <c r="K166" s="13">
        <v>35739</v>
      </c>
      <c r="L166" s="42">
        <f t="shared" ca="1" si="1"/>
        <v>28</v>
      </c>
      <c r="M166" s="42" t="s">
        <v>320</v>
      </c>
      <c r="N166" s="42" t="s">
        <v>236</v>
      </c>
      <c r="O166" s="10" t="s">
        <v>142</v>
      </c>
      <c r="P166" s="10" t="s">
        <v>128</v>
      </c>
      <c r="Q166" s="10" t="s">
        <v>133</v>
      </c>
      <c r="R166" s="10" t="s">
        <v>2277</v>
      </c>
      <c r="S166" s="10" t="s">
        <v>151</v>
      </c>
      <c r="T166" s="10" t="s">
        <v>2278</v>
      </c>
      <c r="U166" s="10">
        <v>3007012943</v>
      </c>
      <c r="V166" s="10" t="s">
        <v>2279</v>
      </c>
      <c r="W166" s="10" t="s">
        <v>155</v>
      </c>
      <c r="X166" s="10" t="s">
        <v>170</v>
      </c>
      <c r="Y166" s="10">
        <v>3007012943</v>
      </c>
      <c r="Z166" s="10" t="s">
        <v>377</v>
      </c>
      <c r="AA166" s="10">
        <v>3017808255</v>
      </c>
      <c r="AB166" s="10" t="s">
        <v>2280</v>
      </c>
      <c r="AC166" s="76"/>
      <c r="AD166" s="76"/>
      <c r="AE166" s="76"/>
      <c r="AF166" s="76"/>
      <c r="AG166" s="76"/>
    </row>
    <row r="167" spans="1:33" ht="15.75" hidden="1" customHeight="1" x14ac:dyDescent="0.25">
      <c r="A167" s="42" t="s">
        <v>77</v>
      </c>
      <c r="B167" s="42" t="s">
        <v>90</v>
      </c>
      <c r="C167" s="42" t="s">
        <v>175</v>
      </c>
      <c r="D167" s="42" t="s">
        <v>92</v>
      </c>
      <c r="E167" s="42">
        <v>1063481623</v>
      </c>
      <c r="F167" s="25" t="s">
        <v>2282</v>
      </c>
      <c r="G167" s="42" t="s">
        <v>302</v>
      </c>
      <c r="H167" s="42" t="s">
        <v>2113</v>
      </c>
      <c r="I167" s="89">
        <v>46199</v>
      </c>
      <c r="J167" s="42" t="s">
        <v>113</v>
      </c>
      <c r="K167" s="89">
        <v>31660</v>
      </c>
      <c r="L167" s="42">
        <f t="shared" ca="1" si="1"/>
        <v>39</v>
      </c>
      <c r="M167" s="42" t="s">
        <v>120</v>
      </c>
      <c r="N167" s="42" t="s">
        <v>122</v>
      </c>
      <c r="O167" s="42" t="s">
        <v>124</v>
      </c>
      <c r="P167" s="103" t="s">
        <v>128</v>
      </c>
      <c r="Q167" s="10" t="s">
        <v>133</v>
      </c>
      <c r="R167" s="42" t="s">
        <v>2287</v>
      </c>
      <c r="S167" s="42" t="s">
        <v>136</v>
      </c>
      <c r="T167" s="42" t="s">
        <v>1792</v>
      </c>
      <c r="U167" s="42">
        <v>3015179253</v>
      </c>
      <c r="V167" s="42" t="s">
        <v>2288</v>
      </c>
      <c r="W167" s="42" t="s">
        <v>471</v>
      </c>
      <c r="X167" s="42" t="s">
        <v>170</v>
      </c>
      <c r="Y167" s="42">
        <v>3015179253</v>
      </c>
      <c r="Z167" s="10" t="s">
        <v>293</v>
      </c>
      <c r="AA167" s="42">
        <v>3012759826</v>
      </c>
      <c r="AB167" s="42" t="s">
        <v>2289</v>
      </c>
      <c r="AC167" s="80"/>
      <c r="AD167" s="80"/>
      <c r="AE167" s="80"/>
      <c r="AF167" s="80"/>
      <c r="AG167" s="80"/>
    </row>
    <row r="168" spans="1:33" ht="15.75" hidden="1" customHeight="1" x14ac:dyDescent="0.25">
      <c r="A168" s="42" t="s">
        <v>77</v>
      </c>
      <c r="B168" s="42" t="s">
        <v>90</v>
      </c>
      <c r="C168" s="42" t="s">
        <v>175</v>
      </c>
      <c r="D168" s="42" t="s">
        <v>92</v>
      </c>
      <c r="E168" s="42">
        <v>1001854731</v>
      </c>
      <c r="F168" s="25" t="s">
        <v>2290</v>
      </c>
      <c r="G168" s="10" t="s">
        <v>11</v>
      </c>
      <c r="H168" s="42"/>
      <c r="I168" s="89">
        <v>46206</v>
      </c>
      <c r="J168" s="42" t="s">
        <v>113</v>
      </c>
      <c r="K168" s="89">
        <v>36755</v>
      </c>
      <c r="L168" s="42">
        <f t="shared" ca="1" si="1"/>
        <v>26</v>
      </c>
      <c r="M168" s="42" t="s">
        <v>120</v>
      </c>
      <c r="N168" s="42" t="s">
        <v>122</v>
      </c>
      <c r="O168" s="10" t="s">
        <v>142</v>
      </c>
      <c r="P168" s="10" t="s">
        <v>128</v>
      </c>
      <c r="Q168" s="10" t="s">
        <v>133</v>
      </c>
      <c r="R168" s="42" t="s">
        <v>2294</v>
      </c>
      <c r="S168" s="42" t="s">
        <v>136</v>
      </c>
      <c r="T168" s="42" t="s">
        <v>1873</v>
      </c>
      <c r="U168" s="42">
        <v>3009847478</v>
      </c>
      <c r="V168" s="42" t="s">
        <v>2295</v>
      </c>
      <c r="W168" s="42" t="s">
        <v>155</v>
      </c>
      <c r="X168" s="42" t="s">
        <v>1997</v>
      </c>
      <c r="Y168" s="42">
        <v>3009847478</v>
      </c>
      <c r="Z168" s="10" t="s">
        <v>293</v>
      </c>
      <c r="AA168" s="42">
        <v>3011174510</v>
      </c>
      <c r="AB168" s="42" t="s">
        <v>1907</v>
      </c>
      <c r="AC168" s="80"/>
      <c r="AD168" s="80"/>
      <c r="AE168" s="80"/>
      <c r="AF168" s="80"/>
      <c r="AG168" s="80"/>
    </row>
    <row r="169" spans="1:33" ht="15.75" hidden="1" customHeight="1" x14ac:dyDescent="0.25">
      <c r="A169" s="42" t="s">
        <v>77</v>
      </c>
      <c r="B169" s="42" t="s">
        <v>90</v>
      </c>
      <c r="C169" s="42" t="s">
        <v>175</v>
      </c>
      <c r="D169" s="42" t="s">
        <v>92</v>
      </c>
      <c r="E169" s="42">
        <v>1193416976</v>
      </c>
      <c r="F169" s="25" t="s">
        <v>2302</v>
      </c>
      <c r="G169" s="10" t="s">
        <v>11</v>
      </c>
      <c r="H169" s="42"/>
      <c r="I169" s="89">
        <v>46206</v>
      </c>
      <c r="J169" s="42" t="s">
        <v>113</v>
      </c>
      <c r="K169" s="89">
        <v>35673</v>
      </c>
      <c r="L169" s="42">
        <f t="shared" ca="1" si="1"/>
        <v>28</v>
      </c>
      <c r="M169" s="42" t="s">
        <v>120</v>
      </c>
      <c r="N169" s="42" t="s">
        <v>236</v>
      </c>
      <c r="O169" s="10" t="s">
        <v>142</v>
      </c>
      <c r="P169" s="10" t="s">
        <v>128</v>
      </c>
      <c r="Q169" s="10" t="s">
        <v>133</v>
      </c>
      <c r="R169" s="42" t="s">
        <v>2306</v>
      </c>
      <c r="S169" s="42" t="s">
        <v>136</v>
      </c>
      <c r="T169" s="42" t="s">
        <v>2307</v>
      </c>
      <c r="U169" s="42">
        <v>3243608886</v>
      </c>
      <c r="V169" s="42" t="s">
        <v>2308</v>
      </c>
      <c r="W169" s="42" t="s">
        <v>155</v>
      </c>
      <c r="X169" s="42" t="s">
        <v>539</v>
      </c>
      <c r="Y169" s="42">
        <v>3243608886</v>
      </c>
      <c r="Z169" s="10" t="s">
        <v>377</v>
      </c>
      <c r="AA169" s="42">
        <v>3042252747</v>
      </c>
      <c r="AB169" s="42" t="s">
        <v>1907</v>
      </c>
      <c r="AC169" s="80"/>
      <c r="AD169" s="80"/>
      <c r="AE169" s="80"/>
      <c r="AF169" s="80"/>
      <c r="AG169" s="80"/>
    </row>
    <row r="170" spans="1:33" ht="15.75" hidden="1" customHeight="1" x14ac:dyDescent="0.25">
      <c r="A170" s="42" t="s">
        <v>77</v>
      </c>
      <c r="B170" s="42" t="s">
        <v>90</v>
      </c>
      <c r="C170" s="42" t="s">
        <v>175</v>
      </c>
      <c r="D170" s="42" t="s">
        <v>92</v>
      </c>
      <c r="E170" s="42">
        <v>1045727693</v>
      </c>
      <c r="F170" s="25" t="s">
        <v>2312</v>
      </c>
      <c r="G170" s="10" t="s">
        <v>32</v>
      </c>
      <c r="H170" s="42"/>
      <c r="I170" s="89">
        <v>46207</v>
      </c>
      <c r="J170" s="42" t="s">
        <v>113</v>
      </c>
      <c r="K170" s="89">
        <v>34707</v>
      </c>
      <c r="L170" s="42">
        <f t="shared" ca="1" si="1"/>
        <v>31</v>
      </c>
      <c r="M170" s="42" t="s">
        <v>120</v>
      </c>
      <c r="N170" s="42" t="s">
        <v>122</v>
      </c>
      <c r="O170" s="10" t="s">
        <v>142</v>
      </c>
      <c r="P170" s="10" t="s">
        <v>128</v>
      </c>
      <c r="Q170" s="10" t="s">
        <v>133</v>
      </c>
      <c r="R170" s="42" t="s">
        <v>2313</v>
      </c>
      <c r="S170" s="42" t="s">
        <v>151</v>
      </c>
      <c r="T170" s="42" t="s">
        <v>2314</v>
      </c>
      <c r="U170" s="42">
        <v>3003211578</v>
      </c>
      <c r="V170" s="42" t="s">
        <v>2315</v>
      </c>
      <c r="W170" s="42" t="s">
        <v>539</v>
      </c>
      <c r="X170" s="42" t="s">
        <v>170</v>
      </c>
      <c r="Y170" s="42">
        <v>550488451718073</v>
      </c>
      <c r="Z170" s="10" t="s">
        <v>377</v>
      </c>
      <c r="AA170" s="42">
        <v>3114335362</v>
      </c>
      <c r="AB170" s="42" t="s">
        <v>1944</v>
      </c>
      <c r="AC170" s="80"/>
      <c r="AD170" s="80"/>
      <c r="AE170" s="80"/>
      <c r="AF170" s="80"/>
      <c r="AG170" s="80"/>
    </row>
    <row r="171" spans="1:33" ht="15.75" hidden="1" customHeight="1" x14ac:dyDescent="0.25">
      <c r="A171" s="42" t="s">
        <v>77</v>
      </c>
      <c r="B171" s="42" t="s">
        <v>90</v>
      </c>
      <c r="C171" s="42" t="s">
        <v>175</v>
      </c>
      <c r="D171" s="42" t="s">
        <v>92</v>
      </c>
      <c r="E171" s="42">
        <v>1042434747</v>
      </c>
      <c r="F171" s="25" t="s">
        <v>2319</v>
      </c>
      <c r="G171" s="10" t="s">
        <v>11</v>
      </c>
      <c r="H171" s="42"/>
      <c r="I171" s="89">
        <v>46209</v>
      </c>
      <c r="J171" s="42" t="s">
        <v>113</v>
      </c>
      <c r="K171" s="89">
        <v>33084</v>
      </c>
      <c r="L171" s="42">
        <f t="shared" ca="1" si="1"/>
        <v>36</v>
      </c>
      <c r="M171" s="42" t="s">
        <v>120</v>
      </c>
      <c r="N171" s="42" t="s">
        <v>122</v>
      </c>
      <c r="O171" s="10" t="s">
        <v>142</v>
      </c>
      <c r="P171" s="10" t="s">
        <v>128</v>
      </c>
      <c r="Q171" s="10" t="s">
        <v>133</v>
      </c>
      <c r="R171" s="42" t="s">
        <v>2321</v>
      </c>
      <c r="S171" s="42" t="s">
        <v>801</v>
      </c>
      <c r="T171" s="42" t="s">
        <v>152</v>
      </c>
      <c r="U171" s="42">
        <v>3014260220</v>
      </c>
      <c r="V171" s="42" t="s">
        <v>2322</v>
      </c>
      <c r="W171" s="42" t="s">
        <v>155</v>
      </c>
      <c r="X171" s="42" t="s">
        <v>1997</v>
      </c>
      <c r="Y171" s="42">
        <v>55400052432</v>
      </c>
      <c r="Z171" s="10" t="s">
        <v>159</v>
      </c>
      <c r="AA171" s="42" t="s">
        <v>2323</v>
      </c>
      <c r="AB171" s="42" t="s">
        <v>2324</v>
      </c>
      <c r="AC171" s="80"/>
      <c r="AD171" s="80"/>
      <c r="AE171" s="80"/>
      <c r="AF171" s="80"/>
      <c r="AG171" s="80"/>
    </row>
    <row r="172" spans="1:33" ht="15.75" hidden="1" customHeight="1" x14ac:dyDescent="0.25">
      <c r="A172" s="42" t="s">
        <v>77</v>
      </c>
      <c r="B172" s="42" t="s">
        <v>90</v>
      </c>
      <c r="C172" s="42" t="s">
        <v>175</v>
      </c>
      <c r="D172" s="42" t="s">
        <v>92</v>
      </c>
      <c r="E172" s="42">
        <v>53008919</v>
      </c>
      <c r="F172" s="25" t="s">
        <v>2328</v>
      </c>
      <c r="G172" s="10" t="s">
        <v>32</v>
      </c>
      <c r="H172" s="42"/>
      <c r="I172" s="89">
        <v>46217</v>
      </c>
      <c r="J172" s="42" t="s">
        <v>113</v>
      </c>
      <c r="K172" s="89">
        <v>30309</v>
      </c>
      <c r="L172" s="42">
        <f t="shared" ca="1" si="1"/>
        <v>43</v>
      </c>
      <c r="M172" s="42" t="s">
        <v>120</v>
      </c>
      <c r="N172" s="42" t="s">
        <v>236</v>
      </c>
      <c r="O172" s="10" t="s">
        <v>142</v>
      </c>
      <c r="P172" s="10" t="s">
        <v>128</v>
      </c>
      <c r="Q172" s="10" t="s">
        <v>133</v>
      </c>
      <c r="R172" s="42" t="s">
        <v>2329</v>
      </c>
      <c r="S172" s="42" t="s">
        <v>136</v>
      </c>
      <c r="T172" s="42" t="s">
        <v>2330</v>
      </c>
      <c r="U172" s="42">
        <v>3115297579</v>
      </c>
      <c r="V172" s="42" t="s">
        <v>2331</v>
      </c>
      <c r="W172" s="42" t="s">
        <v>155</v>
      </c>
      <c r="X172" s="42" t="s">
        <v>170</v>
      </c>
      <c r="Y172" s="42">
        <v>946078458</v>
      </c>
      <c r="Z172" s="10" t="s">
        <v>1146</v>
      </c>
      <c r="AA172" s="42">
        <v>3137362367</v>
      </c>
      <c r="AB172" s="42" t="s">
        <v>2324</v>
      </c>
      <c r="AC172" s="80"/>
      <c r="AD172" s="80"/>
      <c r="AE172" s="80"/>
      <c r="AF172" s="80"/>
      <c r="AG172" s="80"/>
    </row>
    <row r="173" spans="1:33" ht="15.75" hidden="1" customHeight="1" x14ac:dyDescent="0.25">
      <c r="A173" s="42" t="s">
        <v>77</v>
      </c>
      <c r="B173" s="42" t="s">
        <v>90</v>
      </c>
      <c r="C173" s="42" t="s">
        <v>175</v>
      </c>
      <c r="D173" s="42" t="s">
        <v>92</v>
      </c>
      <c r="E173" s="42">
        <v>8736133</v>
      </c>
      <c r="F173" s="25" t="s">
        <v>2333</v>
      </c>
      <c r="G173" s="10" t="s">
        <v>32</v>
      </c>
      <c r="H173" s="42"/>
      <c r="I173" s="89">
        <v>46218</v>
      </c>
      <c r="J173" s="42" t="s">
        <v>113</v>
      </c>
      <c r="K173" s="89">
        <v>23318</v>
      </c>
      <c r="L173" s="42">
        <f t="shared" ca="1" si="1"/>
        <v>62</v>
      </c>
      <c r="M173" s="42" t="s">
        <v>120</v>
      </c>
      <c r="N173" s="42" t="s">
        <v>277</v>
      </c>
      <c r="O173" s="10" t="s">
        <v>142</v>
      </c>
      <c r="P173" s="10" t="s">
        <v>128</v>
      </c>
      <c r="Q173" s="10" t="s">
        <v>133</v>
      </c>
      <c r="R173" s="42" t="s">
        <v>2338</v>
      </c>
      <c r="S173" s="42" t="s">
        <v>801</v>
      </c>
      <c r="T173" s="42" t="s">
        <v>1718</v>
      </c>
      <c r="U173" s="42">
        <v>3013128586</v>
      </c>
      <c r="V173" s="42" t="s">
        <v>2339</v>
      </c>
      <c r="W173" s="42" t="s">
        <v>1312</v>
      </c>
      <c r="X173" s="42" t="s">
        <v>170</v>
      </c>
      <c r="Y173" s="42">
        <v>3013128586</v>
      </c>
      <c r="Z173" s="10" t="s">
        <v>377</v>
      </c>
      <c r="AA173" s="42">
        <v>3015953942</v>
      </c>
      <c r="AB173" s="42" t="s">
        <v>1962</v>
      </c>
      <c r="AC173" s="80"/>
      <c r="AD173" s="80"/>
      <c r="AE173" s="80"/>
      <c r="AF173" s="80"/>
      <c r="AG173" s="80"/>
    </row>
    <row r="174" spans="1:33" ht="15.75" hidden="1" customHeight="1" x14ac:dyDescent="0.25">
      <c r="A174" s="42" t="s">
        <v>77</v>
      </c>
      <c r="B174" s="42" t="s">
        <v>90</v>
      </c>
      <c r="C174" s="42" t="s">
        <v>175</v>
      </c>
      <c r="D174" s="42" t="s">
        <v>92</v>
      </c>
      <c r="E174" s="42">
        <v>72139149</v>
      </c>
      <c r="F174" s="25" t="s">
        <v>2343</v>
      </c>
      <c r="G174" s="10" t="s">
        <v>32</v>
      </c>
      <c r="H174" s="42"/>
      <c r="I174" s="89">
        <v>46218</v>
      </c>
      <c r="J174" s="42" t="s">
        <v>113</v>
      </c>
      <c r="K174" s="89">
        <v>23912</v>
      </c>
      <c r="L174" s="42">
        <f t="shared" ca="1" si="1"/>
        <v>61</v>
      </c>
      <c r="M174" s="42" t="s">
        <v>120</v>
      </c>
      <c r="N174" s="42" t="s">
        <v>2346</v>
      </c>
      <c r="O174" s="10" t="s">
        <v>124</v>
      </c>
      <c r="P174" s="103" t="s">
        <v>128</v>
      </c>
      <c r="Q174" s="10" t="s">
        <v>133</v>
      </c>
      <c r="R174" s="42" t="s">
        <v>2347</v>
      </c>
      <c r="S174" s="42" t="s">
        <v>136</v>
      </c>
      <c r="T174" s="42" t="s">
        <v>2348</v>
      </c>
      <c r="U174" s="42">
        <v>3008173282</v>
      </c>
      <c r="V174" s="42" t="s">
        <v>2349</v>
      </c>
      <c r="W174" s="42" t="s">
        <v>1543</v>
      </c>
      <c r="X174" s="42" t="s">
        <v>1266</v>
      </c>
      <c r="Y174" s="42">
        <v>3008173282</v>
      </c>
      <c r="Z174" s="10" t="s">
        <v>377</v>
      </c>
      <c r="AA174" s="42">
        <v>3245716348</v>
      </c>
      <c r="AB174" s="42" t="s">
        <v>1907</v>
      </c>
      <c r="AC174" s="80"/>
      <c r="AD174" s="80"/>
      <c r="AE174" s="80"/>
      <c r="AF174" s="80"/>
      <c r="AG174" s="80"/>
    </row>
    <row r="175" spans="1:33" ht="15.75" customHeight="1" x14ac:dyDescent="0.25">
      <c r="A175" s="10" t="s">
        <v>77</v>
      </c>
      <c r="B175" s="42" t="s">
        <v>90</v>
      </c>
      <c r="C175" s="10" t="s">
        <v>91</v>
      </c>
      <c r="D175" s="10" t="s">
        <v>92</v>
      </c>
      <c r="E175" s="10">
        <v>1048204889</v>
      </c>
      <c r="F175" s="51" t="s">
        <v>663</v>
      </c>
      <c r="G175" s="12" t="s">
        <v>26</v>
      </c>
      <c r="H175" s="10" t="s">
        <v>981</v>
      </c>
      <c r="I175" s="13">
        <v>46224</v>
      </c>
      <c r="J175" s="10" t="s">
        <v>113</v>
      </c>
      <c r="K175" s="13">
        <v>31555</v>
      </c>
      <c r="L175" s="10">
        <f t="shared" ca="1" si="1"/>
        <v>40</v>
      </c>
      <c r="M175" s="10" t="s">
        <v>120</v>
      </c>
      <c r="N175" s="10" t="s">
        <v>122</v>
      </c>
      <c r="O175" s="105" t="s">
        <v>142</v>
      </c>
      <c r="P175" s="42" t="s">
        <v>128</v>
      </c>
      <c r="Q175" s="102" t="s">
        <v>133</v>
      </c>
      <c r="R175" s="10" t="s">
        <v>1686</v>
      </c>
      <c r="S175" s="10" t="s">
        <v>136</v>
      </c>
      <c r="T175" s="10" t="s">
        <v>1687</v>
      </c>
      <c r="U175" s="10">
        <v>3014546507</v>
      </c>
      <c r="V175" s="10" t="s">
        <v>1688</v>
      </c>
      <c r="W175" s="10" t="s">
        <v>203</v>
      </c>
      <c r="X175" s="10" t="s">
        <v>966</v>
      </c>
      <c r="Y175" s="10">
        <v>8600005245</v>
      </c>
      <c r="Z175" s="10" t="s">
        <v>159</v>
      </c>
      <c r="AA175" s="10">
        <v>3006952783</v>
      </c>
      <c r="AB175" s="10" t="s">
        <v>1962</v>
      </c>
    </row>
    <row r="176" spans="1:33" ht="15.75" customHeight="1" x14ac:dyDescent="0.25">
      <c r="A176" s="10" t="s">
        <v>77</v>
      </c>
      <c r="B176" s="42" t="s">
        <v>90</v>
      </c>
      <c r="C176" s="10" t="s">
        <v>91</v>
      </c>
      <c r="D176" s="10" t="s">
        <v>92</v>
      </c>
      <c r="E176" s="10">
        <v>1140881614</v>
      </c>
      <c r="F176" s="51" t="s">
        <v>2357</v>
      </c>
      <c r="G176" s="12" t="s">
        <v>26</v>
      </c>
      <c r="H176" s="10"/>
      <c r="I176" s="13">
        <v>46225</v>
      </c>
      <c r="J176" s="10" t="s">
        <v>113</v>
      </c>
      <c r="K176" s="13">
        <v>35014</v>
      </c>
      <c r="L176" s="10">
        <f t="shared" ca="1" si="1"/>
        <v>30</v>
      </c>
      <c r="M176" s="10" t="s">
        <v>120</v>
      </c>
      <c r="N176" s="10" t="s">
        <v>122</v>
      </c>
      <c r="O176" s="105" t="s">
        <v>142</v>
      </c>
      <c r="P176" s="42" t="s">
        <v>128</v>
      </c>
      <c r="Q176" s="102" t="s">
        <v>133</v>
      </c>
      <c r="R176" s="10" t="s">
        <v>2361</v>
      </c>
      <c r="S176" s="10" t="s">
        <v>136</v>
      </c>
      <c r="T176" s="10" t="s">
        <v>1574</v>
      </c>
      <c r="U176" s="10">
        <v>3008772083</v>
      </c>
      <c r="V176" s="10" t="s">
        <v>2363</v>
      </c>
      <c r="W176" s="10" t="s">
        <v>539</v>
      </c>
      <c r="X176" s="10" t="s">
        <v>966</v>
      </c>
      <c r="Y176" s="10">
        <v>3008772083</v>
      </c>
      <c r="Z176" s="10" t="s">
        <v>377</v>
      </c>
      <c r="AA176" s="10">
        <v>3145762246</v>
      </c>
      <c r="AB176" s="10" t="s">
        <v>1962</v>
      </c>
    </row>
    <row r="177" spans="1:33" ht="15.75" customHeight="1" x14ac:dyDescent="0.25">
      <c r="A177" s="10" t="s">
        <v>77</v>
      </c>
      <c r="B177" s="42" t="s">
        <v>90</v>
      </c>
      <c r="C177" s="10" t="s">
        <v>91</v>
      </c>
      <c r="D177" s="10" t="s">
        <v>92</v>
      </c>
      <c r="E177" s="10">
        <v>72430145</v>
      </c>
      <c r="F177" s="51" t="s">
        <v>2364</v>
      </c>
      <c r="G177" s="12" t="s">
        <v>26</v>
      </c>
      <c r="H177" s="10"/>
      <c r="I177" s="13">
        <v>46225</v>
      </c>
      <c r="J177" s="10" t="s">
        <v>113</v>
      </c>
      <c r="K177" s="13">
        <v>29831</v>
      </c>
      <c r="L177" s="10">
        <f t="shared" ca="1" si="1"/>
        <v>44</v>
      </c>
      <c r="M177" s="10" t="s">
        <v>120</v>
      </c>
      <c r="N177" s="10" t="s">
        <v>122</v>
      </c>
      <c r="O177" s="105" t="s">
        <v>142</v>
      </c>
      <c r="P177" s="42" t="s">
        <v>128</v>
      </c>
      <c r="Q177" s="102" t="s">
        <v>133</v>
      </c>
      <c r="R177" s="10" t="s">
        <v>2368</v>
      </c>
      <c r="S177" s="10" t="s">
        <v>136</v>
      </c>
      <c r="T177" s="10" t="s">
        <v>1574</v>
      </c>
      <c r="U177" s="10">
        <v>3003260629</v>
      </c>
      <c r="V177" s="10" t="s">
        <v>2370</v>
      </c>
      <c r="W177" s="10" t="s">
        <v>539</v>
      </c>
      <c r="X177" s="10" t="s">
        <v>966</v>
      </c>
      <c r="Y177" s="10">
        <v>3003260629</v>
      </c>
      <c r="Z177" s="10" t="s">
        <v>377</v>
      </c>
      <c r="AA177" s="10">
        <v>3215257516</v>
      </c>
      <c r="AB177" s="10" t="s">
        <v>1962</v>
      </c>
    </row>
    <row r="178" spans="1:33" ht="15.75" customHeight="1" x14ac:dyDescent="0.25">
      <c r="A178" s="10" t="s">
        <v>77</v>
      </c>
      <c r="B178" s="42" t="s">
        <v>90</v>
      </c>
      <c r="C178" s="10" t="s">
        <v>91</v>
      </c>
      <c r="D178" s="10" t="s">
        <v>92</v>
      </c>
      <c r="E178" s="10">
        <v>8803009</v>
      </c>
      <c r="F178" s="51" t="s">
        <v>2373</v>
      </c>
      <c r="G178" s="12" t="s">
        <v>26</v>
      </c>
      <c r="H178" s="10"/>
      <c r="I178" s="13">
        <v>46232</v>
      </c>
      <c r="J178" s="10" t="s">
        <v>113</v>
      </c>
      <c r="K178" s="13">
        <v>30881</v>
      </c>
      <c r="L178" s="10">
        <f t="shared" ca="1" si="1"/>
        <v>42</v>
      </c>
      <c r="M178" s="10" t="s">
        <v>120</v>
      </c>
      <c r="N178" s="10" t="s">
        <v>122</v>
      </c>
      <c r="O178" s="10" t="s">
        <v>124</v>
      </c>
      <c r="P178" s="103" t="s">
        <v>128</v>
      </c>
      <c r="Q178" s="10" t="s">
        <v>133</v>
      </c>
      <c r="R178" s="10" t="s">
        <v>2376</v>
      </c>
      <c r="S178" s="10" t="s">
        <v>136</v>
      </c>
      <c r="T178" s="10" t="s">
        <v>2379</v>
      </c>
      <c r="U178" s="10">
        <v>3011682192</v>
      </c>
      <c r="V178" s="10" t="s">
        <v>2381</v>
      </c>
      <c r="W178" s="10" t="s">
        <v>203</v>
      </c>
      <c r="X178" s="10" t="s">
        <v>170</v>
      </c>
      <c r="Y178" s="10">
        <v>33002416531</v>
      </c>
      <c r="Z178" s="10" t="s">
        <v>159</v>
      </c>
      <c r="AA178" s="10">
        <v>3009819705</v>
      </c>
      <c r="AB178" s="10" t="s">
        <v>1907</v>
      </c>
    </row>
    <row r="179" spans="1:33" ht="15.75" hidden="1" customHeight="1" x14ac:dyDescent="0.25">
      <c r="A179" s="10" t="s">
        <v>160</v>
      </c>
      <c r="B179" s="42" t="s">
        <v>90</v>
      </c>
      <c r="C179" s="10" t="s">
        <v>175</v>
      </c>
      <c r="D179" s="10" t="s">
        <v>92</v>
      </c>
      <c r="E179" s="10">
        <v>1003645930</v>
      </c>
      <c r="F179" s="51" t="s">
        <v>2386</v>
      </c>
      <c r="G179" s="12" t="s">
        <v>404</v>
      </c>
      <c r="H179" s="10"/>
      <c r="I179" s="13">
        <v>46232</v>
      </c>
      <c r="J179" s="10" t="s">
        <v>113</v>
      </c>
      <c r="K179" s="13">
        <v>37501</v>
      </c>
      <c r="L179" s="10">
        <f t="shared" ca="1" si="1"/>
        <v>23</v>
      </c>
      <c r="M179" s="10" t="s">
        <v>320</v>
      </c>
      <c r="N179" s="10" t="s">
        <v>236</v>
      </c>
      <c r="O179" s="105" t="s">
        <v>210</v>
      </c>
      <c r="P179" s="42" t="s">
        <v>128</v>
      </c>
      <c r="Q179" s="102" t="s">
        <v>133</v>
      </c>
      <c r="R179" s="10" t="s">
        <v>2391</v>
      </c>
      <c r="S179" s="10" t="s">
        <v>151</v>
      </c>
      <c r="T179" s="10" t="s">
        <v>2392</v>
      </c>
      <c r="U179" s="10">
        <v>3004221664</v>
      </c>
      <c r="V179" s="10" t="s">
        <v>2393</v>
      </c>
      <c r="W179" s="10" t="s">
        <v>471</v>
      </c>
      <c r="X179" s="10" t="s">
        <v>170</v>
      </c>
      <c r="Y179" s="10">
        <v>48111543111</v>
      </c>
      <c r="Z179" s="10" t="s">
        <v>159</v>
      </c>
      <c r="AA179" s="10">
        <v>3003982558</v>
      </c>
      <c r="AB179" s="10" t="s">
        <v>1907</v>
      </c>
    </row>
    <row r="180" spans="1:33" ht="15.75" hidden="1" customHeight="1" x14ac:dyDescent="0.25">
      <c r="A180" s="10" t="s">
        <v>77</v>
      </c>
      <c r="B180" s="42" t="s">
        <v>90</v>
      </c>
      <c r="C180" s="10" t="s">
        <v>91</v>
      </c>
      <c r="D180" s="10" t="s">
        <v>92</v>
      </c>
      <c r="E180" s="10">
        <v>72335793</v>
      </c>
      <c r="F180" s="51" t="s">
        <v>2396</v>
      </c>
      <c r="G180" s="10" t="s">
        <v>32</v>
      </c>
      <c r="H180" s="10"/>
      <c r="I180" s="13">
        <v>46237</v>
      </c>
      <c r="J180" s="10" t="s">
        <v>113</v>
      </c>
      <c r="K180" s="13">
        <v>31059</v>
      </c>
      <c r="L180" s="10">
        <f t="shared" ca="1" si="1"/>
        <v>41</v>
      </c>
      <c r="M180" s="10" t="s">
        <v>120</v>
      </c>
      <c r="N180" s="10" t="s">
        <v>122</v>
      </c>
      <c r="O180" s="105" t="s">
        <v>142</v>
      </c>
      <c r="P180" s="42" t="s">
        <v>128</v>
      </c>
      <c r="Q180" s="102" t="s">
        <v>133</v>
      </c>
      <c r="R180" s="10" t="s">
        <v>2398</v>
      </c>
      <c r="S180" s="10" t="s">
        <v>136</v>
      </c>
      <c r="T180" s="10" t="s">
        <v>1574</v>
      </c>
      <c r="U180" s="10">
        <v>3244512978</v>
      </c>
      <c r="V180" s="10" t="s">
        <v>2399</v>
      </c>
      <c r="W180" s="10" t="s">
        <v>539</v>
      </c>
      <c r="X180" s="10" t="s">
        <v>170</v>
      </c>
      <c r="Y180" s="10">
        <v>3244512978</v>
      </c>
      <c r="Z180" s="10" t="s">
        <v>293</v>
      </c>
      <c r="AA180" s="10">
        <v>3015116970</v>
      </c>
      <c r="AB180" s="10" t="s">
        <v>1907</v>
      </c>
    </row>
    <row r="181" spans="1:33" ht="15.75" hidden="1" customHeight="1" x14ac:dyDescent="0.25">
      <c r="A181" s="10" t="s">
        <v>77</v>
      </c>
      <c r="B181" s="42" t="s">
        <v>90</v>
      </c>
      <c r="C181" s="10" t="s">
        <v>91</v>
      </c>
      <c r="D181" s="10" t="s">
        <v>92</v>
      </c>
      <c r="E181" s="10">
        <v>1143162178</v>
      </c>
      <c r="F181" s="51" t="s">
        <v>2400</v>
      </c>
      <c r="G181" s="10" t="s">
        <v>32</v>
      </c>
      <c r="H181" s="10"/>
      <c r="I181" s="13">
        <v>46237</v>
      </c>
      <c r="J181" s="10" t="s">
        <v>113</v>
      </c>
      <c r="K181" s="13">
        <v>35626</v>
      </c>
      <c r="L181" s="10">
        <f t="shared" ca="1" si="1"/>
        <v>29</v>
      </c>
      <c r="M181" s="10" t="s">
        <v>120</v>
      </c>
      <c r="N181" s="10" t="s">
        <v>122</v>
      </c>
      <c r="O181" s="105" t="s">
        <v>142</v>
      </c>
      <c r="P181" s="42" t="s">
        <v>128</v>
      </c>
      <c r="Q181" s="102" t="s">
        <v>133</v>
      </c>
      <c r="R181" s="10" t="s">
        <v>2402</v>
      </c>
      <c r="S181" s="10" t="s">
        <v>151</v>
      </c>
      <c r="T181" s="10" t="s">
        <v>548</v>
      </c>
      <c r="U181" s="10">
        <v>3042442584</v>
      </c>
      <c r="V181" s="10" t="s">
        <v>2403</v>
      </c>
      <c r="W181" s="10" t="s">
        <v>1312</v>
      </c>
      <c r="X181" s="10" t="s">
        <v>966</v>
      </c>
      <c r="Y181" s="10">
        <v>3042442584</v>
      </c>
      <c r="Z181" s="10" t="s">
        <v>293</v>
      </c>
      <c r="AA181" s="10">
        <v>3013172524</v>
      </c>
      <c r="AB181" s="10" t="s">
        <v>1944</v>
      </c>
    </row>
    <row r="182" spans="1:33" ht="15.75" hidden="1" customHeight="1" x14ac:dyDescent="0.25">
      <c r="A182" s="42" t="s">
        <v>77</v>
      </c>
      <c r="B182" s="42" t="s">
        <v>90</v>
      </c>
      <c r="C182" s="42" t="s">
        <v>175</v>
      </c>
      <c r="D182" s="42" t="s">
        <v>92</v>
      </c>
      <c r="E182" s="42">
        <v>72241595</v>
      </c>
      <c r="F182" s="25" t="s">
        <v>2409</v>
      </c>
      <c r="G182" s="42" t="s">
        <v>302</v>
      </c>
      <c r="H182" s="42" t="s">
        <v>2113</v>
      </c>
      <c r="I182" s="89">
        <v>46242</v>
      </c>
      <c r="J182" s="42" t="s">
        <v>113</v>
      </c>
      <c r="K182" s="89">
        <v>28755</v>
      </c>
      <c r="L182" s="42">
        <f t="shared" ca="1" si="1"/>
        <v>47</v>
      </c>
      <c r="M182" s="42" t="s">
        <v>120</v>
      </c>
      <c r="N182" s="42" t="s">
        <v>236</v>
      </c>
      <c r="O182" s="42" t="s">
        <v>124</v>
      </c>
      <c r="P182" s="103" t="s">
        <v>128</v>
      </c>
      <c r="Q182" s="10" t="s">
        <v>133</v>
      </c>
      <c r="R182" s="42" t="s">
        <v>2412</v>
      </c>
      <c r="S182" s="42" t="s">
        <v>136</v>
      </c>
      <c r="T182" s="42" t="s">
        <v>2413</v>
      </c>
      <c r="U182" s="42">
        <v>3245000976</v>
      </c>
      <c r="V182" s="42" t="s">
        <v>2414</v>
      </c>
      <c r="W182" s="42" t="s">
        <v>155</v>
      </c>
      <c r="X182" s="42" t="s">
        <v>288</v>
      </c>
      <c r="Y182" s="42">
        <v>3245000976</v>
      </c>
      <c r="Z182" s="42" t="s">
        <v>293</v>
      </c>
      <c r="AA182" s="42">
        <v>3046536129</v>
      </c>
      <c r="AB182" s="42" t="s">
        <v>2417</v>
      </c>
      <c r="AC182" s="80"/>
      <c r="AD182" s="80"/>
      <c r="AE182" s="80"/>
      <c r="AF182" s="80"/>
      <c r="AG182" s="80"/>
    </row>
    <row r="183" spans="1:33" ht="15.75" customHeight="1" x14ac:dyDescent="0.25">
      <c r="A183" s="10" t="s">
        <v>77</v>
      </c>
      <c r="B183" s="42" t="s">
        <v>90</v>
      </c>
      <c r="C183" s="10" t="s">
        <v>91</v>
      </c>
      <c r="D183" s="10" t="s">
        <v>92</v>
      </c>
      <c r="E183" s="10">
        <v>1129502361</v>
      </c>
      <c r="F183" s="51" t="s">
        <v>2422</v>
      </c>
      <c r="G183" s="12" t="s">
        <v>26</v>
      </c>
      <c r="H183" s="10"/>
      <c r="I183" s="13">
        <v>46245</v>
      </c>
      <c r="J183" s="10" t="s">
        <v>113</v>
      </c>
      <c r="K183" s="13">
        <v>31993</v>
      </c>
      <c r="L183" s="10">
        <f t="shared" ca="1" si="1"/>
        <v>39</v>
      </c>
      <c r="M183" s="10" t="s">
        <v>120</v>
      </c>
      <c r="N183" s="10" t="s">
        <v>236</v>
      </c>
      <c r="O183" s="10" t="s">
        <v>142</v>
      </c>
      <c r="P183" s="103" t="s">
        <v>128</v>
      </c>
      <c r="Q183" s="10" t="s">
        <v>133</v>
      </c>
      <c r="R183" s="10" t="s">
        <v>2423</v>
      </c>
      <c r="S183" s="10" t="s">
        <v>136</v>
      </c>
      <c r="T183" s="10" t="s">
        <v>2424</v>
      </c>
      <c r="U183" s="10">
        <v>3114056742</v>
      </c>
      <c r="V183" s="10" t="s">
        <v>2425</v>
      </c>
      <c r="W183" s="10" t="s">
        <v>1543</v>
      </c>
      <c r="X183" s="10" t="s">
        <v>170</v>
      </c>
      <c r="Y183" s="10">
        <v>3114056742</v>
      </c>
      <c r="Z183" s="10" t="s">
        <v>293</v>
      </c>
      <c r="AA183" s="10">
        <v>3002940098</v>
      </c>
      <c r="AB183" s="10" t="s">
        <v>2428</v>
      </c>
    </row>
    <row r="184" spans="1:33" ht="15.75" hidden="1" customHeight="1" x14ac:dyDescent="0.25">
      <c r="A184" s="42" t="s">
        <v>77</v>
      </c>
      <c r="B184" s="42" t="s">
        <v>90</v>
      </c>
      <c r="C184" s="42" t="s">
        <v>175</v>
      </c>
      <c r="D184" s="42" t="s">
        <v>92</v>
      </c>
      <c r="E184" s="42">
        <v>1010079479</v>
      </c>
      <c r="F184" s="25" t="s">
        <v>2430</v>
      </c>
      <c r="G184" s="42" t="s">
        <v>302</v>
      </c>
      <c r="H184" s="42" t="s">
        <v>2113</v>
      </c>
      <c r="I184" s="89">
        <v>46246</v>
      </c>
      <c r="J184" s="42" t="s">
        <v>113</v>
      </c>
      <c r="K184" s="89">
        <v>33204</v>
      </c>
      <c r="L184" s="42">
        <f t="shared" ca="1" si="1"/>
        <v>35</v>
      </c>
      <c r="M184" s="42" t="s">
        <v>120</v>
      </c>
      <c r="N184" s="42" t="s">
        <v>236</v>
      </c>
      <c r="O184" s="42" t="s">
        <v>142</v>
      </c>
      <c r="P184" s="103" t="s">
        <v>128</v>
      </c>
      <c r="Q184" s="10" t="s">
        <v>133</v>
      </c>
      <c r="R184" s="42" t="s">
        <v>2434</v>
      </c>
      <c r="S184" s="42" t="s">
        <v>136</v>
      </c>
      <c r="T184" s="42" t="s">
        <v>1939</v>
      </c>
      <c r="U184" s="42">
        <v>3225580167</v>
      </c>
      <c r="V184" s="42" t="s">
        <v>2435</v>
      </c>
      <c r="W184" s="42" t="s">
        <v>155</v>
      </c>
      <c r="X184" s="42" t="s">
        <v>966</v>
      </c>
      <c r="Y184" s="42">
        <v>3225580167</v>
      </c>
      <c r="Z184" s="42" t="s">
        <v>293</v>
      </c>
      <c r="AA184" s="42">
        <v>3006328411</v>
      </c>
      <c r="AB184" s="42" t="s">
        <v>2436</v>
      </c>
      <c r="AC184" s="80"/>
      <c r="AD184" s="80"/>
      <c r="AE184" s="80"/>
      <c r="AF184" s="80"/>
      <c r="AG184" s="80"/>
    </row>
    <row r="185" spans="1:33" ht="15.75" hidden="1" customHeight="1" x14ac:dyDescent="0.25">
      <c r="A185" s="42" t="s">
        <v>77</v>
      </c>
      <c r="B185" s="42" t="s">
        <v>90</v>
      </c>
      <c r="C185" s="42" t="s">
        <v>175</v>
      </c>
      <c r="D185" s="42" t="s">
        <v>92</v>
      </c>
      <c r="E185" s="42">
        <v>1143446312</v>
      </c>
      <c r="F185" s="25" t="s">
        <v>2439</v>
      </c>
      <c r="G185" s="42" t="s">
        <v>302</v>
      </c>
      <c r="H185" s="42" t="s">
        <v>2113</v>
      </c>
      <c r="I185" s="89">
        <v>46246</v>
      </c>
      <c r="J185" s="42" t="s">
        <v>113</v>
      </c>
      <c r="K185" s="89">
        <v>34395</v>
      </c>
      <c r="L185" s="42">
        <f t="shared" ca="1" si="1"/>
        <v>32</v>
      </c>
      <c r="M185" s="42" t="s">
        <v>120</v>
      </c>
      <c r="N185" s="42" t="s">
        <v>236</v>
      </c>
      <c r="O185" s="42" t="s">
        <v>142</v>
      </c>
      <c r="P185" s="103" t="s">
        <v>128</v>
      </c>
      <c r="Q185" s="10" t="s">
        <v>133</v>
      </c>
      <c r="R185" s="42" t="s">
        <v>2444</v>
      </c>
      <c r="S185" s="42" t="s">
        <v>136</v>
      </c>
      <c r="T185" s="42" t="s">
        <v>2445</v>
      </c>
      <c r="U185" s="42">
        <v>3013444001</v>
      </c>
      <c r="V185" s="42" t="s">
        <v>2446</v>
      </c>
      <c r="W185" s="42" t="s">
        <v>155</v>
      </c>
      <c r="X185" s="42" t="s">
        <v>966</v>
      </c>
      <c r="Y185" s="42" t="s">
        <v>2447</v>
      </c>
      <c r="Z185" s="42" t="s">
        <v>420</v>
      </c>
      <c r="AA185" s="42">
        <v>3006073766</v>
      </c>
      <c r="AB185" s="42" t="s">
        <v>2448</v>
      </c>
      <c r="AC185" s="80"/>
      <c r="AD185" s="80"/>
      <c r="AE185" s="80"/>
      <c r="AF185" s="80"/>
      <c r="AG185" s="80"/>
    </row>
    <row r="186" spans="1:33" ht="15.75" hidden="1" customHeight="1" x14ac:dyDescent="0.25">
      <c r="A186" s="10" t="s">
        <v>160</v>
      </c>
      <c r="B186" s="42" t="s">
        <v>90</v>
      </c>
      <c r="C186" s="10" t="s">
        <v>175</v>
      </c>
      <c r="D186" s="10" t="s">
        <v>92</v>
      </c>
      <c r="E186" s="10">
        <v>1043131134</v>
      </c>
      <c r="F186" s="51" t="s">
        <v>2449</v>
      </c>
      <c r="G186" s="12" t="s">
        <v>404</v>
      </c>
      <c r="H186" s="10"/>
      <c r="I186" s="13">
        <v>46247</v>
      </c>
      <c r="J186" s="10" t="s">
        <v>113</v>
      </c>
      <c r="K186" s="13">
        <v>38418</v>
      </c>
      <c r="L186" s="10">
        <f t="shared" ca="1" si="1"/>
        <v>21</v>
      </c>
      <c r="M186" s="10" t="s">
        <v>320</v>
      </c>
      <c r="N186" s="10" t="s">
        <v>236</v>
      </c>
      <c r="O186" s="105" t="s">
        <v>210</v>
      </c>
      <c r="P186" s="103" t="s">
        <v>128</v>
      </c>
      <c r="Q186" s="10" t="s">
        <v>133</v>
      </c>
      <c r="R186" s="10" t="s">
        <v>2450</v>
      </c>
      <c r="S186" s="10" t="s">
        <v>801</v>
      </c>
      <c r="T186" s="10" t="s">
        <v>2451</v>
      </c>
      <c r="U186" s="10">
        <v>3104870061</v>
      </c>
      <c r="V186" s="10" t="s">
        <v>2452</v>
      </c>
      <c r="W186" s="10" t="s">
        <v>831</v>
      </c>
      <c r="X186" s="10" t="s">
        <v>288</v>
      </c>
      <c r="Y186" s="10">
        <v>3104870061</v>
      </c>
      <c r="Z186" s="42" t="s">
        <v>420</v>
      </c>
      <c r="AA186" s="10">
        <v>3122164882</v>
      </c>
      <c r="AB186" s="10" t="s">
        <v>1907</v>
      </c>
    </row>
    <row r="187" spans="1:33" ht="15.75" hidden="1" customHeight="1" x14ac:dyDescent="0.25">
      <c r="A187" s="10" t="s">
        <v>160</v>
      </c>
      <c r="B187" s="42" t="s">
        <v>90</v>
      </c>
      <c r="C187" s="10" t="s">
        <v>175</v>
      </c>
      <c r="D187" s="10" t="s">
        <v>92</v>
      </c>
      <c r="E187" s="10">
        <v>1103098029</v>
      </c>
      <c r="F187" s="51" t="s">
        <v>2457</v>
      </c>
      <c r="G187" s="12" t="s">
        <v>2458</v>
      </c>
      <c r="H187" s="10"/>
      <c r="I187" s="13">
        <v>46247</v>
      </c>
      <c r="J187" s="10" t="s">
        <v>113</v>
      </c>
      <c r="K187" s="13">
        <v>38488</v>
      </c>
      <c r="L187" s="10">
        <f t="shared" ca="1" si="1"/>
        <v>21</v>
      </c>
      <c r="M187" s="10" t="s">
        <v>320</v>
      </c>
      <c r="N187" s="10" t="s">
        <v>236</v>
      </c>
      <c r="O187" s="105" t="s">
        <v>124</v>
      </c>
      <c r="P187" s="103" t="s">
        <v>128</v>
      </c>
      <c r="Q187" s="10" t="s">
        <v>133</v>
      </c>
      <c r="R187" s="10" t="s">
        <v>2460</v>
      </c>
      <c r="S187" s="10" t="s">
        <v>801</v>
      </c>
      <c r="T187" s="10" t="s">
        <v>2462</v>
      </c>
      <c r="U187" s="10">
        <v>3126846422</v>
      </c>
      <c r="V187" s="10" t="s">
        <v>2464</v>
      </c>
      <c r="W187" s="10" t="s">
        <v>155</v>
      </c>
      <c r="X187" s="10" t="s">
        <v>1997</v>
      </c>
      <c r="Y187" s="10">
        <v>11117336109</v>
      </c>
      <c r="Z187" s="42" t="s">
        <v>935</v>
      </c>
      <c r="AA187" s="10">
        <v>3245212892</v>
      </c>
      <c r="AB187" s="10" t="s">
        <v>2465</v>
      </c>
    </row>
  </sheetData>
  <autoFilter ref="A1:AG187" xr:uid="{00000000-0001-0000-0200-000000000000}">
    <filterColumn colId="6">
      <filters>
        <filter val="CONDUCTOR"/>
        <filter val="CONDUCTOR RR"/>
      </filters>
    </filterColumn>
  </autoFilter>
  <customSheetViews>
    <customSheetView guid="{5E1AD4ED-D29A-4AD6-A92D-54F092D61BA4}" filter="1" showAutoFilter="1">
      <pageMargins left="0.7" right="0.7" top="0.75" bottom="0.75" header="0.3" footer="0.3"/>
      <autoFilter ref="A1:AA109" xr:uid="{9F32E26E-77B2-43B0-9320-40FA62A9937B}"/>
    </customSheetView>
    <customSheetView guid="{309776D3-C190-4335-B619-BE34F91EE46E}" filter="1" showAutoFilter="1">
      <pageMargins left="0.7" right="0.7" top="0.75" bottom="0.75" header="0.3" footer="0.3"/>
      <autoFilter ref="A1:AA96" xr:uid="{7DADC42C-194F-4048-B33F-3400D7FDB705}"/>
    </customSheetView>
    <customSheetView guid="{DE964616-F8E9-43FE-A175-9A47931A6B88}" filter="1" showAutoFilter="1">
      <pageMargins left="0.7" right="0.7" top="0.75" bottom="0.75" header="0.3" footer="0.3"/>
      <autoFilter ref="A1:AB138" xr:uid="{0DF97595-AFF6-47E5-8093-5CC529A6F0FA}"/>
    </customSheetView>
    <customSheetView guid="{DFB6F231-9A14-431F-9B10-6FF6D4042E99}" filter="1" showAutoFilter="1">
      <pageMargins left="0.7" right="0.7" top="0.75" bottom="0.75" header="0.3" footer="0.3"/>
      <autoFilter ref="A1:AA96" xr:uid="{52C65849-A005-4525-8859-956894C5EC74}"/>
    </customSheetView>
    <customSheetView guid="{943CA75D-23A6-478B-A63E-7BEEFB925C5C}" filter="1" showAutoFilter="1">
      <pageMargins left="0.7" right="0.7" top="0.75" bottom="0.75" header="0.3" footer="0.3"/>
      <autoFilter ref="A1:AA106" xr:uid="{06FFE995-908F-467F-AF83-89875F542844}">
        <filterColumn colId="10">
          <filters>
            <filter val="03/11/1988"/>
            <filter val="06/08/1988"/>
            <filter val="10/01/1980"/>
            <filter val="12/05/1974"/>
            <filter val="14/01/1996"/>
            <filter val="14/09/1985"/>
            <filter val="15/12/1981"/>
            <filter val="15/12/2002"/>
            <filter val="17/03/1976"/>
            <filter val="28/10/2002"/>
            <filter val="29/08/1999"/>
            <filter val="29/11/1987"/>
          </filters>
        </filterColumn>
      </autoFilter>
    </customSheetView>
    <customSheetView guid="{DD18CB90-56C4-4A3E-8CB0-0983BBA2F96E}" filter="1" showAutoFilter="1">
      <pageMargins left="0.7" right="0.7" top="0.75" bottom="0.75" header="0.3" footer="0.3"/>
      <autoFilter ref="A1:AA109" xr:uid="{79660778-4737-4E9F-9DA1-A20204998B4D}">
        <filterColumn colId="6">
          <filters>
            <filter val="AUXILIAR DE REPARTO"/>
            <filter val="MOVILIZADOR"/>
            <filter val="SUPERVISOR DE DISTRIBUCION"/>
          </filters>
        </filterColumn>
      </autoFilter>
    </customSheetView>
    <customSheetView guid="{A2E0186D-424E-4895-9072-D0EDDD8CCE69}" filter="1" showAutoFilter="1">
      <pageMargins left="0.7" right="0.7" top="0.75" bottom="0.75" header="0.3" footer="0.3"/>
      <autoFilter ref="A1:Z92" xr:uid="{81BB4968-B3A5-4681-B998-22BCCFC05F40}">
        <filterColumn colId="10">
          <filters>
            <filter val="03/10/1986"/>
            <filter val="03/11/1988"/>
            <filter val="04/10/1998"/>
            <filter val="05/10/1969"/>
            <filter val="05/12/1996"/>
            <filter val="06/08/1988"/>
            <filter val="09/07/1979"/>
            <filter val="09/10/2000"/>
            <filter val="10/01/1980"/>
            <filter val="12/05/1974"/>
            <filter val="14/01/1996"/>
            <filter val="14/09/1985"/>
            <filter val="17/03/1976"/>
            <filter val="18/10/1984"/>
            <filter val="18/10/1992"/>
            <filter val="19/10/1976"/>
            <filter val="21/10/1991"/>
            <filter val="23/10/1968"/>
            <filter val="24/10/1995"/>
            <filter val="28/01/1976"/>
            <filter val="29/11/1987"/>
            <filter val="30/10/2003"/>
            <filter val="31/10/1980"/>
            <filter val="7/10/1997"/>
          </filters>
        </filterColumn>
      </autoFilter>
    </customSheetView>
    <customSheetView guid="{88CCD7E2-8245-4EE6-995E-70F3AB064EEE}" filter="1" showAutoFilter="1">
      <pageMargins left="0.7" right="0.7" top="0.75" bottom="0.75" header="0.3" footer="0.3"/>
      <autoFilter ref="A1:AA109" xr:uid="{D92125AC-94E3-4A29-8787-D9B558F65C7A}"/>
    </customSheetView>
  </customSheetViews>
  <dataValidations count="7">
    <dataValidation type="list" allowBlank="1" showErrorMessage="1" sqref="N175:N181 N183 N186:N187" xr:uid="{00000000-0002-0000-0200-000000000000}">
      <formula1>"Casado(a),Desconocido,Separado(a),Soltero(a),Unión Libre"</formula1>
    </dataValidation>
    <dataValidation type="list" allowBlank="1" showErrorMessage="1" sqref="P2:P187" xr:uid="{00000000-0002-0000-0200-000001000000}">
      <formula1>"POSITIVO,#¡REF!,NEGATIVO"</formula1>
    </dataValidation>
    <dataValidation type="list" allowBlank="1" showErrorMessage="1" sqref="N2:N174 N182 N184:N185" xr:uid="{00000000-0002-0000-0200-000002000000}">
      <formula1>"Casado(a),Desconocido,Separado(a),Soltero(a),Unión Libre,Viudo "</formula1>
    </dataValidation>
    <dataValidation type="list" allowBlank="1" showErrorMessage="1" sqref="A2:A187" xr:uid="{00000000-0002-0000-0200-000003000000}">
      <formula1>"ADMINISTRATIVO,OPERATIVO"</formula1>
    </dataValidation>
    <dataValidation type="list" allowBlank="1" showErrorMessage="1" sqref="B2:B187" xr:uid="{00000000-0002-0000-0200-000004000000}">
      <formula1>"ACTIVO,INACTIVO"</formula1>
    </dataValidation>
    <dataValidation type="list" allowBlank="1" showErrorMessage="1" sqref="M2:M187" xr:uid="{00000000-0002-0000-0200-000005000000}">
      <formula1>"Femenino,Masculino,Otros"</formula1>
    </dataValidation>
    <dataValidation type="list" allowBlank="1" showErrorMessage="1" sqref="C2:C187" xr:uid="{00000000-0002-0000-0200-000006000000}">
      <formula1>"CON GEOVICTORIA,SIN GEOVICTORIA"</formula1>
    </dataValidation>
  </dataValidations>
  <hyperlinks>
    <hyperlink ref="V7" r:id="rId1" xr:uid="{00000000-0004-0000-0200-000000000000}"/>
    <hyperlink ref="V23" r:id="rId2" xr:uid="{00000000-0004-0000-0200-000001000000}"/>
    <hyperlink ref="V31" r:id="rId3" xr:uid="{00000000-0004-0000-0200-000002000000}"/>
    <hyperlink ref="V32" r:id="rId4" xr:uid="{00000000-0004-0000-0200-000003000000}"/>
    <hyperlink ref="V52" r:id="rId5" xr:uid="{00000000-0004-0000-0200-000004000000}"/>
    <hyperlink ref="V63" r:id="rId6" xr:uid="{00000000-0004-0000-0200-000005000000}"/>
    <hyperlink ref="V75" r:id="rId7" xr:uid="{00000000-0004-0000-0200-000006000000}"/>
    <hyperlink ref="V106" r:id="rId8" xr:uid="{00000000-0004-0000-0200-00000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5394"/>
    <outlinePr summaryBelow="0" summaryRight="0"/>
  </sheetPr>
  <dimension ref="A1:AG5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16.5703125" customWidth="1"/>
    <col min="2" max="2" width="10.7109375" customWidth="1"/>
    <col min="3" max="3" width="17.42578125" customWidth="1"/>
    <col min="4" max="4" width="25" customWidth="1"/>
    <col min="5" max="5" width="19.7109375" customWidth="1"/>
    <col min="6" max="6" width="39.42578125" customWidth="1"/>
    <col min="7" max="7" width="29.85546875" customWidth="1"/>
    <col min="8" max="8" width="11.7109375" hidden="1" customWidth="1"/>
    <col min="9" max="9" width="10.42578125" customWidth="1"/>
    <col min="10" max="10" width="13.42578125" customWidth="1"/>
    <col min="11" max="11" width="18.7109375" hidden="1" customWidth="1"/>
    <col min="12" max="12" width="7.85546875" hidden="1" customWidth="1"/>
    <col min="13" max="13" width="11.140625" hidden="1" customWidth="1"/>
    <col min="14" max="14" width="13.7109375" hidden="1" customWidth="1"/>
    <col min="15" max="15" width="12.5703125" hidden="1"/>
    <col min="16" max="16" width="11.28515625" hidden="1" customWidth="1"/>
    <col min="17" max="17" width="12.5703125" hidden="1"/>
    <col min="18" max="18" width="24" hidden="1" customWidth="1"/>
    <col min="19" max="19" width="12.5703125" hidden="1"/>
    <col min="20" max="20" width="15.7109375" hidden="1" customWidth="1"/>
    <col min="21" max="21" width="20.42578125" hidden="1" customWidth="1"/>
    <col min="22" max="22" width="24" hidden="1" customWidth="1"/>
    <col min="23" max="23" width="19" hidden="1" customWidth="1"/>
    <col min="24" max="24" width="18.42578125" hidden="1" customWidth="1"/>
    <col min="25" max="25" width="12.5703125" hidden="1"/>
    <col min="26" max="26" width="25.140625" hidden="1" customWidth="1"/>
    <col min="27" max="27" width="22.5703125" customWidth="1"/>
    <col min="28" max="28" width="20" customWidth="1"/>
    <col min="29" max="33" width="25.42578125" customWidth="1"/>
  </cols>
  <sheetData>
    <row r="1" spans="1:33" ht="27.75" customHeight="1" x14ac:dyDescent="0.2">
      <c r="A1" s="6" t="s">
        <v>1</v>
      </c>
      <c r="B1" s="6" t="s">
        <v>7</v>
      </c>
      <c r="C1" s="6" t="s">
        <v>8</v>
      </c>
      <c r="D1" s="6" t="s">
        <v>9</v>
      </c>
      <c r="E1" s="6" t="s">
        <v>0</v>
      </c>
      <c r="F1" s="6" t="s">
        <v>12</v>
      </c>
      <c r="G1" s="6" t="s">
        <v>14</v>
      </c>
      <c r="H1" s="6" t="s">
        <v>15</v>
      </c>
      <c r="I1" s="6" t="s">
        <v>16</v>
      </c>
      <c r="J1" s="6" t="s">
        <v>22</v>
      </c>
      <c r="K1" s="6" t="s">
        <v>25</v>
      </c>
      <c r="L1" s="6" t="s">
        <v>29</v>
      </c>
      <c r="M1" s="6" t="s">
        <v>31</v>
      </c>
      <c r="N1" s="6" t="s">
        <v>34</v>
      </c>
      <c r="O1" s="6" t="s">
        <v>35</v>
      </c>
      <c r="P1" s="6" t="s">
        <v>37</v>
      </c>
      <c r="Q1" s="6" t="s">
        <v>39</v>
      </c>
      <c r="R1" s="6" t="s">
        <v>41</v>
      </c>
      <c r="S1" s="6" t="s">
        <v>43</v>
      </c>
      <c r="T1" s="6" t="s">
        <v>50</v>
      </c>
      <c r="U1" s="6" t="s">
        <v>45</v>
      </c>
      <c r="V1" s="6" t="s">
        <v>51</v>
      </c>
      <c r="W1" s="6" t="s">
        <v>55</v>
      </c>
      <c r="X1" s="6" t="s">
        <v>56</v>
      </c>
      <c r="Y1" s="6" t="s">
        <v>60</v>
      </c>
      <c r="Z1" s="6" t="s">
        <v>66</v>
      </c>
      <c r="AA1" s="6" t="s">
        <v>63</v>
      </c>
      <c r="AB1" s="6" t="s">
        <v>65</v>
      </c>
      <c r="AC1" s="9"/>
      <c r="AD1" s="9"/>
      <c r="AE1" s="9"/>
      <c r="AF1" s="9"/>
      <c r="AG1" s="9"/>
    </row>
    <row r="2" spans="1:33" ht="15.75" customHeight="1" x14ac:dyDescent="0.25">
      <c r="A2" s="10" t="s">
        <v>77</v>
      </c>
      <c r="B2" s="10" t="s">
        <v>86</v>
      </c>
      <c r="C2" s="10" t="s">
        <v>91</v>
      </c>
      <c r="D2" s="10" t="s">
        <v>92</v>
      </c>
      <c r="E2" s="12">
        <v>1140843710</v>
      </c>
      <c r="F2" s="15" t="s">
        <v>103</v>
      </c>
      <c r="G2" s="12" t="s">
        <v>108</v>
      </c>
      <c r="H2" s="17" t="s">
        <v>111</v>
      </c>
      <c r="I2" s="13">
        <v>45831</v>
      </c>
      <c r="J2" s="12" t="s">
        <v>113</v>
      </c>
      <c r="K2" s="16">
        <v>33510</v>
      </c>
      <c r="L2" s="10">
        <v>34</v>
      </c>
      <c r="M2" s="10" t="s">
        <v>120</v>
      </c>
      <c r="N2" s="10" t="s">
        <v>122</v>
      </c>
      <c r="O2" s="12" t="s">
        <v>124</v>
      </c>
      <c r="P2" s="18" t="s">
        <v>128</v>
      </c>
      <c r="Q2" s="10" t="s">
        <v>133</v>
      </c>
      <c r="R2" s="12" t="s">
        <v>135</v>
      </c>
      <c r="S2" s="12" t="s">
        <v>136</v>
      </c>
      <c r="T2" s="5"/>
      <c r="U2" s="5"/>
      <c r="V2" s="12" t="s">
        <v>141</v>
      </c>
      <c r="W2" s="5"/>
      <c r="X2" s="12" t="s">
        <v>72</v>
      </c>
      <c r="Y2" s="20"/>
      <c r="Z2" s="20"/>
      <c r="AA2" s="16">
        <v>45839</v>
      </c>
      <c r="AB2" s="10" t="s">
        <v>148</v>
      </c>
    </row>
    <row r="3" spans="1:33" ht="15.75" customHeight="1" x14ac:dyDescent="0.25">
      <c r="A3" s="10" t="s">
        <v>160</v>
      </c>
      <c r="B3" s="10" t="s">
        <v>86</v>
      </c>
      <c r="C3" s="10" t="s">
        <v>91</v>
      </c>
      <c r="D3" s="10" t="s">
        <v>92</v>
      </c>
      <c r="E3" s="12">
        <v>1143134748</v>
      </c>
      <c r="F3" s="23" t="s">
        <v>167</v>
      </c>
      <c r="G3" s="10" t="s">
        <v>171</v>
      </c>
      <c r="H3" s="10" t="s">
        <v>173</v>
      </c>
      <c r="I3" s="13">
        <v>45831</v>
      </c>
      <c r="J3" s="10" t="s">
        <v>113</v>
      </c>
      <c r="K3" s="5"/>
      <c r="L3" s="5"/>
      <c r="M3" s="10" t="s">
        <v>120</v>
      </c>
      <c r="N3" s="10" t="s">
        <v>122</v>
      </c>
      <c r="O3" s="12" t="s">
        <v>142</v>
      </c>
      <c r="P3" s="18" t="s">
        <v>128</v>
      </c>
      <c r="Q3" s="10" t="s">
        <v>133</v>
      </c>
      <c r="R3" s="12" t="s">
        <v>183</v>
      </c>
      <c r="S3" s="10" t="s">
        <v>136</v>
      </c>
      <c r="T3" s="5"/>
      <c r="U3" s="5"/>
      <c r="V3" s="10" t="s">
        <v>187</v>
      </c>
      <c r="W3" s="12" t="s">
        <v>155</v>
      </c>
      <c r="X3" s="12" t="s">
        <v>170</v>
      </c>
      <c r="Y3" s="5"/>
      <c r="Z3" s="5"/>
      <c r="AA3" s="27">
        <v>45889</v>
      </c>
      <c r="AB3" s="10" t="s">
        <v>191</v>
      </c>
    </row>
    <row r="4" spans="1:33" ht="15.75" customHeight="1" x14ac:dyDescent="0.25">
      <c r="A4" s="10" t="s">
        <v>77</v>
      </c>
      <c r="B4" s="10" t="s">
        <v>86</v>
      </c>
      <c r="C4" s="10" t="s">
        <v>91</v>
      </c>
      <c r="D4" s="12" t="s">
        <v>92</v>
      </c>
      <c r="E4" s="12">
        <v>1007119487</v>
      </c>
      <c r="F4" s="15" t="s">
        <v>200</v>
      </c>
      <c r="G4" s="12" t="s">
        <v>18</v>
      </c>
      <c r="H4" s="10" t="s">
        <v>205</v>
      </c>
      <c r="I4" s="13">
        <v>45831</v>
      </c>
      <c r="J4" s="12" t="s">
        <v>113</v>
      </c>
      <c r="K4" s="20"/>
      <c r="L4" s="5"/>
      <c r="M4" s="10" t="s">
        <v>120</v>
      </c>
      <c r="N4" s="10" t="s">
        <v>122</v>
      </c>
      <c r="O4" s="12" t="s">
        <v>210</v>
      </c>
      <c r="P4" s="18" t="s">
        <v>128</v>
      </c>
      <c r="Q4" s="12" t="s">
        <v>133</v>
      </c>
      <c r="R4" s="12" t="s">
        <v>212</v>
      </c>
      <c r="S4" s="12" t="s">
        <v>151</v>
      </c>
      <c r="T4" s="5"/>
      <c r="U4" s="5"/>
      <c r="V4" s="5"/>
      <c r="W4" s="12" t="s">
        <v>215</v>
      </c>
      <c r="X4" s="12" t="s">
        <v>216</v>
      </c>
      <c r="Y4" s="20"/>
      <c r="Z4" s="20"/>
      <c r="AA4" s="16">
        <v>45836</v>
      </c>
      <c r="AB4" s="10" t="s">
        <v>148</v>
      </c>
    </row>
    <row r="5" spans="1:33" ht="15.75" customHeight="1" x14ac:dyDescent="0.25">
      <c r="A5" s="10" t="s">
        <v>77</v>
      </c>
      <c r="B5" s="10" t="s">
        <v>86</v>
      </c>
      <c r="C5" s="10" t="s">
        <v>91</v>
      </c>
      <c r="D5" s="10" t="s">
        <v>92</v>
      </c>
      <c r="E5" s="12">
        <v>1002210123</v>
      </c>
      <c r="F5" s="23" t="s">
        <v>226</v>
      </c>
      <c r="G5" s="10" t="s">
        <v>18</v>
      </c>
      <c r="H5" s="17" t="s">
        <v>228</v>
      </c>
      <c r="I5" s="13">
        <v>45831</v>
      </c>
      <c r="J5" s="12" t="s">
        <v>113</v>
      </c>
      <c r="K5" s="13">
        <v>37404</v>
      </c>
      <c r="L5" s="10">
        <v>22</v>
      </c>
      <c r="M5" s="10" t="s">
        <v>120</v>
      </c>
      <c r="N5" s="10" t="s">
        <v>236</v>
      </c>
      <c r="O5" s="5"/>
      <c r="P5" s="18" t="s">
        <v>128</v>
      </c>
      <c r="Q5" s="10" t="s">
        <v>133</v>
      </c>
      <c r="R5" s="12" t="s">
        <v>240</v>
      </c>
      <c r="S5" s="12" t="s">
        <v>241</v>
      </c>
      <c r="T5" s="5"/>
      <c r="U5" s="5"/>
      <c r="V5" s="12" t="s">
        <v>244</v>
      </c>
      <c r="W5" s="5"/>
      <c r="X5" s="12" t="s">
        <v>72</v>
      </c>
      <c r="Y5" s="31"/>
      <c r="Z5" s="31"/>
      <c r="AA5" s="16">
        <v>45885</v>
      </c>
      <c r="AB5" s="10" t="s">
        <v>148</v>
      </c>
    </row>
    <row r="6" spans="1:33" ht="15.75" customHeight="1" x14ac:dyDescent="0.25">
      <c r="A6" s="10" t="s">
        <v>77</v>
      </c>
      <c r="B6" s="10" t="s">
        <v>86</v>
      </c>
      <c r="C6" s="10" t="s">
        <v>91</v>
      </c>
      <c r="D6" s="10" t="s">
        <v>92</v>
      </c>
      <c r="E6" s="12">
        <v>1073328512</v>
      </c>
      <c r="F6" s="23" t="s">
        <v>258</v>
      </c>
      <c r="G6" s="12" t="s">
        <v>26</v>
      </c>
      <c r="H6" s="12" t="s">
        <v>260</v>
      </c>
      <c r="I6" s="13">
        <v>45831</v>
      </c>
      <c r="J6" s="12" t="s">
        <v>113</v>
      </c>
      <c r="K6" s="16">
        <v>36420</v>
      </c>
      <c r="L6" s="10">
        <f ca="1">IF(K6=0,"", DATEDIF(K6,TODAY(),"y"))</f>
        <v>26</v>
      </c>
      <c r="M6" s="10" t="s">
        <v>120</v>
      </c>
      <c r="N6" s="10" t="s">
        <v>122</v>
      </c>
      <c r="O6" s="12" t="s">
        <v>124</v>
      </c>
      <c r="P6" s="18" t="s">
        <v>128</v>
      </c>
      <c r="Q6" s="10" t="s">
        <v>133</v>
      </c>
      <c r="R6" s="12" t="s">
        <v>285</v>
      </c>
      <c r="S6" s="12" t="s">
        <v>136</v>
      </c>
      <c r="T6" s="5"/>
      <c r="U6" s="5"/>
      <c r="V6" s="12" t="s">
        <v>287</v>
      </c>
      <c r="W6" s="12" t="s">
        <v>203</v>
      </c>
      <c r="X6" s="12" t="s">
        <v>288</v>
      </c>
      <c r="Y6" s="20"/>
      <c r="Z6" s="20"/>
      <c r="AA6" s="16">
        <v>45851</v>
      </c>
      <c r="AB6" s="10" t="s">
        <v>148</v>
      </c>
    </row>
    <row r="7" spans="1:33" ht="15.75" customHeight="1" x14ac:dyDescent="0.25">
      <c r="A7" s="10" t="s">
        <v>77</v>
      </c>
      <c r="B7" s="10" t="s">
        <v>86</v>
      </c>
      <c r="C7" s="10" t="s">
        <v>91</v>
      </c>
      <c r="D7" s="10" t="s">
        <v>92</v>
      </c>
      <c r="E7" s="10">
        <v>1083436289</v>
      </c>
      <c r="F7" s="23" t="s">
        <v>172</v>
      </c>
      <c r="G7" s="12" t="s">
        <v>26</v>
      </c>
      <c r="H7" s="10" t="s">
        <v>297</v>
      </c>
      <c r="I7" s="13">
        <v>45833</v>
      </c>
      <c r="J7" s="10" t="s">
        <v>113</v>
      </c>
      <c r="K7" s="36">
        <v>35761</v>
      </c>
      <c r="L7" s="10">
        <v>28</v>
      </c>
      <c r="M7" s="10" t="s">
        <v>120</v>
      </c>
      <c r="N7" s="10" t="s">
        <v>122</v>
      </c>
      <c r="O7" s="10" t="s">
        <v>142</v>
      </c>
      <c r="P7" s="18" t="s">
        <v>128</v>
      </c>
      <c r="Q7" s="10" t="s">
        <v>133</v>
      </c>
      <c r="R7" s="10" t="s">
        <v>308</v>
      </c>
      <c r="S7" s="10" t="s">
        <v>151</v>
      </c>
      <c r="T7" s="19"/>
      <c r="U7" s="19"/>
      <c r="V7" s="40" t="s">
        <v>315</v>
      </c>
      <c r="W7" s="37" t="s">
        <v>203</v>
      </c>
      <c r="X7" s="10" t="s">
        <v>170</v>
      </c>
      <c r="Y7" s="19"/>
      <c r="Z7" s="19"/>
      <c r="AA7" s="16">
        <v>45885</v>
      </c>
      <c r="AB7" s="10" t="s">
        <v>148</v>
      </c>
    </row>
    <row r="8" spans="1:33" ht="15.75" customHeight="1" x14ac:dyDescent="0.25">
      <c r="A8" s="10" t="s">
        <v>160</v>
      </c>
      <c r="B8" s="10" t="s">
        <v>86</v>
      </c>
      <c r="C8" s="10" t="s">
        <v>91</v>
      </c>
      <c r="D8" s="10" t="s">
        <v>92</v>
      </c>
      <c r="E8" s="10">
        <v>1143461622</v>
      </c>
      <c r="F8" s="23" t="s">
        <v>364</v>
      </c>
      <c r="G8" s="10" t="s">
        <v>365</v>
      </c>
      <c r="H8" s="19"/>
      <c r="I8" s="13">
        <v>45842</v>
      </c>
      <c r="J8" s="10" t="s">
        <v>113</v>
      </c>
      <c r="K8" s="24"/>
      <c r="L8" s="19" t="str">
        <f t="shared" ref="L8:L14" ca="1" si="0">IF(K8=0,"", DATEDIF(K8,TODAY(),"y"))</f>
        <v/>
      </c>
      <c r="M8" s="10" t="s">
        <v>120</v>
      </c>
      <c r="N8" s="10" t="s">
        <v>236</v>
      </c>
      <c r="O8" s="19"/>
      <c r="P8" s="18" t="s">
        <v>128</v>
      </c>
      <c r="Q8" s="19"/>
      <c r="R8" s="19"/>
      <c r="S8" s="10" t="s">
        <v>136</v>
      </c>
      <c r="T8" s="19"/>
      <c r="U8" s="19"/>
      <c r="V8" s="19"/>
      <c r="W8" s="19"/>
      <c r="X8" s="19"/>
      <c r="Y8" s="10">
        <v>43400003756</v>
      </c>
      <c r="Z8" s="10" t="s">
        <v>393</v>
      </c>
      <c r="AA8" s="13">
        <v>45864</v>
      </c>
      <c r="AB8" s="10" t="s">
        <v>148</v>
      </c>
    </row>
    <row r="9" spans="1:33" ht="15.75" customHeight="1" x14ac:dyDescent="0.25">
      <c r="A9" s="10" t="s">
        <v>160</v>
      </c>
      <c r="B9" s="10" t="s">
        <v>86</v>
      </c>
      <c r="C9" s="10" t="s">
        <v>91</v>
      </c>
      <c r="D9" s="10" t="s">
        <v>92</v>
      </c>
      <c r="E9" s="10">
        <v>1005457609</v>
      </c>
      <c r="F9" s="23" t="s">
        <v>403</v>
      </c>
      <c r="G9" s="10" t="s">
        <v>404</v>
      </c>
      <c r="H9" s="13"/>
      <c r="I9" s="13">
        <v>45846</v>
      </c>
      <c r="J9" s="10" t="s">
        <v>113</v>
      </c>
      <c r="K9" s="24"/>
      <c r="L9" s="19" t="str">
        <f t="shared" ca="1" si="0"/>
        <v/>
      </c>
      <c r="M9" s="10" t="s">
        <v>120</v>
      </c>
      <c r="N9" s="10" t="s">
        <v>236</v>
      </c>
      <c r="O9" s="19"/>
      <c r="P9" s="18" t="s">
        <v>128</v>
      </c>
      <c r="Q9" s="19"/>
      <c r="R9" s="19"/>
      <c r="S9" s="10" t="s">
        <v>136</v>
      </c>
      <c r="T9" s="19"/>
      <c r="U9" s="19"/>
      <c r="V9" s="19"/>
      <c r="W9" s="19"/>
      <c r="X9" s="19"/>
      <c r="Y9" s="13">
        <v>3218146112</v>
      </c>
      <c r="Z9" s="13" t="s">
        <v>420</v>
      </c>
      <c r="AA9" s="13">
        <v>45846</v>
      </c>
      <c r="AB9" s="10" t="s">
        <v>148</v>
      </c>
    </row>
    <row r="10" spans="1:33" ht="15.75" customHeight="1" x14ac:dyDescent="0.25">
      <c r="A10" s="10" t="s">
        <v>160</v>
      </c>
      <c r="B10" s="10" t="s">
        <v>86</v>
      </c>
      <c r="C10" s="10" t="s">
        <v>91</v>
      </c>
      <c r="D10" s="10" t="s">
        <v>92</v>
      </c>
      <c r="E10" s="10">
        <v>1103106520</v>
      </c>
      <c r="F10" s="23" t="s">
        <v>422</v>
      </c>
      <c r="G10" s="10" t="s">
        <v>424</v>
      </c>
      <c r="H10" s="19"/>
      <c r="I10" s="13">
        <v>45846</v>
      </c>
      <c r="J10" s="10" t="s">
        <v>113</v>
      </c>
      <c r="K10" s="13">
        <v>33239</v>
      </c>
      <c r="L10" s="10">
        <f t="shared" ca="1" si="0"/>
        <v>35</v>
      </c>
      <c r="M10" s="10" t="s">
        <v>120</v>
      </c>
      <c r="N10" s="10" t="s">
        <v>236</v>
      </c>
      <c r="O10" s="10" t="s">
        <v>142</v>
      </c>
      <c r="P10" s="18" t="s">
        <v>128</v>
      </c>
      <c r="Q10" s="10" t="s">
        <v>133</v>
      </c>
      <c r="R10" s="19"/>
      <c r="S10" s="10" t="s">
        <v>136</v>
      </c>
      <c r="T10" s="19"/>
      <c r="U10" s="19"/>
      <c r="V10" s="10" t="s">
        <v>433</v>
      </c>
      <c r="W10" s="10" t="s">
        <v>169</v>
      </c>
      <c r="X10" s="10" t="s">
        <v>216</v>
      </c>
      <c r="Y10" s="30">
        <v>11144420081</v>
      </c>
      <c r="Z10" s="30" t="s">
        <v>393</v>
      </c>
      <c r="AA10" s="44">
        <v>45887</v>
      </c>
      <c r="AB10" s="10" t="s">
        <v>440</v>
      </c>
    </row>
    <row r="11" spans="1:33" ht="15.75" customHeight="1" x14ac:dyDescent="0.25">
      <c r="A11" s="10" t="s">
        <v>77</v>
      </c>
      <c r="B11" s="10" t="s">
        <v>86</v>
      </c>
      <c r="C11" s="10" t="s">
        <v>91</v>
      </c>
      <c r="D11" s="10" t="s">
        <v>92</v>
      </c>
      <c r="E11" s="10">
        <v>1221967065</v>
      </c>
      <c r="F11" s="23" t="s">
        <v>447</v>
      </c>
      <c r="G11" s="10" t="s">
        <v>11</v>
      </c>
      <c r="H11" s="10" t="s">
        <v>450</v>
      </c>
      <c r="I11" s="13">
        <v>45853</v>
      </c>
      <c r="J11" s="10" t="s">
        <v>113</v>
      </c>
      <c r="K11" s="13">
        <v>34931</v>
      </c>
      <c r="L11" s="10">
        <f t="shared" ca="1" si="0"/>
        <v>31</v>
      </c>
      <c r="M11" s="10" t="s">
        <v>320</v>
      </c>
      <c r="N11" s="10" t="s">
        <v>122</v>
      </c>
      <c r="O11" s="10" t="s">
        <v>142</v>
      </c>
      <c r="P11" s="18" t="s">
        <v>128</v>
      </c>
      <c r="Q11" s="10" t="s">
        <v>133</v>
      </c>
      <c r="R11" s="10" t="s">
        <v>459</v>
      </c>
      <c r="S11" s="10" t="s">
        <v>136</v>
      </c>
      <c r="T11" s="19"/>
      <c r="U11" s="19"/>
      <c r="V11" s="10" t="s">
        <v>461</v>
      </c>
      <c r="W11" s="19"/>
      <c r="X11" s="19"/>
      <c r="Y11" s="10">
        <v>3043388173</v>
      </c>
      <c r="Z11" s="10" t="s">
        <v>420</v>
      </c>
      <c r="AA11" s="13">
        <v>45863</v>
      </c>
      <c r="AB11" s="10" t="s">
        <v>148</v>
      </c>
    </row>
    <row r="12" spans="1:33" ht="15.75" customHeight="1" x14ac:dyDescent="0.25">
      <c r="A12" s="10" t="s">
        <v>77</v>
      </c>
      <c r="B12" s="10" t="s">
        <v>86</v>
      </c>
      <c r="C12" s="10" t="s">
        <v>91</v>
      </c>
      <c r="D12" s="10" t="s">
        <v>92</v>
      </c>
      <c r="E12" s="10">
        <v>1007576399</v>
      </c>
      <c r="F12" s="23" t="s">
        <v>475</v>
      </c>
      <c r="G12" s="10" t="s">
        <v>18</v>
      </c>
      <c r="H12" s="10" t="s">
        <v>476</v>
      </c>
      <c r="I12" s="13">
        <v>45859</v>
      </c>
      <c r="J12" s="10" t="s">
        <v>113</v>
      </c>
      <c r="K12" s="24"/>
      <c r="L12" s="19" t="str">
        <f t="shared" ca="1" si="0"/>
        <v/>
      </c>
      <c r="M12" s="10" t="s">
        <v>120</v>
      </c>
      <c r="N12" s="10" t="s">
        <v>122</v>
      </c>
      <c r="O12" s="19"/>
      <c r="P12" s="18" t="s">
        <v>128</v>
      </c>
      <c r="Q12" s="10" t="s">
        <v>133</v>
      </c>
      <c r="R12" s="19"/>
      <c r="S12" s="10" t="s">
        <v>151</v>
      </c>
      <c r="T12" s="19"/>
      <c r="U12" s="19"/>
      <c r="V12" s="10" t="s">
        <v>484</v>
      </c>
      <c r="W12" s="19"/>
      <c r="X12" s="19"/>
      <c r="Y12" s="24"/>
      <c r="Z12" s="24"/>
      <c r="AA12" s="44">
        <v>45874</v>
      </c>
      <c r="AB12" s="10" t="s">
        <v>148</v>
      </c>
    </row>
    <row r="13" spans="1:33" ht="15.75" customHeight="1" x14ac:dyDescent="0.25">
      <c r="A13" s="10" t="s">
        <v>77</v>
      </c>
      <c r="B13" s="10" t="s">
        <v>86</v>
      </c>
      <c r="C13" s="10" t="s">
        <v>91</v>
      </c>
      <c r="D13" s="10" t="s">
        <v>92</v>
      </c>
      <c r="E13" s="10">
        <v>72261005</v>
      </c>
      <c r="F13" s="23" t="s">
        <v>493</v>
      </c>
      <c r="G13" s="12" t="s">
        <v>26</v>
      </c>
      <c r="H13" s="10" t="s">
        <v>496</v>
      </c>
      <c r="I13" s="13">
        <v>45864</v>
      </c>
      <c r="J13" s="10" t="s">
        <v>113</v>
      </c>
      <c r="K13" s="13">
        <v>29616</v>
      </c>
      <c r="L13" s="10">
        <f t="shared" ca="1" si="0"/>
        <v>45</v>
      </c>
      <c r="M13" s="10" t="s">
        <v>120</v>
      </c>
      <c r="N13" s="10" t="s">
        <v>122</v>
      </c>
      <c r="O13" s="10" t="s">
        <v>124</v>
      </c>
      <c r="P13" s="18" t="s">
        <v>128</v>
      </c>
      <c r="Q13" s="10" t="s">
        <v>133</v>
      </c>
      <c r="R13" s="10" t="s">
        <v>506</v>
      </c>
      <c r="S13" s="10" t="s">
        <v>507</v>
      </c>
      <c r="T13" s="19"/>
      <c r="U13" s="19"/>
      <c r="V13" s="19"/>
      <c r="W13" s="19"/>
      <c r="X13" s="19"/>
      <c r="Y13" s="45"/>
      <c r="Z13" s="19"/>
      <c r="AA13" s="13">
        <v>45883</v>
      </c>
      <c r="AB13" s="10" t="s">
        <v>148</v>
      </c>
    </row>
    <row r="14" spans="1:33" ht="15.75" customHeight="1" x14ac:dyDescent="0.25">
      <c r="A14" s="10" t="s">
        <v>77</v>
      </c>
      <c r="B14" s="10" t="s">
        <v>86</v>
      </c>
      <c r="C14" s="10" t="s">
        <v>91</v>
      </c>
      <c r="D14" s="10" t="s">
        <v>92</v>
      </c>
      <c r="E14" s="12">
        <v>1043021559</v>
      </c>
      <c r="F14" s="15" t="s">
        <v>517</v>
      </c>
      <c r="G14" s="12" t="s">
        <v>26</v>
      </c>
      <c r="H14" s="19"/>
      <c r="I14" s="16">
        <v>45883</v>
      </c>
      <c r="J14" s="12" t="s">
        <v>113</v>
      </c>
      <c r="K14" s="16">
        <v>35227</v>
      </c>
      <c r="L14" s="10">
        <f t="shared" ca="1" si="0"/>
        <v>30</v>
      </c>
      <c r="M14" s="10" t="s">
        <v>120</v>
      </c>
      <c r="N14" s="10" t="s">
        <v>277</v>
      </c>
      <c r="O14" s="5"/>
      <c r="P14" s="18" t="s">
        <v>128</v>
      </c>
      <c r="Q14" s="10" t="s">
        <v>133</v>
      </c>
      <c r="R14" s="5"/>
      <c r="S14" s="12" t="s">
        <v>195</v>
      </c>
      <c r="T14" s="5"/>
      <c r="U14" s="5"/>
      <c r="V14" s="5"/>
      <c r="W14" s="5"/>
      <c r="X14" s="5"/>
      <c r="Y14" s="47"/>
      <c r="Z14" s="5"/>
      <c r="AA14" s="16">
        <v>45885</v>
      </c>
      <c r="AB14" s="10" t="s">
        <v>148</v>
      </c>
    </row>
    <row r="15" spans="1:33" ht="15.75" customHeight="1" x14ac:dyDescent="0.25">
      <c r="A15" s="10" t="s">
        <v>77</v>
      </c>
      <c r="B15" s="10" t="s">
        <v>86</v>
      </c>
      <c r="C15" s="10" t="s">
        <v>91</v>
      </c>
      <c r="D15" s="12" t="s">
        <v>92</v>
      </c>
      <c r="E15" s="12">
        <v>1083035740</v>
      </c>
      <c r="F15" s="23" t="s">
        <v>527</v>
      </c>
      <c r="G15" s="10" t="s">
        <v>18</v>
      </c>
      <c r="H15" s="10" t="s">
        <v>528</v>
      </c>
      <c r="I15" s="13">
        <v>45831</v>
      </c>
      <c r="J15" s="12" t="s">
        <v>113</v>
      </c>
      <c r="K15" s="5"/>
      <c r="L15" s="5"/>
      <c r="M15" s="10" t="s">
        <v>120</v>
      </c>
      <c r="N15" s="10" t="s">
        <v>122</v>
      </c>
      <c r="O15" s="12" t="s">
        <v>142</v>
      </c>
      <c r="P15" s="18" t="s">
        <v>128</v>
      </c>
      <c r="Q15" s="12" t="s">
        <v>133</v>
      </c>
      <c r="R15" s="12" t="s">
        <v>536</v>
      </c>
      <c r="S15" s="12" t="s">
        <v>151</v>
      </c>
      <c r="T15" s="12">
        <v>3017275378</v>
      </c>
      <c r="U15" s="5"/>
      <c r="V15" s="5" t="s">
        <v>538</v>
      </c>
      <c r="W15" s="12" t="s">
        <v>136</v>
      </c>
      <c r="X15" s="12" t="s">
        <v>539</v>
      </c>
      <c r="Y15" s="12" t="s">
        <v>170</v>
      </c>
      <c r="Z15" s="20"/>
      <c r="AA15" s="16">
        <v>45885</v>
      </c>
      <c r="AB15" s="10" t="s">
        <v>209</v>
      </c>
    </row>
    <row r="16" spans="1:33" ht="15.75" customHeight="1" x14ac:dyDescent="0.25">
      <c r="A16" s="10" t="s">
        <v>77</v>
      </c>
      <c r="B16" s="10" t="s">
        <v>86</v>
      </c>
      <c r="C16" s="10" t="s">
        <v>91</v>
      </c>
      <c r="D16" s="10" t="s">
        <v>92</v>
      </c>
      <c r="E16" s="10">
        <v>1045676923</v>
      </c>
      <c r="F16" s="23" t="s">
        <v>441</v>
      </c>
      <c r="G16" s="10" t="s">
        <v>11</v>
      </c>
      <c r="H16" s="10" t="s">
        <v>544</v>
      </c>
      <c r="I16" s="13">
        <v>45831</v>
      </c>
      <c r="J16" s="10" t="s">
        <v>113</v>
      </c>
      <c r="K16" s="19"/>
      <c r="L16" s="19" t="str">
        <f t="shared" ref="L16:L50" ca="1" si="1">IF(K16=0,"", DATEDIF(K16,TODAY(),"y"))</f>
        <v/>
      </c>
      <c r="M16" s="10" t="s">
        <v>120</v>
      </c>
      <c r="N16" s="10" t="s">
        <v>122</v>
      </c>
      <c r="O16" s="10" t="s">
        <v>142</v>
      </c>
      <c r="P16" s="18" t="s">
        <v>128</v>
      </c>
      <c r="Q16" s="10" t="s">
        <v>133</v>
      </c>
      <c r="R16" s="10" t="s">
        <v>561</v>
      </c>
      <c r="S16" s="10" t="s">
        <v>136</v>
      </c>
      <c r="T16" s="10">
        <v>3011877866</v>
      </c>
      <c r="U16" s="19"/>
      <c r="V16" s="10" t="s">
        <v>564</v>
      </c>
      <c r="W16" s="10" t="s">
        <v>136</v>
      </c>
      <c r="X16" s="10" t="s">
        <v>206</v>
      </c>
      <c r="Y16" s="10" t="s">
        <v>170</v>
      </c>
      <c r="Z16" s="24"/>
      <c r="AA16" s="16">
        <v>45885</v>
      </c>
      <c r="AB16" s="10" t="s">
        <v>209</v>
      </c>
    </row>
    <row r="17" spans="1:30" ht="15.75" customHeight="1" x14ac:dyDescent="0.25">
      <c r="A17" s="10" t="s">
        <v>77</v>
      </c>
      <c r="B17" s="10" t="s">
        <v>86</v>
      </c>
      <c r="C17" s="10" t="s">
        <v>91</v>
      </c>
      <c r="D17" s="10" t="s">
        <v>92</v>
      </c>
      <c r="E17" s="12">
        <v>1042357332</v>
      </c>
      <c r="F17" s="15" t="s">
        <v>577</v>
      </c>
      <c r="G17" s="10" t="s">
        <v>11</v>
      </c>
      <c r="H17" s="10" t="s">
        <v>579</v>
      </c>
      <c r="I17" s="16">
        <v>45870</v>
      </c>
      <c r="J17" s="12" t="s">
        <v>113</v>
      </c>
      <c r="K17" s="20"/>
      <c r="L17" s="19" t="str">
        <f t="shared" ca="1" si="1"/>
        <v/>
      </c>
      <c r="M17" s="10" t="s">
        <v>120</v>
      </c>
      <c r="N17" s="10" t="s">
        <v>122</v>
      </c>
      <c r="O17" s="5"/>
      <c r="P17" s="18" t="s">
        <v>128</v>
      </c>
      <c r="Q17" s="10" t="s">
        <v>133</v>
      </c>
      <c r="R17" s="12" t="s">
        <v>586</v>
      </c>
      <c r="S17" s="12" t="s">
        <v>587</v>
      </c>
      <c r="T17" s="12">
        <v>3019393889</v>
      </c>
      <c r="U17" s="5"/>
      <c r="V17" s="5"/>
      <c r="W17" s="10" t="s">
        <v>136</v>
      </c>
      <c r="X17" s="5"/>
      <c r="Y17" s="5"/>
      <c r="Z17" s="5"/>
      <c r="AA17" s="49">
        <v>45881</v>
      </c>
      <c r="AB17" s="10" t="s">
        <v>209</v>
      </c>
    </row>
    <row r="18" spans="1:30" ht="15.75" customHeight="1" x14ac:dyDescent="0.25">
      <c r="A18" s="10" t="s">
        <v>77</v>
      </c>
      <c r="B18" s="10" t="s">
        <v>86</v>
      </c>
      <c r="C18" s="10" t="s">
        <v>91</v>
      </c>
      <c r="D18" s="10" t="s">
        <v>92</v>
      </c>
      <c r="E18" s="12">
        <v>1001878193</v>
      </c>
      <c r="F18" s="23" t="s">
        <v>598</v>
      </c>
      <c r="G18" s="10" t="s">
        <v>18</v>
      </c>
      <c r="H18" s="19"/>
      <c r="I18" s="16">
        <v>45873</v>
      </c>
      <c r="J18" s="12" t="s">
        <v>113</v>
      </c>
      <c r="K18" s="16">
        <v>36861</v>
      </c>
      <c r="L18" s="10">
        <f t="shared" ca="1" si="1"/>
        <v>25</v>
      </c>
      <c r="M18" s="10" t="s">
        <v>120</v>
      </c>
      <c r="N18" s="10" t="s">
        <v>236</v>
      </c>
      <c r="O18" s="5"/>
      <c r="P18" s="18" t="s">
        <v>128</v>
      </c>
      <c r="Q18" s="10" t="s">
        <v>133</v>
      </c>
      <c r="R18" s="12" t="s">
        <v>607</v>
      </c>
      <c r="S18" s="12" t="s">
        <v>151</v>
      </c>
      <c r="T18" s="12"/>
      <c r="U18" s="12">
        <v>3504846308</v>
      </c>
      <c r="V18" s="5"/>
      <c r="W18" s="5"/>
      <c r="X18" s="5"/>
      <c r="Y18" s="5"/>
      <c r="Z18" s="5"/>
      <c r="AA18" s="49">
        <v>45889</v>
      </c>
      <c r="AB18" s="10" t="s">
        <v>209</v>
      </c>
    </row>
    <row r="19" spans="1:30" ht="15.75" customHeight="1" x14ac:dyDescent="0.25">
      <c r="A19" s="10" t="s">
        <v>77</v>
      </c>
      <c r="B19" s="10" t="s">
        <v>86</v>
      </c>
      <c r="C19" s="10" t="s">
        <v>91</v>
      </c>
      <c r="D19" s="10" t="s">
        <v>92</v>
      </c>
      <c r="E19" s="12">
        <v>72019914</v>
      </c>
      <c r="F19" s="50" t="s">
        <v>619</v>
      </c>
      <c r="G19" s="10" t="s">
        <v>11</v>
      </c>
      <c r="H19" s="10" t="s">
        <v>623</v>
      </c>
      <c r="I19" s="16">
        <v>45871</v>
      </c>
      <c r="J19" s="12" t="s">
        <v>113</v>
      </c>
      <c r="K19" s="16">
        <v>29066</v>
      </c>
      <c r="L19" s="10">
        <f t="shared" ca="1" si="1"/>
        <v>47</v>
      </c>
      <c r="M19" s="10" t="s">
        <v>120</v>
      </c>
      <c r="N19" s="10" t="s">
        <v>122</v>
      </c>
      <c r="O19" s="12"/>
      <c r="P19" s="18" t="s">
        <v>128</v>
      </c>
      <c r="Q19" s="10" t="s">
        <v>133</v>
      </c>
      <c r="R19" s="12" t="s">
        <v>625</v>
      </c>
      <c r="S19" s="12"/>
      <c r="T19" s="12"/>
      <c r="U19" s="12">
        <v>3165286496</v>
      </c>
      <c r="V19" s="12"/>
      <c r="W19" s="12"/>
      <c r="X19" s="12"/>
      <c r="Y19" s="12"/>
      <c r="Z19" s="12"/>
      <c r="AA19" s="16">
        <v>45895</v>
      </c>
      <c r="AB19" s="10" t="s">
        <v>209</v>
      </c>
      <c r="AC19" s="22"/>
      <c r="AD19" s="22"/>
    </row>
    <row r="20" spans="1:30" ht="15.75" customHeight="1" x14ac:dyDescent="0.25">
      <c r="A20" s="10" t="s">
        <v>77</v>
      </c>
      <c r="B20" s="10" t="s">
        <v>86</v>
      </c>
      <c r="C20" s="10" t="s">
        <v>91</v>
      </c>
      <c r="D20" s="10" t="s">
        <v>92</v>
      </c>
      <c r="E20" s="12">
        <v>1143114819</v>
      </c>
      <c r="F20" s="50" t="s">
        <v>636</v>
      </c>
      <c r="G20" s="10" t="s">
        <v>11</v>
      </c>
      <c r="H20" s="12" t="s">
        <v>639</v>
      </c>
      <c r="I20" s="16">
        <v>45868</v>
      </c>
      <c r="J20" s="12"/>
      <c r="K20" s="16"/>
      <c r="L20" s="10" t="str">
        <f t="shared" ca="1" si="1"/>
        <v/>
      </c>
      <c r="M20" s="12" t="s">
        <v>120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6"/>
      <c r="Z20" s="16"/>
      <c r="AA20" s="16">
        <v>45896</v>
      </c>
      <c r="AB20" s="12" t="s">
        <v>148</v>
      </c>
      <c r="AC20" s="32"/>
      <c r="AD20" s="32"/>
    </row>
    <row r="21" spans="1:30" ht="15.75" customHeight="1" x14ac:dyDescent="0.25">
      <c r="A21" s="10" t="s">
        <v>77</v>
      </c>
      <c r="B21" s="10" t="s">
        <v>86</v>
      </c>
      <c r="C21" s="10" t="s">
        <v>91</v>
      </c>
      <c r="D21" s="10" t="s">
        <v>92</v>
      </c>
      <c r="E21" s="12">
        <v>1002409399</v>
      </c>
      <c r="F21" s="51" t="s">
        <v>652</v>
      </c>
      <c r="G21" s="10" t="s">
        <v>655</v>
      </c>
      <c r="H21" s="12" t="s">
        <v>657</v>
      </c>
      <c r="I21" s="16">
        <v>45867</v>
      </c>
      <c r="J21" s="12"/>
      <c r="K21" s="12"/>
      <c r="L21" s="10" t="str">
        <f t="shared" ca="1" si="1"/>
        <v/>
      </c>
      <c r="M21" s="10" t="s">
        <v>120</v>
      </c>
      <c r="N21" s="10" t="s">
        <v>122</v>
      </c>
      <c r="O21" s="12"/>
      <c r="P21" s="12"/>
      <c r="Q21" s="12"/>
      <c r="R21" s="12"/>
      <c r="S21" s="12"/>
      <c r="T21" s="12"/>
      <c r="U21" s="12">
        <v>3023995622</v>
      </c>
      <c r="V21" s="12"/>
      <c r="W21" s="12"/>
      <c r="X21" s="12"/>
      <c r="Y21" s="34"/>
      <c r="Z21" s="16"/>
      <c r="AA21" s="16">
        <v>45896</v>
      </c>
      <c r="AB21" s="10" t="s">
        <v>148</v>
      </c>
      <c r="AC21" s="32"/>
      <c r="AD21" s="32"/>
    </row>
    <row r="22" spans="1:30" ht="15.75" customHeight="1" x14ac:dyDescent="0.25">
      <c r="A22" s="10" t="s">
        <v>160</v>
      </c>
      <c r="B22" s="10" t="s">
        <v>86</v>
      </c>
      <c r="C22" s="10" t="s">
        <v>91</v>
      </c>
      <c r="D22" s="10" t="s">
        <v>92</v>
      </c>
      <c r="E22" s="12">
        <v>1001797750</v>
      </c>
      <c r="F22" s="51" t="s">
        <v>677</v>
      </c>
      <c r="G22" s="10" t="s">
        <v>678</v>
      </c>
      <c r="H22" s="10" t="s">
        <v>680</v>
      </c>
      <c r="I22" s="13">
        <v>45831</v>
      </c>
      <c r="J22" s="12" t="s">
        <v>113</v>
      </c>
      <c r="K22" s="53">
        <v>35000</v>
      </c>
      <c r="L22" s="10">
        <f t="shared" ca="1" si="1"/>
        <v>30</v>
      </c>
      <c r="M22" s="10" t="s">
        <v>320</v>
      </c>
      <c r="N22" s="10" t="s">
        <v>236</v>
      </c>
      <c r="O22" s="12" t="s">
        <v>124</v>
      </c>
      <c r="P22" s="18" t="s">
        <v>128</v>
      </c>
      <c r="Q22" s="12" t="s">
        <v>133</v>
      </c>
      <c r="R22" s="12" t="s">
        <v>684</v>
      </c>
      <c r="S22" s="12" t="s">
        <v>136</v>
      </c>
      <c r="T22" s="12"/>
      <c r="U22" s="12">
        <v>3245611276</v>
      </c>
      <c r="V22" s="12" t="s">
        <v>685</v>
      </c>
      <c r="W22" s="12" t="s">
        <v>539</v>
      </c>
      <c r="X22" s="12" t="s">
        <v>170</v>
      </c>
      <c r="Y22" s="34"/>
      <c r="Z22" s="16"/>
      <c r="AA22" s="16">
        <v>45899</v>
      </c>
      <c r="AB22" s="10" t="s">
        <v>148</v>
      </c>
      <c r="AC22" s="32"/>
      <c r="AD22" s="32"/>
    </row>
    <row r="23" spans="1:30" ht="15.75" customHeight="1" x14ac:dyDescent="0.25">
      <c r="A23" s="10" t="s">
        <v>160</v>
      </c>
      <c r="B23" s="10" t="s">
        <v>86</v>
      </c>
      <c r="C23" s="10" t="s">
        <v>91</v>
      </c>
      <c r="D23" s="10" t="s">
        <v>92</v>
      </c>
      <c r="E23" s="10">
        <v>1007133399</v>
      </c>
      <c r="F23" s="51" t="s">
        <v>692</v>
      </c>
      <c r="G23" s="10" t="s">
        <v>693</v>
      </c>
      <c r="H23" s="10" t="s">
        <v>694</v>
      </c>
      <c r="I23" s="13">
        <v>45831</v>
      </c>
      <c r="J23" s="10" t="s">
        <v>113</v>
      </c>
      <c r="K23" s="30">
        <v>36861</v>
      </c>
      <c r="L23" s="10">
        <f t="shared" ca="1" si="1"/>
        <v>25</v>
      </c>
      <c r="M23" s="10" t="s">
        <v>120</v>
      </c>
      <c r="N23" s="10" t="s">
        <v>122</v>
      </c>
      <c r="O23" s="10" t="s">
        <v>124</v>
      </c>
      <c r="P23" s="18" t="s">
        <v>128</v>
      </c>
      <c r="Q23" s="10" t="s">
        <v>133</v>
      </c>
      <c r="R23" s="10" t="s">
        <v>702</v>
      </c>
      <c r="S23" s="10" t="s">
        <v>136</v>
      </c>
      <c r="T23" s="10"/>
      <c r="U23" s="10">
        <v>3148234907</v>
      </c>
      <c r="V23" s="10" t="s">
        <v>703</v>
      </c>
      <c r="W23" s="10" t="s">
        <v>206</v>
      </c>
      <c r="X23" s="10" t="s">
        <v>170</v>
      </c>
      <c r="Y23" s="28"/>
      <c r="Z23" s="13"/>
      <c r="AA23" s="16">
        <v>45899</v>
      </c>
      <c r="AB23" s="10" t="s">
        <v>148</v>
      </c>
      <c r="AC23" s="39"/>
      <c r="AD23" s="39"/>
    </row>
    <row r="24" spans="1:30" ht="15.75" customHeight="1" x14ac:dyDescent="0.25">
      <c r="A24" s="10" t="s">
        <v>160</v>
      </c>
      <c r="B24" s="10" t="s">
        <v>86</v>
      </c>
      <c r="C24" s="10" t="s">
        <v>91</v>
      </c>
      <c r="D24" s="10" t="s">
        <v>92</v>
      </c>
      <c r="E24" s="10">
        <v>1128129509</v>
      </c>
      <c r="F24" s="51" t="s">
        <v>707</v>
      </c>
      <c r="G24" s="10" t="s">
        <v>404</v>
      </c>
      <c r="H24" s="10" t="s">
        <v>709</v>
      </c>
      <c r="I24" s="13">
        <v>45890</v>
      </c>
      <c r="J24" s="10" t="s">
        <v>113</v>
      </c>
      <c r="K24" s="13">
        <v>35074</v>
      </c>
      <c r="L24" s="10">
        <f t="shared" ca="1" si="1"/>
        <v>30</v>
      </c>
      <c r="M24" s="10" t="s">
        <v>120</v>
      </c>
      <c r="N24" s="10" t="s">
        <v>122</v>
      </c>
      <c r="O24" s="10" t="s">
        <v>210</v>
      </c>
      <c r="P24" s="18" t="s">
        <v>128</v>
      </c>
      <c r="Q24" s="10" t="s">
        <v>133</v>
      </c>
      <c r="R24" s="10" t="s">
        <v>713</v>
      </c>
      <c r="S24" s="10" t="s">
        <v>136</v>
      </c>
      <c r="T24" s="10" t="s">
        <v>714</v>
      </c>
      <c r="U24" s="10">
        <v>3046675023</v>
      </c>
      <c r="V24" s="10" t="s">
        <v>715</v>
      </c>
      <c r="W24" s="10"/>
      <c r="X24" s="10"/>
      <c r="Y24" s="28"/>
      <c r="Z24" s="10"/>
      <c r="AA24" s="13">
        <v>45898</v>
      </c>
      <c r="AB24" s="10" t="s">
        <v>148</v>
      </c>
      <c r="AC24" s="29"/>
      <c r="AD24" s="29"/>
    </row>
    <row r="25" spans="1:30" ht="15.75" customHeight="1" x14ac:dyDescent="0.25">
      <c r="A25" s="10" t="s">
        <v>77</v>
      </c>
      <c r="B25" s="10" t="s">
        <v>86</v>
      </c>
      <c r="C25" s="10" t="s">
        <v>91</v>
      </c>
      <c r="D25" s="10" t="s">
        <v>92</v>
      </c>
      <c r="E25" s="10">
        <v>1046273534</v>
      </c>
      <c r="F25" s="51" t="s">
        <v>720</v>
      </c>
      <c r="G25" s="10" t="s">
        <v>655</v>
      </c>
      <c r="H25" s="10" t="s">
        <v>722</v>
      </c>
      <c r="I25" s="13">
        <v>45859</v>
      </c>
      <c r="J25" s="10" t="s">
        <v>113</v>
      </c>
      <c r="K25" s="13"/>
      <c r="L25" s="10" t="str">
        <f t="shared" ca="1" si="1"/>
        <v/>
      </c>
      <c r="M25" s="10" t="s">
        <v>120</v>
      </c>
      <c r="N25" s="10" t="s">
        <v>122</v>
      </c>
      <c r="O25" s="10"/>
      <c r="P25" s="18" t="s">
        <v>128</v>
      </c>
      <c r="Q25" s="10" t="s">
        <v>133</v>
      </c>
      <c r="R25" s="10"/>
      <c r="S25" s="10" t="s">
        <v>151</v>
      </c>
      <c r="T25" s="10"/>
      <c r="U25" s="10">
        <v>3006022341</v>
      </c>
      <c r="V25" s="10" t="s">
        <v>725</v>
      </c>
      <c r="W25" s="10"/>
      <c r="X25" s="10"/>
      <c r="Y25" s="28"/>
      <c r="Z25" s="13"/>
      <c r="AA25" s="13">
        <v>45909</v>
      </c>
      <c r="AB25" s="10" t="s">
        <v>148</v>
      </c>
      <c r="AC25" s="39"/>
      <c r="AD25" s="39"/>
    </row>
    <row r="26" spans="1:30" ht="15.75" customHeight="1" x14ac:dyDescent="0.25">
      <c r="A26" s="10" t="s">
        <v>77</v>
      </c>
      <c r="B26" s="10" t="s">
        <v>86</v>
      </c>
      <c r="C26" s="10" t="s">
        <v>91</v>
      </c>
      <c r="D26" s="10" t="s">
        <v>92</v>
      </c>
      <c r="E26" s="12">
        <v>1047215623</v>
      </c>
      <c r="F26" s="23" t="s">
        <v>621</v>
      </c>
      <c r="G26" s="10" t="s">
        <v>18</v>
      </c>
      <c r="H26" s="12" t="s">
        <v>728</v>
      </c>
      <c r="I26" s="16">
        <v>45861</v>
      </c>
      <c r="J26" s="12" t="s">
        <v>113</v>
      </c>
      <c r="K26" s="56"/>
      <c r="L26" s="19" t="str">
        <f t="shared" ca="1" si="1"/>
        <v/>
      </c>
      <c r="M26" s="12" t="s">
        <v>120</v>
      </c>
      <c r="N26" s="5"/>
      <c r="O26" s="5"/>
      <c r="P26" s="5"/>
      <c r="Q26" s="5"/>
      <c r="R26" s="5"/>
      <c r="S26" s="5"/>
      <c r="T26" s="5"/>
      <c r="U26" s="12">
        <v>3044043279</v>
      </c>
      <c r="V26" s="12" t="s">
        <v>734</v>
      </c>
      <c r="W26" s="5"/>
      <c r="X26" s="5"/>
      <c r="Y26" s="34" t="s">
        <v>735</v>
      </c>
      <c r="Z26" s="57" t="s">
        <v>393</v>
      </c>
      <c r="AA26" s="13">
        <v>45905</v>
      </c>
      <c r="AB26" s="10" t="s">
        <v>440</v>
      </c>
      <c r="AC26" s="58"/>
      <c r="AD26" s="58"/>
    </row>
    <row r="27" spans="1:30" ht="15.75" customHeight="1" x14ac:dyDescent="0.25">
      <c r="A27" s="10" t="s">
        <v>77</v>
      </c>
      <c r="B27" s="10" t="s">
        <v>86</v>
      </c>
      <c r="C27" s="10" t="s">
        <v>91</v>
      </c>
      <c r="D27" s="10" t="s">
        <v>92</v>
      </c>
      <c r="E27" s="10">
        <v>1044920594</v>
      </c>
      <c r="F27" s="51" t="s">
        <v>740</v>
      </c>
      <c r="G27" s="10" t="s">
        <v>741</v>
      </c>
      <c r="H27" s="10" t="s">
        <v>742</v>
      </c>
      <c r="I27" s="13">
        <v>45863</v>
      </c>
      <c r="J27" s="10" t="s">
        <v>113</v>
      </c>
      <c r="K27" s="13">
        <v>33497</v>
      </c>
      <c r="L27" s="10">
        <f t="shared" ca="1" si="1"/>
        <v>34</v>
      </c>
      <c r="M27" s="10" t="s">
        <v>120</v>
      </c>
      <c r="N27" s="10" t="s">
        <v>122</v>
      </c>
      <c r="O27" s="10" t="s">
        <v>142</v>
      </c>
      <c r="P27" s="18" t="s">
        <v>128</v>
      </c>
      <c r="Q27" s="10" t="s">
        <v>133</v>
      </c>
      <c r="R27" s="10" t="s">
        <v>747</v>
      </c>
      <c r="S27" s="10" t="s">
        <v>151</v>
      </c>
      <c r="T27" s="10"/>
      <c r="U27" s="10">
        <v>3012719424</v>
      </c>
      <c r="V27" s="10" t="s">
        <v>748</v>
      </c>
      <c r="W27" s="10"/>
      <c r="X27" s="10"/>
      <c r="Y27" s="28"/>
      <c r="Z27" s="13"/>
      <c r="AA27" s="13">
        <v>45904</v>
      </c>
      <c r="AB27" s="10" t="s">
        <v>148</v>
      </c>
      <c r="AC27" s="39"/>
      <c r="AD27" s="39"/>
    </row>
    <row r="28" spans="1:30" ht="15.75" customHeight="1" x14ac:dyDescent="0.25">
      <c r="A28" s="10" t="s">
        <v>77</v>
      </c>
      <c r="B28" s="10" t="s">
        <v>86</v>
      </c>
      <c r="C28" s="10" t="s">
        <v>91</v>
      </c>
      <c r="D28" s="10" t="s">
        <v>92</v>
      </c>
      <c r="E28" s="10">
        <v>1043114815</v>
      </c>
      <c r="F28" s="51" t="s">
        <v>751</v>
      </c>
      <c r="G28" s="10" t="s">
        <v>11</v>
      </c>
      <c r="H28" s="10" t="s">
        <v>752</v>
      </c>
      <c r="I28" s="13">
        <v>45864</v>
      </c>
      <c r="J28" s="10" t="s">
        <v>113</v>
      </c>
      <c r="K28" s="13">
        <v>36922</v>
      </c>
      <c r="L28" s="10">
        <f t="shared" ca="1" si="1"/>
        <v>25</v>
      </c>
      <c r="M28" s="10" t="s">
        <v>120</v>
      </c>
      <c r="N28" s="10" t="s">
        <v>236</v>
      </c>
      <c r="O28" s="10" t="s">
        <v>142</v>
      </c>
      <c r="P28" s="18" t="s">
        <v>648</v>
      </c>
      <c r="Q28" s="10" t="s">
        <v>133</v>
      </c>
      <c r="R28" s="10" t="s">
        <v>757</v>
      </c>
      <c r="S28" s="10" t="s">
        <v>507</v>
      </c>
      <c r="T28" s="10"/>
      <c r="U28" s="10">
        <v>3015273361</v>
      </c>
      <c r="V28" s="10"/>
      <c r="W28" s="10"/>
      <c r="X28" s="10"/>
      <c r="Y28" s="28"/>
      <c r="Z28" s="13"/>
      <c r="AA28" s="13">
        <v>45906</v>
      </c>
      <c r="AB28" s="10" t="s">
        <v>440</v>
      </c>
      <c r="AC28" s="39"/>
      <c r="AD28" s="39"/>
    </row>
    <row r="29" spans="1:30" ht="15.75" customHeight="1" x14ac:dyDescent="0.25">
      <c r="A29" s="10" t="s">
        <v>77</v>
      </c>
      <c r="B29" s="10" t="s">
        <v>86</v>
      </c>
      <c r="C29" s="10" t="s">
        <v>91</v>
      </c>
      <c r="D29" s="10" t="s">
        <v>92</v>
      </c>
      <c r="E29" s="10">
        <v>1048293756</v>
      </c>
      <c r="F29" s="51" t="s">
        <v>762</v>
      </c>
      <c r="G29" s="10" t="s">
        <v>11</v>
      </c>
      <c r="H29" s="12" t="s">
        <v>764</v>
      </c>
      <c r="I29" s="13">
        <v>45847</v>
      </c>
      <c r="J29" s="10" t="s">
        <v>113</v>
      </c>
      <c r="K29" s="13">
        <v>34510</v>
      </c>
      <c r="L29" s="10">
        <f t="shared" ca="1" si="1"/>
        <v>32</v>
      </c>
      <c r="M29" s="10" t="s">
        <v>120</v>
      </c>
      <c r="N29" s="10" t="s">
        <v>122</v>
      </c>
      <c r="O29" s="10" t="s">
        <v>142</v>
      </c>
      <c r="P29" s="18" t="s">
        <v>128</v>
      </c>
      <c r="Q29" s="10" t="s">
        <v>133</v>
      </c>
      <c r="R29" s="10" t="s">
        <v>767</v>
      </c>
      <c r="S29" s="10" t="s">
        <v>136</v>
      </c>
      <c r="T29" s="10"/>
      <c r="U29" s="10">
        <v>3001770584</v>
      </c>
      <c r="V29" s="10" t="s">
        <v>770</v>
      </c>
      <c r="W29" s="10"/>
      <c r="X29" s="10"/>
      <c r="Y29" s="28" t="s">
        <v>771</v>
      </c>
      <c r="Z29" s="10" t="s">
        <v>393</v>
      </c>
      <c r="AA29" s="13">
        <v>45906</v>
      </c>
      <c r="AB29" s="10" t="s">
        <v>440</v>
      </c>
      <c r="AC29" s="29"/>
      <c r="AD29" s="29"/>
    </row>
    <row r="30" spans="1:30" ht="15.75" customHeight="1" x14ac:dyDescent="0.25">
      <c r="A30" s="10" t="s">
        <v>77</v>
      </c>
      <c r="B30" s="10" t="s">
        <v>86</v>
      </c>
      <c r="C30" s="10" t="s">
        <v>91</v>
      </c>
      <c r="D30" s="10" t="s">
        <v>92</v>
      </c>
      <c r="E30" s="12">
        <v>1044620766</v>
      </c>
      <c r="F30" s="15" t="s">
        <v>777</v>
      </c>
      <c r="G30" s="10" t="s">
        <v>11</v>
      </c>
      <c r="H30" s="10" t="s">
        <v>780</v>
      </c>
      <c r="I30" s="16">
        <v>45895</v>
      </c>
      <c r="J30" s="12" t="s">
        <v>113</v>
      </c>
      <c r="K30" s="13">
        <v>39087</v>
      </c>
      <c r="L30" s="10">
        <f t="shared" ca="1" si="1"/>
        <v>19</v>
      </c>
      <c r="M30" s="10" t="s">
        <v>120</v>
      </c>
      <c r="N30" s="10" t="s">
        <v>122</v>
      </c>
      <c r="O30" s="12"/>
      <c r="P30" s="18" t="s">
        <v>128</v>
      </c>
      <c r="Q30" s="10" t="s">
        <v>133</v>
      </c>
      <c r="R30" s="12" t="s">
        <v>783</v>
      </c>
      <c r="S30" s="12" t="s">
        <v>151</v>
      </c>
      <c r="T30" s="12" t="s">
        <v>784</v>
      </c>
      <c r="U30" s="12">
        <v>3244693309</v>
      </c>
      <c r="V30" s="12" t="s">
        <v>785</v>
      </c>
      <c r="W30" s="10" t="s">
        <v>155</v>
      </c>
      <c r="X30" s="12"/>
      <c r="Y30" s="60"/>
      <c r="Z30" s="12"/>
      <c r="AA30" s="13">
        <v>45906</v>
      </c>
      <c r="AB30" s="10" t="s">
        <v>440</v>
      </c>
      <c r="AC30" s="29"/>
    </row>
    <row r="31" spans="1:30" ht="15.75" customHeight="1" x14ac:dyDescent="0.25">
      <c r="A31" s="10" t="s">
        <v>77</v>
      </c>
      <c r="B31" s="10" t="s">
        <v>86</v>
      </c>
      <c r="C31" s="10" t="s">
        <v>91</v>
      </c>
      <c r="D31" s="10" t="s">
        <v>92</v>
      </c>
      <c r="E31" s="10">
        <v>1143271328</v>
      </c>
      <c r="F31" s="51" t="s">
        <v>788</v>
      </c>
      <c r="G31" s="10" t="s">
        <v>11</v>
      </c>
      <c r="H31" s="10" t="s">
        <v>789</v>
      </c>
      <c r="I31" s="13">
        <v>45864</v>
      </c>
      <c r="J31" s="10" t="s">
        <v>113</v>
      </c>
      <c r="K31" s="13">
        <v>36521</v>
      </c>
      <c r="L31" s="10">
        <f t="shared" ca="1" si="1"/>
        <v>26</v>
      </c>
      <c r="M31" s="10" t="s">
        <v>120</v>
      </c>
      <c r="N31" s="10" t="s">
        <v>236</v>
      </c>
      <c r="O31" s="10" t="s">
        <v>142</v>
      </c>
      <c r="P31" s="18" t="s">
        <v>128</v>
      </c>
      <c r="Q31" s="10" t="s">
        <v>133</v>
      </c>
      <c r="R31" s="10" t="s">
        <v>795</v>
      </c>
      <c r="S31" s="10" t="s">
        <v>136</v>
      </c>
      <c r="T31" s="10"/>
      <c r="U31" s="10">
        <v>3022202997</v>
      </c>
      <c r="V31" s="10"/>
      <c r="W31" s="10"/>
      <c r="X31" s="10"/>
      <c r="Y31" s="28"/>
      <c r="Z31" s="13"/>
      <c r="AA31" s="13">
        <v>45906</v>
      </c>
      <c r="AB31" s="10" t="s">
        <v>440</v>
      </c>
      <c r="AC31" s="39"/>
      <c r="AD31" s="39"/>
    </row>
    <row r="32" spans="1:30" ht="15.75" customHeight="1" x14ac:dyDescent="0.25">
      <c r="A32" s="10" t="s">
        <v>77</v>
      </c>
      <c r="B32" s="10" t="s">
        <v>86</v>
      </c>
      <c r="C32" s="10" t="s">
        <v>91</v>
      </c>
      <c r="D32" s="10" t="s">
        <v>92</v>
      </c>
      <c r="E32" s="12">
        <v>1007219853</v>
      </c>
      <c r="F32" s="51" t="s">
        <v>798</v>
      </c>
      <c r="G32" s="10" t="s">
        <v>11</v>
      </c>
      <c r="H32" s="10" t="s">
        <v>799</v>
      </c>
      <c r="I32" s="16">
        <v>45891</v>
      </c>
      <c r="J32" s="12" t="s">
        <v>113</v>
      </c>
      <c r="K32" s="13">
        <v>36227</v>
      </c>
      <c r="L32" s="10">
        <f t="shared" ca="1" si="1"/>
        <v>27</v>
      </c>
      <c r="M32" s="10" t="s">
        <v>120</v>
      </c>
      <c r="N32" s="10" t="s">
        <v>122</v>
      </c>
      <c r="O32" s="12"/>
      <c r="P32" s="18" t="s">
        <v>128</v>
      </c>
      <c r="Q32" s="10" t="s">
        <v>133</v>
      </c>
      <c r="R32" s="12" t="s">
        <v>806</v>
      </c>
      <c r="S32" s="12" t="s">
        <v>151</v>
      </c>
      <c r="T32" s="12" t="s">
        <v>808</v>
      </c>
      <c r="U32" s="12">
        <v>3008763086</v>
      </c>
      <c r="V32" s="12"/>
      <c r="W32" s="10" t="s">
        <v>203</v>
      </c>
      <c r="X32" s="12"/>
      <c r="Y32" s="34"/>
      <c r="Z32" s="12"/>
      <c r="AA32" s="13">
        <v>45906</v>
      </c>
      <c r="AB32" s="10" t="s">
        <v>440</v>
      </c>
      <c r="AC32" s="29"/>
    </row>
    <row r="33" spans="1:33" ht="15.75" customHeight="1" x14ac:dyDescent="0.25">
      <c r="A33" s="10" t="s">
        <v>77</v>
      </c>
      <c r="B33" s="10" t="s">
        <v>86</v>
      </c>
      <c r="C33" s="10" t="s">
        <v>91</v>
      </c>
      <c r="D33" s="12" t="s">
        <v>92</v>
      </c>
      <c r="E33" s="12">
        <v>1007350126</v>
      </c>
      <c r="F33" s="51" t="s">
        <v>812</v>
      </c>
      <c r="G33" s="12" t="s">
        <v>26</v>
      </c>
      <c r="H33" s="10" t="s">
        <v>814</v>
      </c>
      <c r="I33" s="13">
        <v>45831</v>
      </c>
      <c r="J33" s="12" t="s">
        <v>113</v>
      </c>
      <c r="K33" s="16">
        <v>36757</v>
      </c>
      <c r="L33" s="10">
        <f t="shared" ca="1" si="1"/>
        <v>26</v>
      </c>
      <c r="M33" s="10" t="s">
        <v>120</v>
      </c>
      <c r="N33" s="10" t="s">
        <v>122</v>
      </c>
      <c r="O33" s="12" t="s">
        <v>142</v>
      </c>
      <c r="P33" s="18" t="s">
        <v>128</v>
      </c>
      <c r="Q33" s="12" t="s">
        <v>133</v>
      </c>
      <c r="R33" s="12" t="s">
        <v>816</v>
      </c>
      <c r="S33" s="12" t="s">
        <v>136</v>
      </c>
      <c r="T33" s="12"/>
      <c r="U33" s="12">
        <v>3004777180</v>
      </c>
      <c r="V33" s="12"/>
      <c r="W33" s="12" t="s">
        <v>605</v>
      </c>
      <c r="X33" s="12" t="s">
        <v>170</v>
      </c>
      <c r="Y33" s="34"/>
      <c r="Z33" s="16"/>
      <c r="AA33" s="16">
        <v>45908</v>
      </c>
      <c r="AB33" s="10" t="s">
        <v>148</v>
      </c>
      <c r="AC33" s="32"/>
      <c r="AD33" s="32"/>
    </row>
    <row r="34" spans="1:33" ht="15.75" customHeight="1" x14ac:dyDescent="0.25">
      <c r="A34" s="10" t="s">
        <v>77</v>
      </c>
      <c r="B34" s="10" t="s">
        <v>86</v>
      </c>
      <c r="C34" s="10" t="s">
        <v>91</v>
      </c>
      <c r="D34" s="10" t="s">
        <v>92</v>
      </c>
      <c r="E34" s="10">
        <v>1143460909</v>
      </c>
      <c r="F34" s="51" t="s">
        <v>821</v>
      </c>
      <c r="G34" s="10" t="s">
        <v>11</v>
      </c>
      <c r="H34" s="10" t="s">
        <v>823</v>
      </c>
      <c r="I34" s="13">
        <v>45864</v>
      </c>
      <c r="J34" s="10" t="s">
        <v>113</v>
      </c>
      <c r="K34" s="13">
        <v>35666</v>
      </c>
      <c r="L34" s="10">
        <f t="shared" ca="1" si="1"/>
        <v>29</v>
      </c>
      <c r="M34" s="10" t="s">
        <v>120</v>
      </c>
      <c r="N34" s="10" t="s">
        <v>236</v>
      </c>
      <c r="O34" s="10" t="s">
        <v>142</v>
      </c>
      <c r="P34" s="18" t="s">
        <v>128</v>
      </c>
      <c r="Q34" s="10" t="s">
        <v>133</v>
      </c>
      <c r="R34" s="10" t="s">
        <v>827</v>
      </c>
      <c r="S34" s="10" t="s">
        <v>136</v>
      </c>
      <c r="T34" s="10"/>
      <c r="U34" s="10">
        <v>3005117233</v>
      </c>
      <c r="V34" s="10"/>
      <c r="W34" s="10"/>
      <c r="X34" s="10"/>
      <c r="Y34" s="28"/>
      <c r="Z34" s="13"/>
      <c r="AA34" s="13">
        <v>45909</v>
      </c>
      <c r="AB34" s="10" t="s">
        <v>440</v>
      </c>
      <c r="AC34" s="39"/>
      <c r="AD34" s="39"/>
    </row>
    <row r="35" spans="1:33" ht="15.75" customHeight="1" x14ac:dyDescent="0.25">
      <c r="A35" s="10" t="s">
        <v>77</v>
      </c>
      <c r="B35" s="10" t="s">
        <v>86</v>
      </c>
      <c r="C35" s="10" t="s">
        <v>91</v>
      </c>
      <c r="D35" s="10" t="s">
        <v>92</v>
      </c>
      <c r="E35" s="12">
        <v>1001879232</v>
      </c>
      <c r="F35" s="50" t="s">
        <v>829</v>
      </c>
      <c r="G35" s="10" t="s">
        <v>11</v>
      </c>
      <c r="H35" s="10" t="s">
        <v>830</v>
      </c>
      <c r="I35" s="16">
        <v>45876</v>
      </c>
      <c r="J35" s="12" t="s">
        <v>113</v>
      </c>
      <c r="K35" s="53">
        <v>37253</v>
      </c>
      <c r="L35" s="10">
        <f t="shared" ca="1" si="1"/>
        <v>24</v>
      </c>
      <c r="M35" s="10" t="s">
        <v>120</v>
      </c>
      <c r="N35" s="10" t="s">
        <v>277</v>
      </c>
      <c r="O35" s="12"/>
      <c r="P35" s="18" t="s">
        <v>128</v>
      </c>
      <c r="Q35" s="10" t="s">
        <v>133</v>
      </c>
      <c r="R35" s="12" t="s">
        <v>834</v>
      </c>
      <c r="S35" s="12" t="s">
        <v>151</v>
      </c>
      <c r="T35" s="12"/>
      <c r="U35" s="12">
        <v>3234773994</v>
      </c>
      <c r="V35" s="12"/>
      <c r="W35" s="12"/>
      <c r="X35" s="12"/>
      <c r="Y35" s="34"/>
      <c r="Z35" s="16"/>
      <c r="AA35" s="16">
        <v>45905</v>
      </c>
      <c r="AB35" s="10" t="s">
        <v>440</v>
      </c>
      <c r="AC35" s="32"/>
      <c r="AD35" s="32"/>
    </row>
    <row r="36" spans="1:33" ht="15.75" hidden="1" customHeight="1" x14ac:dyDescent="0.25">
      <c r="A36" s="10" t="s">
        <v>77</v>
      </c>
      <c r="B36" s="10" t="s">
        <v>86</v>
      </c>
      <c r="C36" s="10" t="s">
        <v>91</v>
      </c>
      <c r="D36" s="10" t="s">
        <v>92</v>
      </c>
      <c r="E36" s="10">
        <v>1130594323</v>
      </c>
      <c r="F36" s="51" t="s">
        <v>835</v>
      </c>
      <c r="G36" s="10" t="s">
        <v>32</v>
      </c>
      <c r="H36" s="10" t="s">
        <v>836</v>
      </c>
      <c r="I36" s="13">
        <v>45862</v>
      </c>
      <c r="J36" s="10" t="s">
        <v>113</v>
      </c>
      <c r="K36" s="13">
        <v>31980</v>
      </c>
      <c r="L36" s="10">
        <f t="shared" ca="1" si="1"/>
        <v>39</v>
      </c>
      <c r="M36" s="10" t="s">
        <v>120</v>
      </c>
      <c r="N36" s="10" t="s">
        <v>122</v>
      </c>
      <c r="O36" s="10" t="s">
        <v>142</v>
      </c>
      <c r="P36" s="18" t="s">
        <v>648</v>
      </c>
      <c r="Q36" s="10" t="s">
        <v>133</v>
      </c>
      <c r="R36" s="10" t="s">
        <v>840</v>
      </c>
      <c r="S36" s="10" t="s">
        <v>151</v>
      </c>
      <c r="T36" s="10"/>
      <c r="U36" s="10">
        <v>3137884156</v>
      </c>
      <c r="V36" s="10" t="s">
        <v>841</v>
      </c>
      <c r="W36" s="10"/>
      <c r="X36" s="10"/>
      <c r="Y36" s="28"/>
      <c r="Z36" s="13"/>
      <c r="AA36" s="16">
        <v>45910</v>
      </c>
      <c r="AB36" s="10" t="s">
        <v>440</v>
      </c>
      <c r="AC36" s="29"/>
      <c r="AD36" s="29"/>
      <c r="AE36" s="29"/>
      <c r="AF36" s="29"/>
      <c r="AG36" s="29"/>
    </row>
    <row r="37" spans="1:33" ht="18.75" customHeight="1" x14ac:dyDescent="0.25">
      <c r="A37" s="10" t="s">
        <v>77</v>
      </c>
      <c r="B37" s="10" t="s">
        <v>86</v>
      </c>
      <c r="C37" s="10" t="s">
        <v>91</v>
      </c>
      <c r="D37" s="12" t="s">
        <v>92</v>
      </c>
      <c r="E37" s="12">
        <v>1042459298</v>
      </c>
      <c r="F37" s="51" t="s">
        <v>642</v>
      </c>
      <c r="G37" s="10" t="s">
        <v>11</v>
      </c>
      <c r="H37" s="10" t="s">
        <v>644</v>
      </c>
      <c r="I37" s="13">
        <v>45833</v>
      </c>
      <c r="J37" s="12" t="s">
        <v>113</v>
      </c>
      <c r="K37" s="16">
        <v>36034</v>
      </c>
      <c r="L37" s="10">
        <f t="shared" ca="1" si="1"/>
        <v>27</v>
      </c>
      <c r="M37" s="10" t="s">
        <v>120</v>
      </c>
      <c r="N37" s="10" t="s">
        <v>122</v>
      </c>
      <c r="O37" s="12" t="s">
        <v>124</v>
      </c>
      <c r="P37" s="18" t="s">
        <v>648</v>
      </c>
      <c r="Q37" s="12" t="s">
        <v>133</v>
      </c>
      <c r="R37" s="12" t="s">
        <v>650</v>
      </c>
      <c r="S37" s="12" t="s">
        <v>151</v>
      </c>
      <c r="T37" s="12"/>
      <c r="U37" s="12">
        <v>3006966647</v>
      </c>
      <c r="V37" s="12"/>
      <c r="W37" s="12" t="s">
        <v>605</v>
      </c>
      <c r="X37" s="12" t="s">
        <v>170</v>
      </c>
      <c r="Y37" s="34"/>
      <c r="Z37" s="16"/>
      <c r="AA37" s="16">
        <v>45917</v>
      </c>
      <c r="AB37" s="10" t="s">
        <v>440</v>
      </c>
      <c r="AC37" s="29"/>
      <c r="AD37" s="29"/>
      <c r="AE37" s="29"/>
      <c r="AF37" s="29"/>
      <c r="AG37" s="29"/>
    </row>
    <row r="38" spans="1:33" ht="15.75" customHeight="1" x14ac:dyDescent="0.25">
      <c r="A38" s="10" t="s">
        <v>77</v>
      </c>
      <c r="B38" s="10" t="s">
        <v>86</v>
      </c>
      <c r="C38" s="10" t="s">
        <v>91</v>
      </c>
      <c r="D38" s="10" t="s">
        <v>92</v>
      </c>
      <c r="E38" s="12">
        <v>1001888749</v>
      </c>
      <c r="F38" s="14" t="s">
        <v>850</v>
      </c>
      <c r="G38" s="10" t="s">
        <v>11</v>
      </c>
      <c r="H38" s="10" t="s">
        <v>851</v>
      </c>
      <c r="I38" s="16">
        <v>45895</v>
      </c>
      <c r="J38" s="12" t="s">
        <v>113</v>
      </c>
      <c r="K38" s="13">
        <v>36927</v>
      </c>
      <c r="L38" s="10">
        <f t="shared" ca="1" si="1"/>
        <v>25</v>
      </c>
      <c r="M38" s="10" t="s">
        <v>120</v>
      </c>
      <c r="N38" s="10" t="s">
        <v>122</v>
      </c>
      <c r="O38" s="12"/>
      <c r="P38" s="18" t="s">
        <v>128</v>
      </c>
      <c r="Q38" s="10" t="s">
        <v>133</v>
      </c>
      <c r="R38" s="12" t="s">
        <v>856</v>
      </c>
      <c r="S38" s="12" t="s">
        <v>151</v>
      </c>
      <c r="T38" s="12" t="s">
        <v>857</v>
      </c>
      <c r="U38" s="12">
        <v>3232992871</v>
      </c>
      <c r="V38" s="12" t="s">
        <v>858</v>
      </c>
      <c r="W38" s="10" t="s">
        <v>155</v>
      </c>
      <c r="X38" s="12" t="s">
        <v>170</v>
      </c>
      <c r="Y38" s="60"/>
      <c r="Z38" s="12"/>
      <c r="AA38" s="27">
        <v>45922</v>
      </c>
      <c r="AB38" s="10" t="s">
        <v>440</v>
      </c>
      <c r="AC38" s="39"/>
      <c r="AD38" s="39"/>
      <c r="AE38" s="39"/>
      <c r="AF38" s="39"/>
      <c r="AG38" s="39"/>
    </row>
    <row r="39" spans="1:33" ht="15.75" customHeight="1" x14ac:dyDescent="0.25">
      <c r="A39" s="10" t="s">
        <v>77</v>
      </c>
      <c r="B39" s="10" t="s">
        <v>86</v>
      </c>
      <c r="C39" s="10" t="s">
        <v>91</v>
      </c>
      <c r="D39" s="10" t="s">
        <v>92</v>
      </c>
      <c r="E39" s="10">
        <v>1001887355</v>
      </c>
      <c r="F39" s="51" t="s">
        <v>859</v>
      </c>
      <c r="G39" s="10" t="s">
        <v>11</v>
      </c>
      <c r="H39" s="12" t="s">
        <v>860</v>
      </c>
      <c r="I39" s="13">
        <v>45871</v>
      </c>
      <c r="J39" s="10" t="s">
        <v>113</v>
      </c>
      <c r="K39" s="13">
        <v>37571</v>
      </c>
      <c r="L39" s="10">
        <f t="shared" ca="1" si="1"/>
        <v>23</v>
      </c>
      <c r="M39" s="10" t="s">
        <v>120</v>
      </c>
      <c r="N39" s="10" t="s">
        <v>122</v>
      </c>
      <c r="O39" s="10" t="s">
        <v>142</v>
      </c>
      <c r="P39" s="18" t="s">
        <v>128</v>
      </c>
      <c r="Q39" s="10" t="s">
        <v>133</v>
      </c>
      <c r="R39" s="10" t="s">
        <v>862</v>
      </c>
      <c r="S39" s="10" t="s">
        <v>151</v>
      </c>
      <c r="T39" s="10"/>
      <c r="U39" s="10">
        <v>3053943488</v>
      </c>
      <c r="V39" s="10"/>
      <c r="W39" s="10"/>
      <c r="X39" s="10"/>
      <c r="Y39" s="28"/>
      <c r="Z39" s="10"/>
      <c r="AA39" s="27">
        <v>45922</v>
      </c>
      <c r="AB39" s="10" t="s">
        <v>440</v>
      </c>
      <c r="AC39" s="32"/>
      <c r="AD39" s="32"/>
      <c r="AE39" s="32"/>
      <c r="AF39" s="32"/>
      <c r="AG39" s="32"/>
    </row>
    <row r="40" spans="1:33" ht="15.75" customHeight="1" x14ac:dyDescent="0.25">
      <c r="A40" s="10" t="s">
        <v>77</v>
      </c>
      <c r="B40" s="10" t="s">
        <v>86</v>
      </c>
      <c r="C40" s="10" t="s">
        <v>91</v>
      </c>
      <c r="D40" s="10" t="s">
        <v>92</v>
      </c>
      <c r="E40" s="12">
        <v>1043130750</v>
      </c>
      <c r="F40" s="15" t="s">
        <v>869</v>
      </c>
      <c r="G40" s="10" t="s">
        <v>655</v>
      </c>
      <c r="H40" s="10" t="s">
        <v>871</v>
      </c>
      <c r="I40" s="16">
        <v>45891</v>
      </c>
      <c r="J40" s="12" t="s">
        <v>113</v>
      </c>
      <c r="K40" s="13">
        <v>38018</v>
      </c>
      <c r="L40" s="10">
        <f t="shared" ca="1" si="1"/>
        <v>22</v>
      </c>
      <c r="M40" s="10" t="s">
        <v>120</v>
      </c>
      <c r="N40" s="10" t="s">
        <v>236</v>
      </c>
      <c r="O40" s="12"/>
      <c r="P40" s="18" t="s">
        <v>128</v>
      </c>
      <c r="Q40" s="10" t="s">
        <v>133</v>
      </c>
      <c r="R40" s="12" t="s">
        <v>874</v>
      </c>
      <c r="S40" s="12" t="s">
        <v>136</v>
      </c>
      <c r="T40" s="12" t="s">
        <v>875</v>
      </c>
      <c r="U40" s="12">
        <v>3245416442</v>
      </c>
      <c r="V40" s="12" t="s">
        <v>876</v>
      </c>
      <c r="W40" s="10" t="s">
        <v>203</v>
      </c>
      <c r="X40" s="12"/>
      <c r="Y40" s="34"/>
      <c r="Z40" s="12"/>
      <c r="AA40" s="27">
        <v>45922</v>
      </c>
      <c r="AB40" s="10" t="s">
        <v>440</v>
      </c>
      <c r="AC40" s="29"/>
      <c r="AD40" s="29"/>
      <c r="AE40" s="29"/>
      <c r="AF40" s="29"/>
      <c r="AG40" s="29"/>
    </row>
    <row r="41" spans="1:33" ht="15.75" customHeight="1" x14ac:dyDescent="0.25">
      <c r="A41" s="10" t="s">
        <v>77</v>
      </c>
      <c r="B41" s="10" t="s">
        <v>86</v>
      </c>
      <c r="C41" s="10" t="s">
        <v>91</v>
      </c>
      <c r="D41" s="10" t="s">
        <v>92</v>
      </c>
      <c r="E41" s="12">
        <v>1043133929</v>
      </c>
      <c r="F41" s="51" t="s">
        <v>879</v>
      </c>
      <c r="G41" s="10" t="s">
        <v>11</v>
      </c>
      <c r="H41" s="10" t="s">
        <v>881</v>
      </c>
      <c r="I41" s="16">
        <v>45882</v>
      </c>
      <c r="J41" s="12" t="s">
        <v>113</v>
      </c>
      <c r="K41" s="16">
        <v>36609</v>
      </c>
      <c r="L41" s="10">
        <f t="shared" ca="1" si="1"/>
        <v>26</v>
      </c>
      <c r="M41" s="10" t="s">
        <v>120</v>
      </c>
      <c r="N41" s="10" t="s">
        <v>122</v>
      </c>
      <c r="O41" s="12"/>
      <c r="P41" s="18" t="s">
        <v>128</v>
      </c>
      <c r="Q41" s="10" t="s">
        <v>133</v>
      </c>
      <c r="R41" s="12" t="s">
        <v>884</v>
      </c>
      <c r="S41" s="12" t="s">
        <v>151</v>
      </c>
      <c r="T41" s="12"/>
      <c r="U41" s="12">
        <v>3002087929</v>
      </c>
      <c r="V41" s="12"/>
      <c r="W41" s="12"/>
      <c r="X41" s="12"/>
      <c r="Y41" s="34"/>
      <c r="Z41" s="16"/>
      <c r="AA41" s="27">
        <v>45922</v>
      </c>
      <c r="AB41" s="10" t="s">
        <v>440</v>
      </c>
      <c r="AC41" s="29"/>
      <c r="AD41" s="29"/>
      <c r="AE41" s="29"/>
      <c r="AF41" s="29"/>
      <c r="AG41" s="29"/>
    </row>
    <row r="42" spans="1:33" ht="15.75" customHeight="1" x14ac:dyDescent="0.25">
      <c r="A42" s="10" t="s">
        <v>77</v>
      </c>
      <c r="B42" s="10" t="s">
        <v>86</v>
      </c>
      <c r="C42" s="10" t="s">
        <v>91</v>
      </c>
      <c r="D42" s="10" t="s">
        <v>92</v>
      </c>
      <c r="E42" s="12">
        <v>1007218986</v>
      </c>
      <c r="F42" s="15" t="s">
        <v>890</v>
      </c>
      <c r="G42" s="10" t="s">
        <v>11</v>
      </c>
      <c r="H42" s="10" t="s">
        <v>891</v>
      </c>
      <c r="I42" s="16">
        <v>45894</v>
      </c>
      <c r="J42" s="12" t="s">
        <v>113</v>
      </c>
      <c r="K42" s="13">
        <v>35755</v>
      </c>
      <c r="L42" s="10">
        <f t="shared" ca="1" si="1"/>
        <v>28</v>
      </c>
      <c r="M42" s="10" t="s">
        <v>120</v>
      </c>
      <c r="N42" s="10" t="s">
        <v>236</v>
      </c>
      <c r="O42" s="12"/>
      <c r="P42" s="18" t="s">
        <v>128</v>
      </c>
      <c r="Q42" s="10" t="s">
        <v>133</v>
      </c>
      <c r="R42" s="12" t="s">
        <v>893</v>
      </c>
      <c r="S42" s="12" t="s">
        <v>136</v>
      </c>
      <c r="T42" s="12" t="s">
        <v>894</v>
      </c>
      <c r="U42" s="12">
        <v>3012357006</v>
      </c>
      <c r="V42" s="12" t="s">
        <v>895</v>
      </c>
      <c r="W42" s="10" t="s">
        <v>539</v>
      </c>
      <c r="X42" s="12" t="s">
        <v>288</v>
      </c>
      <c r="Y42" s="34"/>
      <c r="Z42" s="12"/>
      <c r="AA42" s="27">
        <v>45922</v>
      </c>
      <c r="AB42" s="10" t="s">
        <v>440</v>
      </c>
      <c r="AC42" s="39"/>
      <c r="AD42" s="39"/>
      <c r="AE42" s="39"/>
      <c r="AF42" s="39"/>
      <c r="AG42" s="39"/>
    </row>
    <row r="43" spans="1:33" ht="15.75" customHeight="1" x14ac:dyDescent="0.25">
      <c r="A43" s="10" t="s">
        <v>77</v>
      </c>
      <c r="B43" s="10" t="s">
        <v>86</v>
      </c>
      <c r="C43" s="10" t="s">
        <v>91</v>
      </c>
      <c r="D43" s="10" t="s">
        <v>92</v>
      </c>
      <c r="E43" s="12">
        <v>1005370332</v>
      </c>
      <c r="F43" s="50" t="s">
        <v>900</v>
      </c>
      <c r="G43" s="12" t="s">
        <v>26</v>
      </c>
      <c r="H43" s="10" t="s">
        <v>903</v>
      </c>
      <c r="I43" s="16">
        <v>45876</v>
      </c>
      <c r="J43" s="12" t="s">
        <v>113</v>
      </c>
      <c r="K43" s="16">
        <v>37884</v>
      </c>
      <c r="L43" s="10">
        <f t="shared" ca="1" si="1"/>
        <v>22</v>
      </c>
      <c r="M43" s="10" t="s">
        <v>120</v>
      </c>
      <c r="N43" s="10" t="s">
        <v>122</v>
      </c>
      <c r="O43" s="12"/>
      <c r="P43" s="18" t="s">
        <v>128</v>
      </c>
      <c r="Q43" s="10" t="s">
        <v>133</v>
      </c>
      <c r="R43" s="12" t="s">
        <v>904</v>
      </c>
      <c r="S43" s="12" t="s">
        <v>136</v>
      </c>
      <c r="T43" s="12"/>
      <c r="U43" s="12">
        <v>3227126950</v>
      </c>
      <c r="V43" s="12"/>
      <c r="W43" s="12"/>
      <c r="X43" s="12"/>
      <c r="Y43" s="34"/>
      <c r="Z43" s="16"/>
      <c r="AA43" s="13">
        <v>45926</v>
      </c>
      <c r="AB43" s="10" t="s">
        <v>908</v>
      </c>
      <c r="AC43" s="39"/>
      <c r="AD43" s="39"/>
    </row>
    <row r="44" spans="1:33" ht="15.75" customHeight="1" x14ac:dyDescent="0.25">
      <c r="A44" s="10" t="s">
        <v>77</v>
      </c>
      <c r="B44" s="10" t="s">
        <v>86</v>
      </c>
      <c r="C44" s="10" t="s">
        <v>91</v>
      </c>
      <c r="D44" s="10" t="s">
        <v>92</v>
      </c>
      <c r="E44" s="10">
        <v>1045686253</v>
      </c>
      <c r="F44" s="51" t="s">
        <v>910</v>
      </c>
      <c r="G44" s="12" t="s">
        <v>26</v>
      </c>
      <c r="H44" s="10" t="s">
        <v>911</v>
      </c>
      <c r="I44" s="13">
        <v>45864</v>
      </c>
      <c r="J44" s="10" t="s">
        <v>113</v>
      </c>
      <c r="K44" s="13">
        <v>32909</v>
      </c>
      <c r="L44" s="10">
        <f t="shared" ca="1" si="1"/>
        <v>36</v>
      </c>
      <c r="M44" s="10" t="s">
        <v>120</v>
      </c>
      <c r="N44" s="10" t="s">
        <v>122</v>
      </c>
      <c r="O44" s="10" t="s">
        <v>124</v>
      </c>
      <c r="P44" s="18" t="s">
        <v>128</v>
      </c>
      <c r="Q44" s="10" t="s">
        <v>133</v>
      </c>
      <c r="R44" s="10" t="s">
        <v>915</v>
      </c>
      <c r="S44" s="10" t="s">
        <v>151</v>
      </c>
      <c r="T44" s="10"/>
      <c r="U44" s="10">
        <v>3002336025</v>
      </c>
      <c r="V44" s="10"/>
      <c r="W44" s="10"/>
      <c r="X44" s="10"/>
      <c r="Y44" s="28"/>
      <c r="Z44" s="10"/>
      <c r="AA44" s="13">
        <v>45926</v>
      </c>
      <c r="AB44" s="10" t="s">
        <v>908</v>
      </c>
      <c r="AC44" s="39"/>
      <c r="AD44" s="39"/>
    </row>
    <row r="45" spans="1:33" ht="15.75" customHeight="1" x14ac:dyDescent="0.25">
      <c r="A45" s="10" t="s">
        <v>77</v>
      </c>
      <c r="B45" s="10" t="s">
        <v>86</v>
      </c>
      <c r="C45" s="10" t="s">
        <v>91</v>
      </c>
      <c r="D45" s="10" t="s">
        <v>92</v>
      </c>
      <c r="E45" s="10">
        <v>1143425190</v>
      </c>
      <c r="F45" s="51" t="s">
        <v>421</v>
      </c>
      <c r="G45" s="10" t="s">
        <v>741</v>
      </c>
      <c r="H45" s="10" t="s">
        <v>919</v>
      </c>
      <c r="I45" s="13">
        <v>45831</v>
      </c>
      <c r="J45" s="10" t="s">
        <v>113</v>
      </c>
      <c r="K45" s="13">
        <v>32684</v>
      </c>
      <c r="L45" s="10">
        <f t="shared" ca="1" si="1"/>
        <v>37</v>
      </c>
      <c r="M45" s="10" t="s">
        <v>120</v>
      </c>
      <c r="N45" s="10" t="s">
        <v>122</v>
      </c>
      <c r="O45" s="10" t="s">
        <v>142</v>
      </c>
      <c r="P45" s="18" t="s">
        <v>128</v>
      </c>
      <c r="Q45" s="10" t="s">
        <v>133</v>
      </c>
      <c r="R45" s="10" t="s">
        <v>923</v>
      </c>
      <c r="S45" s="10" t="s">
        <v>136</v>
      </c>
      <c r="T45" s="10"/>
      <c r="U45" s="10">
        <v>3158229087</v>
      </c>
      <c r="V45" s="10" t="s">
        <v>924</v>
      </c>
      <c r="W45" s="10" t="s">
        <v>206</v>
      </c>
      <c r="X45" s="10" t="s">
        <v>170</v>
      </c>
      <c r="Y45" s="28"/>
      <c r="Z45" s="13"/>
      <c r="AA45" s="13">
        <v>45929</v>
      </c>
      <c r="AB45" s="10" t="s">
        <v>908</v>
      </c>
      <c r="AC45" s="39"/>
      <c r="AD45" s="39"/>
    </row>
    <row r="46" spans="1:33" ht="15.75" customHeight="1" x14ac:dyDescent="0.25">
      <c r="A46" s="10" t="s">
        <v>160</v>
      </c>
      <c r="B46" s="10" t="s">
        <v>86</v>
      </c>
      <c r="C46" s="10" t="s">
        <v>91</v>
      </c>
      <c r="D46" s="10" t="s">
        <v>92</v>
      </c>
      <c r="E46" s="10">
        <v>1129487592</v>
      </c>
      <c r="F46" s="51" t="s">
        <v>925</v>
      </c>
      <c r="G46" s="10" t="s">
        <v>926</v>
      </c>
      <c r="H46" s="10" t="s">
        <v>927</v>
      </c>
      <c r="I46" s="13">
        <v>45917</v>
      </c>
      <c r="J46" s="10" t="s">
        <v>113</v>
      </c>
      <c r="K46" s="13">
        <v>36945</v>
      </c>
      <c r="L46" s="10">
        <f t="shared" ca="1" si="1"/>
        <v>25</v>
      </c>
      <c r="M46" s="10" t="s">
        <v>320</v>
      </c>
      <c r="N46" s="10" t="s">
        <v>236</v>
      </c>
      <c r="O46" s="10" t="s">
        <v>210</v>
      </c>
      <c r="P46" s="18" t="s">
        <v>128</v>
      </c>
      <c r="Q46" s="10"/>
      <c r="R46" s="10" t="s">
        <v>930</v>
      </c>
      <c r="S46" s="10" t="s">
        <v>932</v>
      </c>
      <c r="T46" s="10" t="s">
        <v>933</v>
      </c>
      <c r="U46" s="10">
        <v>3017898913</v>
      </c>
      <c r="V46" s="10" t="s">
        <v>934</v>
      </c>
      <c r="W46" s="10" t="s">
        <v>539</v>
      </c>
      <c r="X46" s="10"/>
      <c r="Y46" s="28"/>
      <c r="Z46" s="10" t="s">
        <v>935</v>
      </c>
      <c r="AA46" s="13">
        <v>45929</v>
      </c>
      <c r="AB46" s="10" t="s">
        <v>908</v>
      </c>
      <c r="AC46" s="29"/>
      <c r="AD46" s="29"/>
    </row>
    <row r="47" spans="1:33" ht="15.75" customHeight="1" x14ac:dyDescent="0.25">
      <c r="A47" s="10" t="s">
        <v>77</v>
      </c>
      <c r="B47" s="10" t="s">
        <v>86</v>
      </c>
      <c r="C47" s="10" t="s">
        <v>91</v>
      </c>
      <c r="D47" s="10" t="s">
        <v>92</v>
      </c>
      <c r="E47" s="10">
        <v>1048208138</v>
      </c>
      <c r="F47" s="25" t="s">
        <v>793</v>
      </c>
      <c r="G47" s="12" t="s">
        <v>26</v>
      </c>
      <c r="H47" s="10" t="s">
        <v>794</v>
      </c>
      <c r="I47" s="13">
        <v>45863</v>
      </c>
      <c r="J47" s="10" t="s">
        <v>113</v>
      </c>
      <c r="K47" s="13">
        <v>31904</v>
      </c>
      <c r="L47" s="10">
        <f t="shared" ca="1" si="1"/>
        <v>39</v>
      </c>
      <c r="M47" s="10" t="s">
        <v>120</v>
      </c>
      <c r="N47" s="10" t="s">
        <v>122</v>
      </c>
      <c r="O47" s="10" t="s">
        <v>142</v>
      </c>
      <c r="P47" s="18" t="s">
        <v>128</v>
      </c>
      <c r="Q47" s="10" t="s">
        <v>133</v>
      </c>
      <c r="R47" s="10" t="s">
        <v>797</v>
      </c>
      <c r="S47" s="10" t="s">
        <v>151</v>
      </c>
      <c r="T47" s="10"/>
      <c r="U47" s="10">
        <v>3017291708</v>
      </c>
      <c r="V47" s="10"/>
      <c r="W47" s="10"/>
      <c r="X47" s="10"/>
      <c r="Y47" s="28"/>
      <c r="Z47" s="13"/>
      <c r="AA47" s="13">
        <v>45931</v>
      </c>
      <c r="AB47" s="10" t="s">
        <v>908</v>
      </c>
      <c r="AC47" s="29"/>
      <c r="AD47" s="29"/>
    </row>
    <row r="48" spans="1:33" ht="15.75" customHeight="1" x14ac:dyDescent="0.25">
      <c r="A48" s="10" t="s">
        <v>77</v>
      </c>
      <c r="B48" s="10" t="s">
        <v>86</v>
      </c>
      <c r="C48" s="10" t="s">
        <v>91</v>
      </c>
      <c r="D48" s="10" t="s">
        <v>92</v>
      </c>
      <c r="E48" s="12">
        <v>1002035734</v>
      </c>
      <c r="F48" s="51" t="s">
        <v>943</v>
      </c>
      <c r="G48" s="10" t="s">
        <v>11</v>
      </c>
      <c r="H48" s="10" t="s">
        <v>945</v>
      </c>
      <c r="I48" s="16">
        <v>45883</v>
      </c>
      <c r="J48" s="12" t="s">
        <v>113</v>
      </c>
      <c r="K48" s="16">
        <v>36629</v>
      </c>
      <c r="L48" s="10">
        <f t="shared" ca="1" si="1"/>
        <v>26</v>
      </c>
      <c r="M48" s="10" t="s">
        <v>120</v>
      </c>
      <c r="N48" s="10" t="s">
        <v>236</v>
      </c>
      <c r="O48" s="12"/>
      <c r="P48" s="18" t="s">
        <v>128</v>
      </c>
      <c r="Q48" s="10" t="s">
        <v>133</v>
      </c>
      <c r="R48" s="12" t="s">
        <v>947</v>
      </c>
      <c r="S48" s="12" t="s">
        <v>136</v>
      </c>
      <c r="T48" s="12"/>
      <c r="U48" s="12">
        <v>3006484419</v>
      </c>
      <c r="V48" s="12"/>
      <c r="W48" s="12"/>
      <c r="X48" s="12"/>
      <c r="Y48" s="34"/>
      <c r="Z48" s="16"/>
      <c r="AA48" s="13">
        <v>45931</v>
      </c>
      <c r="AB48" s="10" t="s">
        <v>908</v>
      </c>
      <c r="AC48" s="39"/>
      <c r="AD48" s="39"/>
    </row>
    <row r="49" spans="1:31" ht="15.75" customHeight="1" x14ac:dyDescent="0.25">
      <c r="A49" s="10" t="s">
        <v>77</v>
      </c>
      <c r="B49" s="10" t="s">
        <v>86</v>
      </c>
      <c r="C49" s="10" t="s">
        <v>91</v>
      </c>
      <c r="D49" s="10" t="s">
        <v>92</v>
      </c>
      <c r="E49" s="12">
        <v>72234484</v>
      </c>
      <c r="F49" s="51" t="s">
        <v>951</v>
      </c>
      <c r="G49" s="12" t="s">
        <v>26</v>
      </c>
      <c r="H49" s="10" t="s">
        <v>953</v>
      </c>
      <c r="I49" s="13">
        <v>45831</v>
      </c>
      <c r="J49" s="10" t="s">
        <v>113</v>
      </c>
      <c r="K49" s="30">
        <v>28410</v>
      </c>
      <c r="L49" s="10">
        <f t="shared" ca="1" si="1"/>
        <v>48</v>
      </c>
      <c r="M49" s="10" t="s">
        <v>120</v>
      </c>
      <c r="N49" s="10" t="s">
        <v>277</v>
      </c>
      <c r="O49" s="12" t="s">
        <v>124</v>
      </c>
      <c r="P49" s="18" t="s">
        <v>128</v>
      </c>
      <c r="Q49" s="10" t="s">
        <v>133</v>
      </c>
      <c r="R49" s="12" t="s">
        <v>955</v>
      </c>
      <c r="S49" s="10" t="s">
        <v>136</v>
      </c>
      <c r="T49" s="12"/>
      <c r="U49" s="12">
        <v>3001836690</v>
      </c>
      <c r="V49" s="12" t="s">
        <v>957</v>
      </c>
      <c r="W49" s="12" t="s">
        <v>155</v>
      </c>
      <c r="X49" s="12" t="s">
        <v>288</v>
      </c>
      <c r="Y49" s="28"/>
      <c r="Z49" s="13"/>
      <c r="AA49" s="13">
        <v>45940</v>
      </c>
      <c r="AB49" s="10" t="s">
        <v>908</v>
      </c>
      <c r="AC49" s="39"/>
      <c r="AD49" s="39"/>
    </row>
    <row r="50" spans="1:31" ht="15.75" customHeight="1" x14ac:dyDescent="0.25">
      <c r="A50" s="10" t="s">
        <v>77</v>
      </c>
      <c r="B50" s="10" t="s">
        <v>86</v>
      </c>
      <c r="C50" s="10" t="s">
        <v>91</v>
      </c>
      <c r="D50" s="10" t="s">
        <v>92</v>
      </c>
      <c r="E50" s="12">
        <v>1006533896</v>
      </c>
      <c r="F50" s="25" t="s">
        <v>773</v>
      </c>
      <c r="G50" s="12" t="s">
        <v>26</v>
      </c>
      <c r="H50" s="10" t="s">
        <v>774</v>
      </c>
      <c r="I50" s="16">
        <v>45880</v>
      </c>
      <c r="J50" s="12" t="s">
        <v>113</v>
      </c>
      <c r="K50" s="53">
        <v>37389</v>
      </c>
      <c r="L50" s="10">
        <f t="shared" ca="1" si="1"/>
        <v>24</v>
      </c>
      <c r="M50" s="10" t="s">
        <v>120</v>
      </c>
      <c r="N50" s="10" t="s">
        <v>236</v>
      </c>
      <c r="O50" s="12"/>
      <c r="P50" s="18" t="s">
        <v>128</v>
      </c>
      <c r="Q50" s="10" t="s">
        <v>133</v>
      </c>
      <c r="R50" s="12" t="s">
        <v>782</v>
      </c>
      <c r="S50" s="12" t="s">
        <v>151</v>
      </c>
      <c r="T50" s="12"/>
      <c r="U50" s="12">
        <v>3202286405</v>
      </c>
      <c r="V50" s="12"/>
      <c r="W50" s="12"/>
      <c r="X50" s="12"/>
      <c r="Y50" s="34"/>
      <c r="Z50" s="16"/>
      <c r="AA50" s="16">
        <v>45938</v>
      </c>
      <c r="AB50" s="10" t="s">
        <v>908</v>
      </c>
      <c r="AC50" s="32"/>
      <c r="AD50" s="32"/>
    </row>
    <row r="51" spans="1:31" ht="15.75" customHeight="1" x14ac:dyDescent="0.25">
      <c r="A51" s="10" t="s">
        <v>77</v>
      </c>
      <c r="B51" s="10" t="s">
        <v>86</v>
      </c>
      <c r="C51" s="10" t="s">
        <v>91</v>
      </c>
      <c r="D51" s="10" t="s">
        <v>92</v>
      </c>
      <c r="E51" s="12">
        <v>1048319750</v>
      </c>
      <c r="F51" s="14" t="s">
        <v>971</v>
      </c>
      <c r="G51" s="12" t="s">
        <v>26</v>
      </c>
      <c r="H51" s="12" t="s">
        <v>973</v>
      </c>
      <c r="I51" s="16">
        <v>45869</v>
      </c>
      <c r="J51" s="12" t="s">
        <v>113</v>
      </c>
      <c r="K51" s="16">
        <v>32892</v>
      </c>
      <c r="L51" s="12"/>
      <c r="M51" s="5" t="s">
        <v>120</v>
      </c>
      <c r="N51" s="5"/>
      <c r="O51" s="12"/>
      <c r="P51" s="5"/>
      <c r="Q51" s="5"/>
      <c r="R51" s="12"/>
      <c r="S51" s="12"/>
      <c r="T51" s="12"/>
      <c r="U51" s="16">
        <v>45939</v>
      </c>
      <c r="V51" s="12"/>
      <c r="W51" s="5"/>
      <c r="X51" s="12"/>
      <c r="Y51" s="34" t="s">
        <v>977</v>
      </c>
      <c r="Z51" s="12" t="s">
        <v>978</v>
      </c>
      <c r="AA51" s="16">
        <v>45939</v>
      </c>
      <c r="AB51" s="10" t="s">
        <v>908</v>
      </c>
      <c r="AC51" s="29"/>
      <c r="AD51" s="29"/>
    </row>
    <row r="52" spans="1:31" ht="15.75" customHeight="1" x14ac:dyDescent="0.25">
      <c r="A52" s="10" t="s">
        <v>77</v>
      </c>
      <c r="B52" s="10" t="s">
        <v>86</v>
      </c>
      <c r="C52" s="10" t="s">
        <v>91</v>
      </c>
      <c r="D52" s="10" t="s">
        <v>92</v>
      </c>
      <c r="E52" s="10">
        <v>8499245</v>
      </c>
      <c r="F52" s="51" t="s">
        <v>299</v>
      </c>
      <c r="G52" s="10" t="s">
        <v>741</v>
      </c>
      <c r="H52" s="10" t="s">
        <v>981</v>
      </c>
      <c r="I52" s="13">
        <v>45862</v>
      </c>
      <c r="J52" s="10" t="s">
        <v>113</v>
      </c>
      <c r="K52" s="13">
        <v>31243</v>
      </c>
      <c r="L52" s="10">
        <f t="shared" ref="L52:L63" ca="1" si="2">IF(K52=0,"", DATEDIF(K52,TODAY(),"y"))</f>
        <v>41</v>
      </c>
      <c r="M52" s="10" t="s">
        <v>120</v>
      </c>
      <c r="N52" s="10" t="s">
        <v>122</v>
      </c>
      <c r="O52" s="10" t="s">
        <v>142</v>
      </c>
      <c r="P52" s="18" t="s">
        <v>128</v>
      </c>
      <c r="Q52" s="10" t="s">
        <v>133</v>
      </c>
      <c r="R52" s="10" t="s">
        <v>989</v>
      </c>
      <c r="S52" s="10" t="s">
        <v>990</v>
      </c>
      <c r="T52" s="10"/>
      <c r="U52" s="10">
        <v>3052117430</v>
      </c>
      <c r="V52" s="10" t="s">
        <v>991</v>
      </c>
      <c r="W52" s="10" t="s">
        <v>206</v>
      </c>
      <c r="X52" s="10" t="s">
        <v>170</v>
      </c>
      <c r="Y52" s="28"/>
      <c r="Z52" s="13"/>
      <c r="AA52" s="16">
        <v>45938</v>
      </c>
      <c r="AB52" s="10" t="s">
        <v>908</v>
      </c>
      <c r="AC52" s="32"/>
      <c r="AD52" s="32"/>
    </row>
    <row r="53" spans="1:31" ht="15.75" customHeight="1" x14ac:dyDescent="0.25">
      <c r="A53" s="10" t="s">
        <v>77</v>
      </c>
      <c r="B53" s="10" t="s">
        <v>86</v>
      </c>
      <c r="C53" s="10" t="s">
        <v>91</v>
      </c>
      <c r="D53" s="10" t="s">
        <v>92</v>
      </c>
      <c r="E53" s="22">
        <v>8508716</v>
      </c>
      <c r="F53" s="25" t="s">
        <v>993</v>
      </c>
      <c r="G53" s="10" t="s">
        <v>32</v>
      </c>
      <c r="H53" s="10" t="s">
        <v>994</v>
      </c>
      <c r="I53" s="13">
        <v>45831</v>
      </c>
      <c r="J53" s="12" t="s">
        <v>113</v>
      </c>
      <c r="K53" s="16">
        <v>29131</v>
      </c>
      <c r="L53" s="10">
        <f t="shared" ca="1" si="2"/>
        <v>46</v>
      </c>
      <c r="M53" s="10" t="s">
        <v>120</v>
      </c>
      <c r="N53" s="10" t="s">
        <v>277</v>
      </c>
      <c r="O53" s="18" t="s">
        <v>124</v>
      </c>
      <c r="P53" s="18" t="s">
        <v>128</v>
      </c>
      <c r="Q53" s="12" t="s">
        <v>133</v>
      </c>
      <c r="R53" s="12" t="s">
        <v>996</v>
      </c>
      <c r="S53" s="12" t="s">
        <v>136</v>
      </c>
      <c r="T53" s="12"/>
      <c r="U53" s="12">
        <v>3135226802</v>
      </c>
      <c r="V53" s="12" t="s">
        <v>997</v>
      </c>
      <c r="W53" s="12" t="s">
        <v>539</v>
      </c>
      <c r="X53" s="12" t="s">
        <v>170</v>
      </c>
      <c r="Y53" s="34"/>
      <c r="Z53" s="16"/>
      <c r="AA53" s="30">
        <v>45939</v>
      </c>
      <c r="AB53" s="10" t="s">
        <v>908</v>
      </c>
    </row>
    <row r="54" spans="1:31" ht="15.75" customHeight="1" x14ac:dyDescent="0.25">
      <c r="A54" s="29" t="s">
        <v>77</v>
      </c>
      <c r="B54" s="10" t="s">
        <v>86</v>
      </c>
      <c r="C54" s="10" t="s">
        <v>91</v>
      </c>
      <c r="D54" s="10" t="s">
        <v>92</v>
      </c>
      <c r="E54" s="10">
        <v>1043132841</v>
      </c>
      <c r="F54" s="51" t="s">
        <v>999</v>
      </c>
      <c r="G54" s="10" t="s">
        <v>11</v>
      </c>
      <c r="H54" s="10" t="s">
        <v>1000</v>
      </c>
      <c r="I54" s="13">
        <v>45934</v>
      </c>
      <c r="J54" s="10" t="s">
        <v>113</v>
      </c>
      <c r="K54" s="30">
        <v>37243</v>
      </c>
      <c r="L54" s="10">
        <f t="shared" ca="1" si="2"/>
        <v>24</v>
      </c>
      <c r="M54" s="10" t="s">
        <v>120</v>
      </c>
      <c r="N54" s="10" t="s">
        <v>236</v>
      </c>
      <c r="O54" s="10"/>
      <c r="P54" s="18"/>
      <c r="Q54" s="10"/>
      <c r="R54" s="10" t="s">
        <v>1003</v>
      </c>
      <c r="S54" s="10" t="s">
        <v>136</v>
      </c>
      <c r="T54" s="10"/>
      <c r="U54" s="10">
        <v>3136153877</v>
      </c>
      <c r="V54" s="10" t="s">
        <v>1004</v>
      </c>
      <c r="W54" s="10" t="s">
        <v>1005</v>
      </c>
      <c r="X54" s="10" t="s">
        <v>1006</v>
      </c>
      <c r="Y54" s="65" t="s">
        <v>1009</v>
      </c>
      <c r="Z54" s="10" t="s">
        <v>293</v>
      </c>
      <c r="AA54" s="30">
        <v>45940</v>
      </c>
      <c r="AB54" s="10" t="s">
        <v>908</v>
      </c>
      <c r="AC54" s="29"/>
      <c r="AD54" s="29"/>
    </row>
    <row r="55" spans="1:31" ht="15.75" customHeight="1" x14ac:dyDescent="0.25">
      <c r="A55" s="10" t="s">
        <v>77</v>
      </c>
      <c r="B55" s="10" t="s">
        <v>86</v>
      </c>
      <c r="C55" s="10" t="s">
        <v>91</v>
      </c>
      <c r="D55" s="10" t="s">
        <v>92</v>
      </c>
      <c r="E55" s="12">
        <v>1007278750</v>
      </c>
      <c r="F55" s="51" t="s">
        <v>1013</v>
      </c>
      <c r="G55" s="10" t="s">
        <v>11</v>
      </c>
      <c r="H55" s="10" t="s">
        <v>1015</v>
      </c>
      <c r="I55" s="16">
        <v>45883</v>
      </c>
      <c r="J55" s="12" t="s">
        <v>113</v>
      </c>
      <c r="K55" s="16">
        <v>36189</v>
      </c>
      <c r="L55" s="10">
        <f t="shared" ca="1" si="2"/>
        <v>27</v>
      </c>
      <c r="M55" s="10" t="s">
        <v>120</v>
      </c>
      <c r="N55" s="10" t="s">
        <v>122</v>
      </c>
      <c r="O55" s="12"/>
      <c r="P55" s="18" t="s">
        <v>128</v>
      </c>
      <c r="Q55" s="10" t="s">
        <v>133</v>
      </c>
      <c r="R55" s="12" t="s">
        <v>1016</v>
      </c>
      <c r="S55" s="12" t="s">
        <v>136</v>
      </c>
      <c r="T55" s="12"/>
      <c r="U55" s="12">
        <v>3292229791</v>
      </c>
      <c r="V55" s="12"/>
      <c r="W55" s="12"/>
      <c r="X55" s="12"/>
      <c r="Y55" s="34"/>
      <c r="Z55" s="16"/>
      <c r="AA55" s="30">
        <v>45941</v>
      </c>
      <c r="AB55" s="10" t="s">
        <v>908</v>
      </c>
      <c r="AC55" s="39"/>
      <c r="AD55" s="39"/>
    </row>
    <row r="56" spans="1:31" ht="15.75" customHeight="1" x14ac:dyDescent="0.25">
      <c r="A56" s="10" t="s">
        <v>77</v>
      </c>
      <c r="B56" s="10" t="s">
        <v>86</v>
      </c>
      <c r="C56" s="10" t="s">
        <v>91</v>
      </c>
      <c r="D56" s="10" t="s">
        <v>92</v>
      </c>
      <c r="E56" s="10">
        <v>1007874158</v>
      </c>
      <c r="F56" s="51" t="s">
        <v>1019</v>
      </c>
      <c r="G56" s="10" t="s">
        <v>11</v>
      </c>
      <c r="H56" s="10" t="s">
        <v>1020</v>
      </c>
      <c r="I56" s="13">
        <v>45924</v>
      </c>
      <c r="J56" s="10" t="s">
        <v>113</v>
      </c>
      <c r="K56" s="13">
        <v>36437</v>
      </c>
      <c r="L56" s="10">
        <f t="shared" ca="1" si="2"/>
        <v>26</v>
      </c>
      <c r="M56" s="10" t="s">
        <v>120</v>
      </c>
      <c r="N56" s="10" t="s">
        <v>236</v>
      </c>
      <c r="O56" s="10"/>
      <c r="P56" s="18"/>
      <c r="Q56" s="10"/>
      <c r="R56" s="10" t="s">
        <v>1022</v>
      </c>
      <c r="S56" s="10"/>
      <c r="T56" s="10"/>
      <c r="U56" s="10">
        <v>3009707557</v>
      </c>
      <c r="V56" s="10" t="s">
        <v>1023</v>
      </c>
      <c r="W56" s="10" t="s">
        <v>1005</v>
      </c>
      <c r="X56" s="10"/>
      <c r="Y56" s="28"/>
      <c r="Z56" s="10"/>
      <c r="AA56" s="30">
        <v>45940</v>
      </c>
      <c r="AB56" s="10" t="s">
        <v>908</v>
      </c>
      <c r="AC56" s="29"/>
      <c r="AD56" s="29"/>
    </row>
    <row r="57" spans="1:31" ht="15.75" customHeight="1" x14ac:dyDescent="0.25">
      <c r="A57" s="10" t="s">
        <v>77</v>
      </c>
      <c r="B57" s="10" t="s">
        <v>86</v>
      </c>
      <c r="C57" s="10" t="s">
        <v>91</v>
      </c>
      <c r="D57" s="10" t="s">
        <v>92</v>
      </c>
      <c r="E57" s="10">
        <v>1044216843</v>
      </c>
      <c r="F57" s="51" t="s">
        <v>1029</v>
      </c>
      <c r="G57" s="10" t="s">
        <v>11</v>
      </c>
      <c r="H57" s="10" t="s">
        <v>1031</v>
      </c>
      <c r="I57" s="13">
        <v>45924</v>
      </c>
      <c r="J57" s="10" t="s">
        <v>113</v>
      </c>
      <c r="K57" s="13">
        <v>36484</v>
      </c>
      <c r="L57" s="10">
        <f t="shared" ca="1" si="2"/>
        <v>26</v>
      </c>
      <c r="M57" s="10" t="s">
        <v>120</v>
      </c>
      <c r="N57" s="10" t="s">
        <v>122</v>
      </c>
      <c r="O57" s="10"/>
      <c r="P57" s="18"/>
      <c r="Q57" s="10"/>
      <c r="R57" s="10" t="s">
        <v>1035</v>
      </c>
      <c r="S57" s="10"/>
      <c r="T57" s="10"/>
      <c r="U57" s="10">
        <v>3019405736</v>
      </c>
      <c r="V57" s="10" t="s">
        <v>1036</v>
      </c>
      <c r="W57" s="10" t="s">
        <v>965</v>
      </c>
      <c r="X57" s="10"/>
      <c r="Y57" s="28"/>
      <c r="Z57" s="10"/>
      <c r="AA57" s="30">
        <v>45940</v>
      </c>
      <c r="AB57" s="10" t="s">
        <v>908</v>
      </c>
      <c r="AC57" s="29"/>
      <c r="AD57" s="29"/>
    </row>
    <row r="58" spans="1:31" ht="15.75" customHeight="1" x14ac:dyDescent="0.25">
      <c r="A58" s="10" t="s">
        <v>77</v>
      </c>
      <c r="B58" s="10" t="s">
        <v>86</v>
      </c>
      <c r="C58" s="10" t="s">
        <v>91</v>
      </c>
      <c r="D58" s="12" t="s">
        <v>92</v>
      </c>
      <c r="E58" s="12">
        <v>7599800</v>
      </c>
      <c r="F58" s="25" t="s">
        <v>1040</v>
      </c>
      <c r="G58" s="12" t="s">
        <v>26</v>
      </c>
      <c r="H58" s="10" t="s">
        <v>1042</v>
      </c>
      <c r="I58" s="13">
        <v>45831</v>
      </c>
      <c r="J58" s="12" t="s">
        <v>113</v>
      </c>
      <c r="K58" s="53">
        <v>28079</v>
      </c>
      <c r="L58" s="10">
        <f t="shared" ca="1" si="2"/>
        <v>49</v>
      </c>
      <c r="M58" s="10" t="s">
        <v>120</v>
      </c>
      <c r="N58" s="10" t="s">
        <v>236</v>
      </c>
      <c r="O58" s="12" t="s">
        <v>210</v>
      </c>
      <c r="P58" s="18" t="s">
        <v>128</v>
      </c>
      <c r="Q58" s="12" t="s">
        <v>133</v>
      </c>
      <c r="R58" s="12" t="s">
        <v>1048</v>
      </c>
      <c r="S58" s="12" t="s">
        <v>136</v>
      </c>
      <c r="T58" s="12"/>
      <c r="U58" s="12">
        <v>3136504046</v>
      </c>
      <c r="V58" s="12"/>
      <c r="W58" s="12" t="s">
        <v>605</v>
      </c>
      <c r="X58" s="12" t="s">
        <v>170</v>
      </c>
      <c r="Y58" s="34"/>
      <c r="Z58" s="53"/>
      <c r="AA58" s="30">
        <v>45952</v>
      </c>
      <c r="AB58" s="10" t="s">
        <v>908</v>
      </c>
      <c r="AC58" s="64"/>
      <c r="AD58" s="64"/>
      <c r="AE58" s="64"/>
    </row>
    <row r="59" spans="1:31" ht="15.75" customHeight="1" x14ac:dyDescent="0.25">
      <c r="A59" s="10" t="s">
        <v>160</v>
      </c>
      <c r="B59" s="10" t="s">
        <v>86</v>
      </c>
      <c r="C59" s="10" t="s">
        <v>91</v>
      </c>
      <c r="D59" s="10" t="s">
        <v>92</v>
      </c>
      <c r="E59" s="10">
        <v>1047340915</v>
      </c>
      <c r="F59" s="25" t="s">
        <v>1056</v>
      </c>
      <c r="G59" s="10" t="s">
        <v>693</v>
      </c>
      <c r="H59" s="10" t="s">
        <v>1058</v>
      </c>
      <c r="I59" s="13">
        <v>45901</v>
      </c>
      <c r="J59" s="10" t="s">
        <v>113</v>
      </c>
      <c r="K59" s="13">
        <v>33317</v>
      </c>
      <c r="L59" s="10">
        <f t="shared" ca="1" si="2"/>
        <v>35</v>
      </c>
      <c r="M59" s="10" t="s">
        <v>120</v>
      </c>
      <c r="N59" s="10" t="s">
        <v>122</v>
      </c>
      <c r="O59" s="10" t="s">
        <v>142</v>
      </c>
      <c r="P59" s="18" t="s">
        <v>128</v>
      </c>
      <c r="Q59" s="10" t="s">
        <v>133</v>
      </c>
      <c r="R59" s="10" t="s">
        <v>1065</v>
      </c>
      <c r="S59" s="10" t="s">
        <v>136</v>
      </c>
      <c r="T59" s="10"/>
      <c r="U59" s="10">
        <v>3044497659</v>
      </c>
      <c r="V59" s="10" t="s">
        <v>1066</v>
      </c>
      <c r="W59" s="10" t="s">
        <v>215</v>
      </c>
      <c r="X59" s="10" t="s">
        <v>170</v>
      </c>
      <c r="Y59" s="28"/>
      <c r="Z59" s="10" t="s">
        <v>935</v>
      </c>
      <c r="AA59" s="30">
        <v>45952</v>
      </c>
      <c r="AB59" s="10" t="s">
        <v>908</v>
      </c>
    </row>
    <row r="60" spans="1:31" ht="15.75" customHeight="1" x14ac:dyDescent="0.25">
      <c r="A60" s="10" t="s">
        <v>77</v>
      </c>
      <c r="B60" s="10" t="s">
        <v>86</v>
      </c>
      <c r="C60" s="10" t="s">
        <v>91</v>
      </c>
      <c r="D60" s="10" t="s">
        <v>92</v>
      </c>
      <c r="E60" s="10">
        <v>1120369294</v>
      </c>
      <c r="F60" s="51" t="s">
        <v>1070</v>
      </c>
      <c r="G60" s="10" t="s">
        <v>18</v>
      </c>
      <c r="H60" s="10" t="s">
        <v>1071</v>
      </c>
      <c r="I60" s="13">
        <v>45930</v>
      </c>
      <c r="J60" s="10" t="s">
        <v>113</v>
      </c>
      <c r="K60" s="13">
        <v>33946</v>
      </c>
      <c r="L60" s="10">
        <f t="shared" ca="1" si="2"/>
        <v>33</v>
      </c>
      <c r="M60" s="10" t="s">
        <v>120</v>
      </c>
      <c r="N60" s="10" t="s">
        <v>236</v>
      </c>
      <c r="O60" s="10" t="s">
        <v>142</v>
      </c>
      <c r="P60" s="18" t="s">
        <v>128</v>
      </c>
      <c r="Q60" s="10"/>
      <c r="R60" s="10" t="s">
        <v>1073</v>
      </c>
      <c r="S60" s="10" t="s">
        <v>136</v>
      </c>
      <c r="T60" s="10" t="s">
        <v>548</v>
      </c>
      <c r="U60" s="10">
        <v>3169825070</v>
      </c>
      <c r="V60" s="10" t="s">
        <v>1074</v>
      </c>
      <c r="W60" s="10" t="s">
        <v>965</v>
      </c>
      <c r="X60" s="10" t="s">
        <v>966</v>
      </c>
      <c r="Y60" s="10">
        <v>3169825070</v>
      </c>
      <c r="Z60" s="10" t="s">
        <v>293</v>
      </c>
      <c r="AA60" s="30">
        <v>45957</v>
      </c>
      <c r="AB60" s="10" t="s">
        <v>908</v>
      </c>
      <c r="AC60" s="29"/>
      <c r="AD60" s="29"/>
      <c r="AE60" s="29"/>
    </row>
    <row r="61" spans="1:31" ht="15.75" customHeight="1" x14ac:dyDescent="0.25">
      <c r="A61" s="10" t="s">
        <v>77</v>
      </c>
      <c r="B61" s="10" t="s">
        <v>86</v>
      </c>
      <c r="C61" s="10" t="s">
        <v>91</v>
      </c>
      <c r="D61" s="10" t="s">
        <v>92</v>
      </c>
      <c r="E61" s="10">
        <v>72225853</v>
      </c>
      <c r="F61" s="25" t="s">
        <v>1077</v>
      </c>
      <c r="G61" s="12" t="s">
        <v>26</v>
      </c>
      <c r="H61" s="10" t="s">
        <v>1078</v>
      </c>
      <c r="I61" s="13">
        <v>45831</v>
      </c>
      <c r="J61" s="10" t="s">
        <v>113</v>
      </c>
      <c r="K61" s="30">
        <v>28094</v>
      </c>
      <c r="L61" s="10">
        <f t="shared" ca="1" si="2"/>
        <v>49</v>
      </c>
      <c r="M61" s="10" t="s">
        <v>120</v>
      </c>
      <c r="N61" s="10" t="s">
        <v>122</v>
      </c>
      <c r="O61" s="18" t="s">
        <v>124</v>
      </c>
      <c r="P61" s="18" t="s">
        <v>128</v>
      </c>
      <c r="Q61" s="10" t="s">
        <v>133</v>
      </c>
      <c r="R61" s="10" t="s">
        <v>1083</v>
      </c>
      <c r="S61" s="10" t="s">
        <v>136</v>
      </c>
      <c r="T61" s="10"/>
      <c r="U61" s="10">
        <v>3233940448</v>
      </c>
      <c r="V61" s="40" t="s">
        <v>1084</v>
      </c>
      <c r="W61" s="10" t="s">
        <v>605</v>
      </c>
      <c r="X61" s="10" t="s">
        <v>288</v>
      </c>
      <c r="Y61" s="28"/>
      <c r="Z61" s="30"/>
      <c r="AA61" s="30">
        <v>45959</v>
      </c>
      <c r="AB61" s="10" t="s">
        <v>908</v>
      </c>
    </row>
    <row r="62" spans="1:31" ht="15.75" customHeight="1" x14ac:dyDescent="0.25">
      <c r="A62" s="10" t="s">
        <v>77</v>
      </c>
      <c r="B62" s="10" t="s">
        <v>86</v>
      </c>
      <c r="C62" s="10" t="s">
        <v>91</v>
      </c>
      <c r="D62" s="10" t="s">
        <v>92</v>
      </c>
      <c r="E62" s="10">
        <v>72020710</v>
      </c>
      <c r="F62" s="25" t="s">
        <v>578</v>
      </c>
      <c r="G62" s="10" t="s">
        <v>18</v>
      </c>
      <c r="H62" s="10" t="s">
        <v>1095</v>
      </c>
      <c r="I62" s="13">
        <v>45870</v>
      </c>
      <c r="J62" s="10" t="s">
        <v>113</v>
      </c>
      <c r="K62" s="13">
        <v>29723</v>
      </c>
      <c r="L62" s="10">
        <f t="shared" ca="1" si="2"/>
        <v>45</v>
      </c>
      <c r="M62" s="10" t="s">
        <v>120</v>
      </c>
      <c r="N62" s="10" t="s">
        <v>122</v>
      </c>
      <c r="O62" s="10" t="s">
        <v>142</v>
      </c>
      <c r="P62" s="18" t="s">
        <v>128</v>
      </c>
      <c r="Q62" s="10" t="s">
        <v>133</v>
      </c>
      <c r="R62" s="10" t="s">
        <v>1099</v>
      </c>
      <c r="S62" s="10" t="s">
        <v>136</v>
      </c>
      <c r="T62" s="10"/>
      <c r="U62" s="10">
        <v>3011955216</v>
      </c>
      <c r="V62" s="10" t="s">
        <v>1104</v>
      </c>
      <c r="W62" s="10"/>
      <c r="X62" s="10"/>
      <c r="Y62" s="28"/>
      <c r="Z62" s="13"/>
      <c r="AA62" s="30">
        <v>45962</v>
      </c>
      <c r="AB62" s="10" t="s">
        <v>440</v>
      </c>
      <c r="AC62" s="64"/>
      <c r="AD62" s="64"/>
      <c r="AE62" s="64"/>
    </row>
    <row r="63" spans="1:31" ht="15.75" customHeight="1" x14ac:dyDescent="0.25">
      <c r="A63" s="10" t="s">
        <v>160</v>
      </c>
      <c r="B63" s="10" t="s">
        <v>86</v>
      </c>
      <c r="C63" s="10" t="s">
        <v>91</v>
      </c>
      <c r="D63" s="10" t="s">
        <v>92</v>
      </c>
      <c r="E63" s="12">
        <v>1001818457</v>
      </c>
      <c r="F63" s="14" t="s">
        <v>1107</v>
      </c>
      <c r="G63" s="10" t="s">
        <v>1108</v>
      </c>
      <c r="H63" s="10" t="s">
        <v>1109</v>
      </c>
      <c r="I63" s="16">
        <v>45896</v>
      </c>
      <c r="J63" s="12" t="s">
        <v>113</v>
      </c>
      <c r="K63" s="13">
        <v>36167</v>
      </c>
      <c r="L63" s="10">
        <f t="shared" ca="1" si="2"/>
        <v>27</v>
      </c>
      <c r="M63" s="10" t="s">
        <v>120</v>
      </c>
      <c r="N63" s="10" t="s">
        <v>236</v>
      </c>
      <c r="O63" s="12"/>
      <c r="P63" s="18" t="s">
        <v>128</v>
      </c>
      <c r="Q63" s="10" t="s">
        <v>133</v>
      </c>
      <c r="R63" s="12" t="s">
        <v>1111</v>
      </c>
      <c r="S63" s="12" t="s">
        <v>136</v>
      </c>
      <c r="T63" s="12"/>
      <c r="U63" s="12">
        <v>3017736795</v>
      </c>
      <c r="V63" s="12"/>
      <c r="W63" s="10"/>
      <c r="X63" s="12"/>
      <c r="Y63" s="60" t="s">
        <v>1112</v>
      </c>
      <c r="Z63" s="12" t="s">
        <v>293</v>
      </c>
      <c r="AA63" s="53">
        <v>45964</v>
      </c>
      <c r="AB63" s="12" t="s">
        <v>1113</v>
      </c>
      <c r="AC63" s="55"/>
      <c r="AD63" s="55"/>
      <c r="AE63" s="55"/>
    </row>
    <row r="64" spans="1:31" ht="15.75" customHeight="1" x14ac:dyDescent="0.25">
      <c r="A64" s="10" t="s">
        <v>77</v>
      </c>
      <c r="B64" s="10" t="s">
        <v>86</v>
      </c>
      <c r="C64" s="10" t="s">
        <v>91</v>
      </c>
      <c r="D64" s="10" t="s">
        <v>92</v>
      </c>
      <c r="E64" s="12">
        <v>72241513</v>
      </c>
      <c r="F64" s="23" t="s">
        <v>1118</v>
      </c>
      <c r="G64" s="12" t="s">
        <v>32</v>
      </c>
      <c r="H64" s="12" t="s">
        <v>1120</v>
      </c>
      <c r="I64" s="13">
        <v>45831</v>
      </c>
      <c r="J64" s="12" t="s">
        <v>113</v>
      </c>
      <c r="K64" s="66"/>
      <c r="L64" s="12"/>
      <c r="M64" s="10" t="s">
        <v>120</v>
      </c>
      <c r="N64" s="10" t="s">
        <v>277</v>
      </c>
      <c r="O64" s="12" t="s">
        <v>124</v>
      </c>
      <c r="P64" s="18" t="s">
        <v>128</v>
      </c>
      <c r="Q64" s="10" t="s">
        <v>133</v>
      </c>
      <c r="R64" s="12" t="s">
        <v>1127</v>
      </c>
      <c r="S64" s="12" t="s">
        <v>136</v>
      </c>
      <c r="T64" s="12"/>
      <c r="U64" s="12" t="s">
        <v>1128</v>
      </c>
      <c r="V64" s="12" t="s">
        <v>1129</v>
      </c>
      <c r="W64" s="12"/>
      <c r="X64" s="12"/>
      <c r="Y64" s="34" t="s">
        <v>216</v>
      </c>
      <c r="Z64" s="16"/>
      <c r="AA64" s="13">
        <v>45960</v>
      </c>
      <c r="AB64" s="10" t="s">
        <v>908</v>
      </c>
    </row>
    <row r="65" spans="1:33" ht="15.75" customHeight="1" x14ac:dyDescent="0.25">
      <c r="A65" s="10" t="s">
        <v>77</v>
      </c>
      <c r="B65" s="10" t="s">
        <v>86</v>
      </c>
      <c r="C65" s="10" t="s">
        <v>91</v>
      </c>
      <c r="D65" s="10" t="s">
        <v>92</v>
      </c>
      <c r="E65" s="10">
        <v>1007132808</v>
      </c>
      <c r="F65" s="51" t="s">
        <v>1133</v>
      </c>
      <c r="G65" s="12" t="s">
        <v>26</v>
      </c>
      <c r="H65" s="10" t="s">
        <v>1134</v>
      </c>
      <c r="I65" s="13">
        <v>45945</v>
      </c>
      <c r="J65" s="10" t="s">
        <v>1136</v>
      </c>
      <c r="K65" s="13">
        <v>37761</v>
      </c>
      <c r="L65" s="10">
        <f t="shared" ref="L65:L73" ca="1" si="3">IF(K65=0,"", DATEDIF(K65,TODAY(),"y"))</f>
        <v>23</v>
      </c>
      <c r="M65" s="10" t="s">
        <v>120</v>
      </c>
      <c r="N65" s="10" t="s">
        <v>236</v>
      </c>
      <c r="O65" s="10" t="s">
        <v>142</v>
      </c>
      <c r="P65" s="18" t="s">
        <v>128</v>
      </c>
      <c r="Q65" s="10"/>
      <c r="R65" s="10" t="s">
        <v>1141</v>
      </c>
      <c r="S65" s="10" t="s">
        <v>136</v>
      </c>
      <c r="T65" s="10" t="s">
        <v>136</v>
      </c>
      <c r="U65" s="10">
        <v>3114257112</v>
      </c>
      <c r="V65" s="10" t="s">
        <v>1142</v>
      </c>
      <c r="W65" s="10" t="s">
        <v>1144</v>
      </c>
      <c r="X65" s="10" t="s">
        <v>966</v>
      </c>
      <c r="Y65" s="28"/>
      <c r="Z65" s="10"/>
      <c r="AA65" s="13">
        <v>45965</v>
      </c>
      <c r="AB65" s="10" t="s">
        <v>440</v>
      </c>
      <c r="AC65" s="39"/>
      <c r="AD65" s="39"/>
      <c r="AE65" s="39"/>
    </row>
    <row r="66" spans="1:33" ht="15.75" customHeight="1" x14ac:dyDescent="0.25">
      <c r="A66" s="10" t="s">
        <v>77</v>
      </c>
      <c r="B66" s="10" t="s">
        <v>86</v>
      </c>
      <c r="C66" s="10" t="s">
        <v>91</v>
      </c>
      <c r="D66" s="10" t="s">
        <v>92</v>
      </c>
      <c r="E66" s="12">
        <v>1002208196</v>
      </c>
      <c r="F66" s="14" t="s">
        <v>1148</v>
      </c>
      <c r="G66" s="10" t="s">
        <v>11</v>
      </c>
      <c r="H66" s="10" t="s">
        <v>1150</v>
      </c>
      <c r="I66" s="16">
        <v>45891</v>
      </c>
      <c r="J66" s="12" t="s">
        <v>113</v>
      </c>
      <c r="K66" s="13">
        <v>32919</v>
      </c>
      <c r="L66" s="10">
        <f t="shared" ca="1" si="3"/>
        <v>36</v>
      </c>
      <c r="M66" s="10" t="s">
        <v>120</v>
      </c>
      <c r="N66" s="10" t="s">
        <v>122</v>
      </c>
      <c r="O66" s="12" t="s">
        <v>124</v>
      </c>
      <c r="P66" s="18" t="s">
        <v>128</v>
      </c>
      <c r="Q66" s="10" t="s">
        <v>133</v>
      </c>
      <c r="R66" s="12" t="s">
        <v>1153</v>
      </c>
      <c r="S66" s="12" t="s">
        <v>136</v>
      </c>
      <c r="T66" s="12" t="s">
        <v>1154</v>
      </c>
      <c r="U66" s="12">
        <v>3243198623</v>
      </c>
      <c r="V66" s="12"/>
      <c r="W66" s="10" t="s">
        <v>155</v>
      </c>
      <c r="X66" s="12"/>
      <c r="Y66" s="34" t="s">
        <v>1155</v>
      </c>
      <c r="Z66" s="12" t="s">
        <v>293</v>
      </c>
      <c r="AA66" s="13">
        <v>45965</v>
      </c>
      <c r="AB66" s="10" t="s">
        <v>908</v>
      </c>
    </row>
    <row r="67" spans="1:33" ht="15.75" customHeight="1" x14ac:dyDescent="0.25">
      <c r="A67" s="10" t="s">
        <v>77</v>
      </c>
      <c r="B67" s="10" t="s">
        <v>86</v>
      </c>
      <c r="C67" s="10" t="s">
        <v>91</v>
      </c>
      <c r="D67" s="10" t="s">
        <v>92</v>
      </c>
      <c r="E67" s="10">
        <v>1043115145</v>
      </c>
      <c r="F67" s="51" t="s">
        <v>1161</v>
      </c>
      <c r="G67" s="12" t="s">
        <v>26</v>
      </c>
      <c r="H67" s="10" t="s">
        <v>1162</v>
      </c>
      <c r="I67" s="16">
        <v>45966</v>
      </c>
      <c r="J67" s="12" t="s">
        <v>113</v>
      </c>
      <c r="K67" s="13">
        <v>36234</v>
      </c>
      <c r="L67" s="10">
        <f t="shared" ca="1" si="3"/>
        <v>27</v>
      </c>
      <c r="M67" s="10" t="s">
        <v>120</v>
      </c>
      <c r="N67" s="10" t="s">
        <v>277</v>
      </c>
      <c r="O67" s="10" t="s">
        <v>142</v>
      </c>
      <c r="P67" s="18" t="s">
        <v>128</v>
      </c>
      <c r="Q67" s="10"/>
      <c r="R67" s="10" t="s">
        <v>1166</v>
      </c>
      <c r="S67" s="10" t="s">
        <v>151</v>
      </c>
      <c r="T67" s="10" t="s">
        <v>1168</v>
      </c>
      <c r="U67" s="10">
        <v>3042877524</v>
      </c>
      <c r="V67" s="10" t="s">
        <v>1169</v>
      </c>
      <c r="W67" s="10" t="s">
        <v>169</v>
      </c>
      <c r="X67" s="10" t="s">
        <v>288</v>
      </c>
      <c r="Y67" s="28" t="s">
        <v>1170</v>
      </c>
      <c r="Z67" s="28" t="s">
        <v>293</v>
      </c>
      <c r="AA67" s="30">
        <v>45971</v>
      </c>
      <c r="AB67" s="10" t="s">
        <v>908</v>
      </c>
      <c r="AC67" s="29"/>
      <c r="AD67" s="29"/>
      <c r="AE67" s="29"/>
      <c r="AF67" s="29"/>
      <c r="AG67" s="29"/>
    </row>
    <row r="68" spans="1:33" ht="15.75" customHeight="1" x14ac:dyDescent="0.25">
      <c r="A68" s="10" t="s">
        <v>160</v>
      </c>
      <c r="B68" s="10" t="s">
        <v>86</v>
      </c>
      <c r="C68" s="10" t="s">
        <v>91</v>
      </c>
      <c r="D68" s="10" t="s">
        <v>92</v>
      </c>
      <c r="E68" s="10">
        <v>1140884412</v>
      </c>
      <c r="F68" s="25" t="s">
        <v>1171</v>
      </c>
      <c r="G68" s="10" t="s">
        <v>1173</v>
      </c>
      <c r="H68" s="10" t="s">
        <v>1174</v>
      </c>
      <c r="I68" s="13">
        <v>45890</v>
      </c>
      <c r="J68" s="10" t="s">
        <v>113</v>
      </c>
      <c r="K68" s="13">
        <v>35014</v>
      </c>
      <c r="L68" s="10">
        <f t="shared" ca="1" si="3"/>
        <v>30</v>
      </c>
      <c r="M68" s="10" t="s">
        <v>320</v>
      </c>
      <c r="N68" s="10" t="s">
        <v>122</v>
      </c>
      <c r="O68" s="10"/>
      <c r="P68" s="18"/>
      <c r="Q68" s="10" t="s">
        <v>133</v>
      </c>
      <c r="R68" s="10" t="s">
        <v>1176</v>
      </c>
      <c r="S68" s="12" t="s">
        <v>507</v>
      </c>
      <c r="T68" s="10"/>
      <c r="U68" s="10">
        <v>3052730563</v>
      </c>
      <c r="V68" s="10" t="s">
        <v>1177</v>
      </c>
      <c r="W68" s="10" t="s">
        <v>539</v>
      </c>
      <c r="X68" s="10"/>
      <c r="Y68" s="28"/>
      <c r="Z68" s="10"/>
      <c r="AA68" s="30">
        <v>45974</v>
      </c>
      <c r="AB68" s="10" t="s">
        <v>908</v>
      </c>
      <c r="AC68" s="29"/>
      <c r="AD68" s="29"/>
      <c r="AE68" s="29"/>
      <c r="AF68" s="29"/>
      <c r="AG68" s="29"/>
    </row>
    <row r="69" spans="1:33" ht="15.75" customHeight="1" x14ac:dyDescent="0.25">
      <c r="A69" s="10" t="s">
        <v>77</v>
      </c>
      <c r="B69" s="10" t="s">
        <v>86</v>
      </c>
      <c r="C69" s="10" t="s">
        <v>91</v>
      </c>
      <c r="D69" s="10" t="s">
        <v>92</v>
      </c>
      <c r="E69" s="10">
        <v>72249502</v>
      </c>
      <c r="F69" s="23" t="s">
        <v>1179</v>
      </c>
      <c r="G69" s="12" t="s">
        <v>26</v>
      </c>
      <c r="H69" s="12"/>
      <c r="I69" s="13">
        <v>45971</v>
      </c>
      <c r="J69" s="10" t="s">
        <v>113</v>
      </c>
      <c r="K69" s="13">
        <v>29089</v>
      </c>
      <c r="L69" s="10">
        <f t="shared" ca="1" si="3"/>
        <v>47</v>
      </c>
      <c r="M69" s="10" t="s">
        <v>120</v>
      </c>
      <c r="N69" s="10" t="s">
        <v>277</v>
      </c>
      <c r="O69" s="10" t="s">
        <v>124</v>
      </c>
      <c r="P69" s="18" t="s">
        <v>648</v>
      </c>
      <c r="Q69" s="19"/>
      <c r="R69" s="10" t="s">
        <v>1184</v>
      </c>
      <c r="S69" s="10" t="s">
        <v>136</v>
      </c>
      <c r="T69" s="10" t="s">
        <v>151</v>
      </c>
      <c r="U69" s="10">
        <v>3006913006</v>
      </c>
      <c r="V69" s="10" t="s">
        <v>1185</v>
      </c>
      <c r="W69" s="10" t="s">
        <v>781</v>
      </c>
      <c r="X69" s="10" t="s">
        <v>170</v>
      </c>
      <c r="Y69" s="10">
        <v>3006913006</v>
      </c>
      <c r="Z69" s="10" t="s">
        <v>1186</v>
      </c>
      <c r="AA69" s="75">
        <v>45975</v>
      </c>
      <c r="AB69" s="10" t="s">
        <v>908</v>
      </c>
      <c r="AC69" s="76"/>
      <c r="AD69" s="76"/>
      <c r="AE69" s="76"/>
      <c r="AF69" s="76"/>
      <c r="AG69" s="76"/>
    </row>
    <row r="70" spans="1:33" ht="15.75" customHeight="1" x14ac:dyDescent="0.25">
      <c r="A70" s="10" t="s">
        <v>77</v>
      </c>
      <c r="B70" s="10" t="s">
        <v>86</v>
      </c>
      <c r="C70" s="10" t="s">
        <v>91</v>
      </c>
      <c r="D70" s="10" t="s">
        <v>92</v>
      </c>
      <c r="E70" s="10">
        <v>1002135594</v>
      </c>
      <c r="F70" s="51" t="s">
        <v>1190</v>
      </c>
      <c r="G70" s="12" t="s">
        <v>26</v>
      </c>
      <c r="H70" s="30"/>
      <c r="I70" s="30">
        <v>45979</v>
      </c>
      <c r="J70" s="10" t="s">
        <v>113</v>
      </c>
      <c r="K70" s="13">
        <v>36752</v>
      </c>
      <c r="L70" s="10">
        <f t="shared" ca="1" si="3"/>
        <v>26</v>
      </c>
      <c r="M70" s="10" t="s">
        <v>120</v>
      </c>
      <c r="N70" s="10" t="s">
        <v>236</v>
      </c>
      <c r="O70" s="10" t="s">
        <v>210</v>
      </c>
      <c r="P70" s="18" t="s">
        <v>128</v>
      </c>
      <c r="Q70" s="10"/>
      <c r="R70" s="10" t="s">
        <v>1194</v>
      </c>
      <c r="S70" s="10" t="s">
        <v>136</v>
      </c>
      <c r="T70" s="10" t="s">
        <v>1196</v>
      </c>
      <c r="U70" s="10">
        <v>3028333871</v>
      </c>
      <c r="V70" s="10" t="s">
        <v>1197</v>
      </c>
      <c r="W70" s="10" t="s">
        <v>539</v>
      </c>
      <c r="X70" s="10" t="s">
        <v>288</v>
      </c>
      <c r="Y70" s="10">
        <v>3028333871</v>
      </c>
      <c r="Z70" s="10" t="s">
        <v>293</v>
      </c>
      <c r="AA70" s="75">
        <v>45982</v>
      </c>
      <c r="AB70" s="10" t="s">
        <v>908</v>
      </c>
      <c r="AC70" s="29"/>
      <c r="AD70" s="29"/>
      <c r="AE70" s="29"/>
      <c r="AF70" s="29"/>
      <c r="AG70" s="29"/>
    </row>
    <row r="71" spans="1:33" ht="15.75" customHeight="1" x14ac:dyDescent="0.25">
      <c r="A71" s="10" t="s">
        <v>77</v>
      </c>
      <c r="B71" s="10" t="s">
        <v>86</v>
      </c>
      <c r="C71" s="10" t="s">
        <v>91</v>
      </c>
      <c r="D71" s="10" t="s">
        <v>92</v>
      </c>
      <c r="E71" s="12">
        <v>1101458476</v>
      </c>
      <c r="F71" s="25" t="s">
        <v>1201</v>
      </c>
      <c r="G71" s="10" t="s">
        <v>741</v>
      </c>
      <c r="H71" s="10" t="s">
        <v>1203</v>
      </c>
      <c r="I71" s="16">
        <v>45881</v>
      </c>
      <c r="J71" s="12" t="s">
        <v>113</v>
      </c>
      <c r="K71" s="16">
        <v>35215</v>
      </c>
      <c r="L71" s="10">
        <f t="shared" ca="1" si="3"/>
        <v>30</v>
      </c>
      <c r="M71" s="10" t="s">
        <v>120</v>
      </c>
      <c r="N71" s="10" t="s">
        <v>277</v>
      </c>
      <c r="O71" s="12"/>
      <c r="P71" s="18" t="s">
        <v>128</v>
      </c>
      <c r="Q71" s="10" t="s">
        <v>133</v>
      </c>
      <c r="R71" s="12" t="s">
        <v>1205</v>
      </c>
      <c r="S71" s="12" t="s">
        <v>136</v>
      </c>
      <c r="T71" s="12"/>
      <c r="U71" s="12">
        <v>3147078366</v>
      </c>
      <c r="V71" s="12"/>
      <c r="W71" s="12"/>
      <c r="X71" s="12"/>
      <c r="Y71" s="28" t="s">
        <v>1206</v>
      </c>
      <c r="Z71" s="10" t="s">
        <v>978</v>
      </c>
      <c r="AA71" s="30">
        <v>45981</v>
      </c>
      <c r="AB71" s="10" t="s">
        <v>1113</v>
      </c>
      <c r="AC71" s="29"/>
      <c r="AD71" s="29"/>
      <c r="AE71" s="29"/>
      <c r="AF71" s="29"/>
      <c r="AG71" s="29"/>
    </row>
    <row r="72" spans="1:33" ht="15.75" customHeight="1" x14ac:dyDescent="0.25">
      <c r="A72" s="10" t="s">
        <v>77</v>
      </c>
      <c r="B72" s="10" t="s">
        <v>86</v>
      </c>
      <c r="C72" s="10" t="s">
        <v>91</v>
      </c>
      <c r="D72" s="10" t="s">
        <v>92</v>
      </c>
      <c r="E72" s="12">
        <v>1043115094</v>
      </c>
      <c r="F72" s="25" t="s">
        <v>1209</v>
      </c>
      <c r="G72" s="10" t="s">
        <v>11</v>
      </c>
      <c r="H72" s="10" t="s">
        <v>1210</v>
      </c>
      <c r="I72" s="16">
        <v>45880</v>
      </c>
      <c r="J72" s="12" t="s">
        <v>113</v>
      </c>
      <c r="K72" s="53">
        <v>35751</v>
      </c>
      <c r="L72" s="10">
        <f t="shared" ca="1" si="3"/>
        <v>28</v>
      </c>
      <c r="M72" s="10" t="s">
        <v>120</v>
      </c>
      <c r="N72" s="10" t="s">
        <v>236</v>
      </c>
      <c r="O72" s="12"/>
      <c r="P72" s="18" t="s">
        <v>128</v>
      </c>
      <c r="Q72" s="10" t="s">
        <v>133</v>
      </c>
      <c r="R72" s="12" t="s">
        <v>1214</v>
      </c>
      <c r="S72" s="12" t="s">
        <v>151</v>
      </c>
      <c r="T72" s="12"/>
      <c r="U72" s="12">
        <v>3001364043</v>
      </c>
      <c r="V72" s="12"/>
      <c r="W72" s="12"/>
      <c r="X72" s="12"/>
      <c r="Y72" s="34"/>
      <c r="Z72" s="16"/>
      <c r="AA72" s="13">
        <v>45982</v>
      </c>
      <c r="AB72" s="10" t="s">
        <v>440</v>
      </c>
      <c r="AC72" s="39"/>
      <c r="AD72" s="39"/>
      <c r="AE72" s="39"/>
      <c r="AF72" s="39"/>
      <c r="AG72" s="39"/>
    </row>
    <row r="73" spans="1:33" ht="15.75" customHeight="1" x14ac:dyDescent="0.25">
      <c r="A73" s="10" t="s">
        <v>77</v>
      </c>
      <c r="B73" s="10" t="s">
        <v>86</v>
      </c>
      <c r="C73" s="10" t="s">
        <v>91</v>
      </c>
      <c r="D73" s="10" t="s">
        <v>92</v>
      </c>
      <c r="E73" s="10">
        <v>8527244</v>
      </c>
      <c r="F73" s="51" t="s">
        <v>1217</v>
      </c>
      <c r="G73" s="12" t="s">
        <v>26</v>
      </c>
      <c r="H73" s="10" t="s">
        <v>1219</v>
      </c>
      <c r="I73" s="13">
        <v>45885</v>
      </c>
      <c r="J73" s="10" t="s">
        <v>113</v>
      </c>
      <c r="K73" s="30">
        <v>30753</v>
      </c>
      <c r="L73" s="10">
        <f t="shared" ca="1" si="3"/>
        <v>42</v>
      </c>
      <c r="M73" s="10" t="s">
        <v>120</v>
      </c>
      <c r="N73" s="10" t="s">
        <v>277</v>
      </c>
      <c r="O73" s="10"/>
      <c r="P73" s="10" t="s">
        <v>128</v>
      </c>
      <c r="Q73" s="10" t="s">
        <v>133</v>
      </c>
      <c r="R73" s="10" t="s">
        <v>1224</v>
      </c>
      <c r="S73" s="10" t="s">
        <v>1225</v>
      </c>
      <c r="T73" s="10"/>
      <c r="U73" s="10">
        <v>3225425657</v>
      </c>
      <c r="V73" s="10"/>
      <c r="W73" s="10"/>
      <c r="X73" s="10"/>
      <c r="Y73" s="28"/>
      <c r="Z73" s="10"/>
      <c r="AA73" s="13">
        <v>45982</v>
      </c>
      <c r="AB73" s="10" t="s">
        <v>440</v>
      </c>
      <c r="AC73" s="39"/>
      <c r="AD73" s="39"/>
      <c r="AE73" s="39"/>
      <c r="AF73" s="39"/>
      <c r="AG73" s="39"/>
    </row>
    <row r="74" spans="1:33" ht="15.75" customHeight="1" x14ac:dyDescent="0.25">
      <c r="A74" s="10" t="s">
        <v>77</v>
      </c>
      <c r="B74" s="10" t="s">
        <v>86</v>
      </c>
      <c r="C74" s="10" t="s">
        <v>91</v>
      </c>
      <c r="D74" s="10" t="s">
        <v>92</v>
      </c>
      <c r="E74" s="10">
        <v>1128061666</v>
      </c>
      <c r="F74" s="23" t="s">
        <v>1227</v>
      </c>
      <c r="G74" s="10" t="s">
        <v>32</v>
      </c>
      <c r="H74" s="10" t="s">
        <v>1228</v>
      </c>
      <c r="I74" s="13">
        <v>45833</v>
      </c>
      <c r="J74" s="10" t="s">
        <v>113</v>
      </c>
      <c r="K74" s="79"/>
      <c r="L74" s="10"/>
      <c r="M74" s="10" t="s">
        <v>120</v>
      </c>
      <c r="N74" s="10" t="s">
        <v>236</v>
      </c>
      <c r="O74" s="10" t="s">
        <v>142</v>
      </c>
      <c r="P74" s="10" t="s">
        <v>128</v>
      </c>
      <c r="Q74" s="10" t="s">
        <v>133</v>
      </c>
      <c r="R74" s="10" t="s">
        <v>1232</v>
      </c>
      <c r="S74" s="10" t="s">
        <v>136</v>
      </c>
      <c r="T74" s="10"/>
      <c r="U74" s="10">
        <v>3145572759</v>
      </c>
      <c r="V74" s="10" t="s">
        <v>1233</v>
      </c>
      <c r="W74" s="10"/>
      <c r="X74" s="10" t="s">
        <v>605</v>
      </c>
      <c r="Y74" s="28"/>
      <c r="Z74" s="10"/>
      <c r="AA74" s="30">
        <v>45981</v>
      </c>
      <c r="AB74" s="10" t="s">
        <v>440</v>
      </c>
      <c r="AC74" s="64"/>
      <c r="AD74" s="64"/>
      <c r="AE74" s="64"/>
      <c r="AF74" s="64"/>
      <c r="AG74" s="64"/>
    </row>
    <row r="75" spans="1:33" ht="15.75" customHeight="1" x14ac:dyDescent="0.25">
      <c r="A75" s="10" t="s">
        <v>77</v>
      </c>
      <c r="B75" s="10" t="s">
        <v>86</v>
      </c>
      <c r="C75" s="10" t="s">
        <v>91</v>
      </c>
      <c r="D75" s="10" t="s">
        <v>92</v>
      </c>
      <c r="E75" s="10">
        <v>1129497307</v>
      </c>
      <c r="F75" s="51" t="s">
        <v>1236</v>
      </c>
      <c r="G75" s="12" t="s">
        <v>26</v>
      </c>
      <c r="H75" s="10"/>
      <c r="I75" s="30">
        <v>45979</v>
      </c>
      <c r="J75" s="10" t="s">
        <v>113</v>
      </c>
      <c r="K75" s="13">
        <v>31499</v>
      </c>
      <c r="L75" s="10">
        <f t="shared" ref="L75:L109" ca="1" si="4">IF(K75=0,"", DATEDIF(K75,TODAY(),"y"))</f>
        <v>40</v>
      </c>
      <c r="M75" s="10" t="s">
        <v>120</v>
      </c>
      <c r="N75" s="10" t="s">
        <v>122</v>
      </c>
      <c r="O75" s="10" t="s">
        <v>124</v>
      </c>
      <c r="P75" s="10" t="s">
        <v>128</v>
      </c>
      <c r="Q75" s="10"/>
      <c r="R75" s="10" t="s">
        <v>1241</v>
      </c>
      <c r="S75" s="10" t="s">
        <v>136</v>
      </c>
      <c r="T75" s="10" t="s">
        <v>136</v>
      </c>
      <c r="U75" s="10">
        <v>3017606548</v>
      </c>
      <c r="V75" s="10" t="s">
        <v>1244</v>
      </c>
      <c r="W75" s="10" t="s">
        <v>471</v>
      </c>
      <c r="X75" s="10" t="s">
        <v>1246</v>
      </c>
      <c r="Y75" s="10">
        <v>3017606548</v>
      </c>
      <c r="Z75" s="10"/>
      <c r="AA75" s="13">
        <v>45982</v>
      </c>
      <c r="AB75" s="10" t="s">
        <v>908</v>
      </c>
      <c r="AC75" s="29"/>
      <c r="AD75" s="29"/>
      <c r="AE75" s="29"/>
      <c r="AF75" s="29"/>
      <c r="AG75" s="29"/>
    </row>
    <row r="76" spans="1:33" ht="15.75" customHeight="1" x14ac:dyDescent="0.25">
      <c r="A76" s="10" t="s">
        <v>77</v>
      </c>
      <c r="B76" s="10" t="s">
        <v>86</v>
      </c>
      <c r="C76" s="10" t="s">
        <v>91</v>
      </c>
      <c r="D76" s="10" t="s">
        <v>92</v>
      </c>
      <c r="E76" s="10">
        <v>1129519956</v>
      </c>
      <c r="F76" s="25" t="s">
        <v>1248</v>
      </c>
      <c r="G76" s="10" t="s">
        <v>11</v>
      </c>
      <c r="H76" s="10" t="s">
        <v>1249</v>
      </c>
      <c r="I76" s="13">
        <v>45853</v>
      </c>
      <c r="J76" s="10" t="s">
        <v>113</v>
      </c>
      <c r="K76" s="13">
        <v>31831</v>
      </c>
      <c r="L76" s="10">
        <f t="shared" ca="1" si="4"/>
        <v>39</v>
      </c>
      <c r="M76" s="10" t="s">
        <v>120</v>
      </c>
      <c r="N76" s="10" t="s">
        <v>122</v>
      </c>
      <c r="O76" s="10" t="s">
        <v>124</v>
      </c>
      <c r="P76" s="21" t="s">
        <v>648</v>
      </c>
      <c r="Q76" s="10" t="s">
        <v>133</v>
      </c>
      <c r="R76" s="10" t="s">
        <v>1252</v>
      </c>
      <c r="S76" s="10" t="s">
        <v>136</v>
      </c>
      <c r="T76" s="10"/>
      <c r="U76" s="10">
        <v>3001652969</v>
      </c>
      <c r="V76" s="10"/>
      <c r="W76" s="10"/>
      <c r="X76" s="10"/>
      <c r="Y76" s="28" t="s">
        <v>1254</v>
      </c>
      <c r="Z76" s="10" t="s">
        <v>293</v>
      </c>
      <c r="AA76" s="16">
        <v>45985</v>
      </c>
      <c r="AB76" s="12" t="s">
        <v>440</v>
      </c>
      <c r="AC76" s="32"/>
      <c r="AD76" s="32"/>
      <c r="AE76" s="32"/>
      <c r="AF76" s="32"/>
      <c r="AG76" s="32"/>
    </row>
    <row r="77" spans="1:33" ht="15.75" customHeight="1" x14ac:dyDescent="0.25">
      <c r="A77" s="10" t="s">
        <v>77</v>
      </c>
      <c r="B77" s="42" t="s">
        <v>86</v>
      </c>
      <c r="C77" s="42" t="s">
        <v>91</v>
      </c>
      <c r="D77" s="42" t="s">
        <v>92</v>
      </c>
      <c r="E77" s="10">
        <v>1129577319</v>
      </c>
      <c r="F77" s="51" t="s">
        <v>1258</v>
      </c>
      <c r="G77" s="10" t="s">
        <v>32</v>
      </c>
      <c r="H77" s="10"/>
      <c r="I77" s="13">
        <v>45985</v>
      </c>
      <c r="J77" s="10" t="s">
        <v>1136</v>
      </c>
      <c r="K77" s="13">
        <v>31934</v>
      </c>
      <c r="L77" s="42">
        <f t="shared" ca="1" si="4"/>
        <v>39</v>
      </c>
      <c r="M77" s="10" t="s">
        <v>120</v>
      </c>
      <c r="N77" s="10" t="s">
        <v>122</v>
      </c>
      <c r="O77" s="10" t="s">
        <v>124</v>
      </c>
      <c r="P77" s="18" t="s">
        <v>128</v>
      </c>
      <c r="Q77" s="10"/>
      <c r="R77" s="10" t="s">
        <v>1263</v>
      </c>
      <c r="S77" s="10" t="s">
        <v>151</v>
      </c>
      <c r="T77" s="10" t="s">
        <v>1264</v>
      </c>
      <c r="U77" s="10">
        <v>3225692968</v>
      </c>
      <c r="V77" s="10" t="s">
        <v>1265</v>
      </c>
      <c r="W77" s="10" t="s">
        <v>155</v>
      </c>
      <c r="X77" s="10" t="s">
        <v>1266</v>
      </c>
      <c r="Y77" s="10">
        <v>3225692968</v>
      </c>
      <c r="Z77" s="10" t="s">
        <v>293</v>
      </c>
      <c r="AA77" s="13">
        <v>45988</v>
      </c>
      <c r="AB77" s="10" t="s">
        <v>908</v>
      </c>
      <c r="AC77" s="29"/>
      <c r="AD77" s="29"/>
      <c r="AE77" s="29"/>
      <c r="AF77" s="29"/>
      <c r="AG77" s="29"/>
    </row>
    <row r="78" spans="1:33" ht="15.75" customHeight="1" x14ac:dyDescent="0.25">
      <c r="A78" s="10" t="s">
        <v>77</v>
      </c>
      <c r="B78" s="10" t="s">
        <v>86</v>
      </c>
      <c r="C78" s="10" t="s">
        <v>91</v>
      </c>
      <c r="D78" s="10" t="s">
        <v>92</v>
      </c>
      <c r="E78" s="12">
        <v>1068387809</v>
      </c>
      <c r="F78" s="50" t="s">
        <v>1269</v>
      </c>
      <c r="G78" s="12" t="s">
        <v>26</v>
      </c>
      <c r="H78" s="10" t="s">
        <v>1271</v>
      </c>
      <c r="I78" s="16">
        <v>45883</v>
      </c>
      <c r="J78" s="12" t="s">
        <v>113</v>
      </c>
      <c r="K78" s="16">
        <v>34032</v>
      </c>
      <c r="L78" s="10">
        <f t="shared" ca="1" si="4"/>
        <v>33</v>
      </c>
      <c r="M78" s="10" t="s">
        <v>120</v>
      </c>
      <c r="N78" s="10" t="s">
        <v>236</v>
      </c>
      <c r="O78" s="22"/>
      <c r="P78" s="81" t="s">
        <v>128</v>
      </c>
      <c r="Q78" s="29" t="s">
        <v>133</v>
      </c>
      <c r="R78" s="22" t="s">
        <v>1276</v>
      </c>
      <c r="S78" s="22" t="s">
        <v>136</v>
      </c>
      <c r="T78" s="22"/>
      <c r="U78" s="22">
        <v>3001644994</v>
      </c>
      <c r="V78" s="22"/>
      <c r="W78" s="22"/>
      <c r="X78" s="12"/>
      <c r="Y78" s="34" t="s">
        <v>1278</v>
      </c>
      <c r="Z78" s="12" t="s">
        <v>293</v>
      </c>
      <c r="AA78" s="13">
        <v>45992</v>
      </c>
      <c r="AB78" s="10" t="s">
        <v>440</v>
      </c>
      <c r="AC78" s="29"/>
      <c r="AD78" s="29"/>
      <c r="AE78" s="29"/>
      <c r="AF78" s="29"/>
      <c r="AG78" s="29"/>
    </row>
    <row r="79" spans="1:33" ht="15.75" customHeight="1" x14ac:dyDescent="0.25">
      <c r="A79" s="10" t="s">
        <v>160</v>
      </c>
      <c r="B79" s="10" t="s">
        <v>86</v>
      </c>
      <c r="C79" s="10" t="s">
        <v>91</v>
      </c>
      <c r="D79" s="10" t="s">
        <v>92</v>
      </c>
      <c r="E79" s="12">
        <v>1103215471</v>
      </c>
      <c r="F79" s="25" t="s">
        <v>1283</v>
      </c>
      <c r="G79" s="10" t="s">
        <v>1284</v>
      </c>
      <c r="H79" s="12" t="s">
        <v>1285</v>
      </c>
      <c r="I79" s="13">
        <v>45831</v>
      </c>
      <c r="J79" s="12" t="s">
        <v>113</v>
      </c>
      <c r="K79" s="16">
        <v>36236</v>
      </c>
      <c r="L79" s="10">
        <f t="shared" ca="1" si="4"/>
        <v>27</v>
      </c>
      <c r="M79" s="10" t="s">
        <v>120</v>
      </c>
      <c r="N79" s="10" t="s">
        <v>236</v>
      </c>
      <c r="O79" s="18" t="s">
        <v>124</v>
      </c>
      <c r="P79" s="21" t="s">
        <v>128</v>
      </c>
      <c r="Q79" s="10" t="s">
        <v>133</v>
      </c>
      <c r="R79" s="12" t="s">
        <v>1295</v>
      </c>
      <c r="S79" s="12" t="s">
        <v>1296</v>
      </c>
      <c r="T79" s="12"/>
      <c r="U79" s="12">
        <v>3004335605</v>
      </c>
      <c r="V79" s="12" t="s">
        <v>1298</v>
      </c>
      <c r="W79" s="10" t="s">
        <v>1299</v>
      </c>
      <c r="X79" s="12" t="s">
        <v>72</v>
      </c>
      <c r="Y79" s="34"/>
      <c r="Z79" s="16"/>
      <c r="AA79" s="53">
        <v>45992</v>
      </c>
      <c r="AB79" s="10" t="s">
        <v>908</v>
      </c>
      <c r="AC79" s="55"/>
      <c r="AD79" s="55"/>
      <c r="AE79" s="55"/>
      <c r="AF79" s="55"/>
      <c r="AG79" s="55"/>
    </row>
    <row r="80" spans="1:33" ht="15.75" customHeight="1" x14ac:dyDescent="0.25">
      <c r="A80" s="42" t="s">
        <v>77</v>
      </c>
      <c r="B80" s="42" t="s">
        <v>86</v>
      </c>
      <c r="C80" s="42" t="s">
        <v>91</v>
      </c>
      <c r="D80" s="42" t="s">
        <v>92</v>
      </c>
      <c r="E80" s="10">
        <v>8765837</v>
      </c>
      <c r="F80" s="51" t="s">
        <v>1305</v>
      </c>
      <c r="G80" s="12" t="s">
        <v>26</v>
      </c>
      <c r="H80" s="10"/>
      <c r="I80" s="13">
        <v>46001</v>
      </c>
      <c r="J80" s="42" t="s">
        <v>113</v>
      </c>
      <c r="K80" s="13">
        <v>24388</v>
      </c>
      <c r="L80" s="42">
        <f t="shared" ca="1" si="4"/>
        <v>59</v>
      </c>
      <c r="M80" s="10" t="s">
        <v>120</v>
      </c>
      <c r="N80" s="10" t="s">
        <v>122</v>
      </c>
      <c r="O80" s="10"/>
      <c r="P80" s="21"/>
      <c r="Q80" s="10"/>
      <c r="R80" s="10" t="s">
        <v>1310</v>
      </c>
      <c r="S80" s="10" t="s">
        <v>507</v>
      </c>
      <c r="T80" s="10" t="s">
        <v>1311</v>
      </c>
      <c r="U80" s="10">
        <v>3128221859</v>
      </c>
      <c r="V80" s="10"/>
      <c r="W80" s="10" t="s">
        <v>1312</v>
      </c>
      <c r="X80" s="10" t="s">
        <v>255</v>
      </c>
      <c r="Y80" s="10">
        <v>3128221859</v>
      </c>
      <c r="Z80" s="10" t="s">
        <v>293</v>
      </c>
      <c r="AA80" s="13">
        <v>46001</v>
      </c>
      <c r="AB80" s="12" t="s">
        <v>440</v>
      </c>
      <c r="AC80" s="29"/>
      <c r="AD80" s="29"/>
      <c r="AE80" s="29"/>
      <c r="AF80" s="29"/>
      <c r="AG80" s="29"/>
    </row>
    <row r="81" spans="1:33" ht="15.75" customHeight="1" x14ac:dyDescent="0.25">
      <c r="A81" s="10" t="s">
        <v>77</v>
      </c>
      <c r="B81" s="10" t="s">
        <v>86</v>
      </c>
      <c r="C81" s="10" t="s">
        <v>91</v>
      </c>
      <c r="D81" s="10" t="s">
        <v>92</v>
      </c>
      <c r="E81" s="10">
        <v>1005461408</v>
      </c>
      <c r="F81" s="51" t="s">
        <v>1317</v>
      </c>
      <c r="G81" s="10" t="s">
        <v>18</v>
      </c>
      <c r="H81" s="10" t="s">
        <v>1318</v>
      </c>
      <c r="I81" s="13">
        <v>45934</v>
      </c>
      <c r="J81" s="10" t="s">
        <v>113</v>
      </c>
      <c r="K81" s="13">
        <v>37427</v>
      </c>
      <c r="L81" s="10">
        <f t="shared" ca="1" si="4"/>
        <v>24</v>
      </c>
      <c r="M81" s="10" t="s">
        <v>120</v>
      </c>
      <c r="N81" s="10" t="s">
        <v>236</v>
      </c>
      <c r="O81" s="10"/>
      <c r="P81" s="21"/>
      <c r="Q81" s="10"/>
      <c r="R81" s="10" t="s">
        <v>1322</v>
      </c>
      <c r="S81" s="10" t="s">
        <v>136</v>
      </c>
      <c r="T81" s="10"/>
      <c r="U81" s="10">
        <v>3215257906</v>
      </c>
      <c r="V81" s="10" t="s">
        <v>1323</v>
      </c>
      <c r="W81" s="10" t="s">
        <v>1324</v>
      </c>
      <c r="X81" s="10" t="s">
        <v>966</v>
      </c>
      <c r="Y81" s="28" t="s">
        <v>1326</v>
      </c>
      <c r="Z81" s="10" t="s">
        <v>293</v>
      </c>
      <c r="AA81" s="13">
        <v>46006</v>
      </c>
      <c r="AB81" s="10" t="s">
        <v>440</v>
      </c>
      <c r="AC81" s="39"/>
      <c r="AD81" s="39"/>
      <c r="AE81" s="39"/>
      <c r="AF81" s="39"/>
      <c r="AG81" s="39"/>
    </row>
    <row r="82" spans="1:33" ht="15" customHeight="1" x14ac:dyDescent="0.25">
      <c r="A82" s="42" t="s">
        <v>77</v>
      </c>
      <c r="B82" s="42" t="s">
        <v>86</v>
      </c>
      <c r="C82" s="42" t="s">
        <v>91</v>
      </c>
      <c r="D82" s="42" t="s">
        <v>92</v>
      </c>
      <c r="E82" s="10">
        <v>5166027</v>
      </c>
      <c r="F82" s="51" t="s">
        <v>1331</v>
      </c>
      <c r="G82" s="12" t="s">
        <v>26</v>
      </c>
      <c r="H82" s="10"/>
      <c r="I82" s="13">
        <v>46001</v>
      </c>
      <c r="J82" s="42" t="s">
        <v>113</v>
      </c>
      <c r="K82" s="13">
        <v>31064</v>
      </c>
      <c r="L82" s="42">
        <f t="shared" ca="1" si="4"/>
        <v>41</v>
      </c>
      <c r="M82" s="10" t="s">
        <v>120</v>
      </c>
      <c r="N82" s="10" t="s">
        <v>122</v>
      </c>
      <c r="O82" s="10" t="s">
        <v>210</v>
      </c>
      <c r="P82" s="21" t="s">
        <v>128</v>
      </c>
      <c r="Q82" s="10"/>
      <c r="R82" s="10" t="s">
        <v>1340</v>
      </c>
      <c r="S82" s="10" t="s">
        <v>507</v>
      </c>
      <c r="T82" s="10" t="s">
        <v>1342</v>
      </c>
      <c r="U82" s="10">
        <v>3037312876</v>
      </c>
      <c r="V82" s="10" t="s">
        <v>1344</v>
      </c>
      <c r="W82" s="10" t="s">
        <v>155</v>
      </c>
      <c r="X82" s="10" t="s">
        <v>288</v>
      </c>
      <c r="Y82" s="10">
        <v>3037312876</v>
      </c>
      <c r="Z82" s="10" t="s">
        <v>293</v>
      </c>
      <c r="AA82" s="30">
        <v>46007</v>
      </c>
      <c r="AB82" s="10" t="s">
        <v>908</v>
      </c>
      <c r="AC82" s="29"/>
      <c r="AD82" s="29"/>
      <c r="AE82" s="29"/>
      <c r="AF82" s="29"/>
      <c r="AG82" s="29"/>
    </row>
    <row r="83" spans="1:33" ht="15.75" customHeight="1" x14ac:dyDescent="0.25">
      <c r="A83" s="42" t="s">
        <v>160</v>
      </c>
      <c r="B83" s="42" t="s">
        <v>86</v>
      </c>
      <c r="C83" s="42" t="s">
        <v>91</v>
      </c>
      <c r="D83" s="42" t="s">
        <v>92</v>
      </c>
      <c r="E83" s="10">
        <v>1045737808</v>
      </c>
      <c r="F83" s="51" t="s">
        <v>1348</v>
      </c>
      <c r="G83" s="10" t="s">
        <v>926</v>
      </c>
      <c r="H83" s="10"/>
      <c r="I83" s="13">
        <v>45997</v>
      </c>
      <c r="J83" s="42" t="s">
        <v>113</v>
      </c>
      <c r="K83" s="13">
        <v>35216</v>
      </c>
      <c r="L83" s="42">
        <f t="shared" ca="1" si="4"/>
        <v>30</v>
      </c>
      <c r="M83" s="10" t="s">
        <v>320</v>
      </c>
      <c r="N83" s="10" t="s">
        <v>122</v>
      </c>
      <c r="O83" s="10" t="s">
        <v>142</v>
      </c>
      <c r="P83" s="21" t="s">
        <v>128</v>
      </c>
      <c r="Q83" s="10"/>
      <c r="R83" s="10" t="s">
        <v>1352</v>
      </c>
      <c r="S83" s="10" t="s">
        <v>136</v>
      </c>
      <c r="T83" s="10" t="s">
        <v>1354</v>
      </c>
      <c r="U83" s="10">
        <v>3154347317</v>
      </c>
      <c r="V83" s="10" t="s">
        <v>1355</v>
      </c>
      <c r="W83" s="10" t="s">
        <v>471</v>
      </c>
      <c r="X83" s="10" t="s">
        <v>1266</v>
      </c>
      <c r="Y83" s="28" t="s">
        <v>1356</v>
      </c>
      <c r="Z83" s="42" t="s">
        <v>293</v>
      </c>
      <c r="AA83" s="30">
        <v>46008</v>
      </c>
      <c r="AB83" s="10" t="s">
        <v>908</v>
      </c>
      <c r="AC83" s="29"/>
      <c r="AD83" s="29"/>
      <c r="AE83" s="29"/>
      <c r="AF83" s="29"/>
      <c r="AG83" s="29"/>
    </row>
    <row r="84" spans="1:33" ht="15.75" customHeight="1" x14ac:dyDescent="0.25">
      <c r="A84" s="10" t="s">
        <v>160</v>
      </c>
      <c r="B84" s="42" t="s">
        <v>86</v>
      </c>
      <c r="C84" s="42" t="s">
        <v>91</v>
      </c>
      <c r="D84" s="42" t="s">
        <v>92</v>
      </c>
      <c r="E84" s="10">
        <v>1045704353</v>
      </c>
      <c r="F84" s="51" t="s">
        <v>1358</v>
      </c>
      <c r="G84" s="10" t="s">
        <v>1359</v>
      </c>
      <c r="H84" s="10"/>
      <c r="I84" s="13">
        <v>46001</v>
      </c>
      <c r="J84" s="42" t="s">
        <v>113</v>
      </c>
      <c r="K84" s="13">
        <v>33634</v>
      </c>
      <c r="L84" s="42">
        <f t="shared" ca="1" si="4"/>
        <v>34</v>
      </c>
      <c r="M84" s="10" t="s">
        <v>120</v>
      </c>
      <c r="N84" s="10" t="s">
        <v>277</v>
      </c>
      <c r="O84" s="10" t="s">
        <v>142</v>
      </c>
      <c r="P84" s="21" t="s">
        <v>128</v>
      </c>
      <c r="Q84" s="10"/>
      <c r="R84" s="10" t="s">
        <v>1363</v>
      </c>
      <c r="S84" s="10" t="s">
        <v>507</v>
      </c>
      <c r="T84" s="10" t="s">
        <v>1364</v>
      </c>
      <c r="U84" s="10">
        <v>3116449847</v>
      </c>
      <c r="V84" s="10" t="s">
        <v>1365</v>
      </c>
      <c r="W84" s="10" t="s">
        <v>215</v>
      </c>
      <c r="X84" s="10" t="s">
        <v>1366</v>
      </c>
      <c r="Y84" s="28" t="s">
        <v>1367</v>
      </c>
      <c r="Z84" s="10" t="s">
        <v>935</v>
      </c>
      <c r="AA84" s="30">
        <v>46013</v>
      </c>
      <c r="AB84" s="10" t="s">
        <v>1113</v>
      </c>
      <c r="AC84" s="29"/>
      <c r="AD84" s="29"/>
      <c r="AE84" s="29"/>
      <c r="AF84" s="29"/>
      <c r="AG84" s="29"/>
    </row>
    <row r="85" spans="1:33" ht="15.75" customHeight="1" x14ac:dyDescent="0.25">
      <c r="A85" s="42" t="s">
        <v>77</v>
      </c>
      <c r="B85" s="42" t="s">
        <v>86</v>
      </c>
      <c r="C85" s="42" t="s">
        <v>91</v>
      </c>
      <c r="D85" s="42" t="s">
        <v>92</v>
      </c>
      <c r="E85" s="83">
        <v>1080020908</v>
      </c>
      <c r="F85" s="84" t="s">
        <v>1372</v>
      </c>
      <c r="G85" s="10" t="s">
        <v>302</v>
      </c>
      <c r="H85" s="5"/>
      <c r="I85" s="13">
        <v>46004</v>
      </c>
      <c r="J85" s="42" t="s">
        <v>113</v>
      </c>
      <c r="K85" s="16">
        <v>35082</v>
      </c>
      <c r="L85" s="42">
        <f t="shared" ca="1" si="4"/>
        <v>30</v>
      </c>
      <c r="M85" s="10" t="s">
        <v>120</v>
      </c>
      <c r="N85" s="10" t="s">
        <v>122</v>
      </c>
      <c r="O85" s="10" t="s">
        <v>210</v>
      </c>
      <c r="P85" s="21" t="s">
        <v>128</v>
      </c>
      <c r="Q85" s="5"/>
      <c r="R85" s="85" t="s">
        <v>1374</v>
      </c>
      <c r="S85" s="10" t="s">
        <v>151</v>
      </c>
      <c r="T85" s="86" t="s">
        <v>1168</v>
      </c>
      <c r="U85" s="87">
        <v>3042233917</v>
      </c>
      <c r="V85" s="5" t="s">
        <v>1379</v>
      </c>
      <c r="W85" s="10" t="s">
        <v>203</v>
      </c>
      <c r="X85" s="10" t="s">
        <v>966</v>
      </c>
      <c r="Y85" s="87">
        <v>3042233917</v>
      </c>
      <c r="Z85" s="10" t="s">
        <v>293</v>
      </c>
      <c r="AA85" s="88">
        <v>46021</v>
      </c>
      <c r="AB85" s="10" t="s">
        <v>440</v>
      </c>
    </row>
    <row r="86" spans="1:33" ht="15.75" customHeight="1" x14ac:dyDescent="0.25">
      <c r="A86" s="42" t="s">
        <v>77</v>
      </c>
      <c r="B86" s="42" t="s">
        <v>86</v>
      </c>
      <c r="C86" s="42" t="s">
        <v>91</v>
      </c>
      <c r="D86" s="42" t="s">
        <v>92</v>
      </c>
      <c r="E86" s="42">
        <v>1002229801</v>
      </c>
      <c r="F86" s="51" t="s">
        <v>1383</v>
      </c>
      <c r="G86" s="42" t="s">
        <v>302</v>
      </c>
      <c r="H86" s="42"/>
      <c r="I86" s="89">
        <v>45988</v>
      </c>
      <c r="J86" s="42" t="s">
        <v>1136</v>
      </c>
      <c r="K86" s="89">
        <v>35965</v>
      </c>
      <c r="L86" s="42">
        <f t="shared" ca="1" si="4"/>
        <v>28</v>
      </c>
      <c r="M86" s="42" t="s">
        <v>120</v>
      </c>
      <c r="N86" s="42" t="s">
        <v>122</v>
      </c>
      <c r="O86" s="42"/>
      <c r="P86" s="21"/>
      <c r="Q86" s="42"/>
      <c r="R86" s="42" t="s">
        <v>1386</v>
      </c>
      <c r="S86" s="42" t="s">
        <v>136</v>
      </c>
      <c r="T86" s="42" t="s">
        <v>136</v>
      </c>
      <c r="U86" s="42">
        <v>3006980870</v>
      </c>
      <c r="V86" s="42" t="s">
        <v>1388</v>
      </c>
      <c r="W86" s="42" t="s">
        <v>539</v>
      </c>
      <c r="X86" s="42" t="s">
        <v>1266</v>
      </c>
      <c r="Y86" s="60" t="s">
        <v>1390</v>
      </c>
      <c r="Z86" s="42"/>
      <c r="AA86" s="90">
        <v>46020</v>
      </c>
      <c r="AB86" s="10" t="s">
        <v>440</v>
      </c>
      <c r="AC86" s="80"/>
      <c r="AD86" s="80"/>
      <c r="AE86" s="80"/>
      <c r="AF86" s="80"/>
    </row>
    <row r="87" spans="1:33" ht="15.75" customHeight="1" x14ac:dyDescent="0.25">
      <c r="A87" s="42" t="s">
        <v>77</v>
      </c>
      <c r="B87" s="42" t="s">
        <v>86</v>
      </c>
      <c r="C87" s="42" t="s">
        <v>91</v>
      </c>
      <c r="D87" s="42" t="s">
        <v>92</v>
      </c>
      <c r="E87" s="10">
        <v>1143451665</v>
      </c>
      <c r="F87" s="51" t="s">
        <v>1397</v>
      </c>
      <c r="G87" s="10" t="s">
        <v>1398</v>
      </c>
      <c r="H87" s="10"/>
      <c r="I87" s="13">
        <v>46001</v>
      </c>
      <c r="J87" s="42" t="s">
        <v>113</v>
      </c>
      <c r="K87" s="13">
        <v>34647</v>
      </c>
      <c r="L87" s="42">
        <f t="shared" ca="1" si="4"/>
        <v>31</v>
      </c>
      <c r="M87" s="10" t="s">
        <v>120</v>
      </c>
      <c r="N87" s="10" t="s">
        <v>236</v>
      </c>
      <c r="O87" s="10"/>
      <c r="P87" s="21"/>
      <c r="Q87" s="10"/>
      <c r="R87" s="10" t="s">
        <v>1402</v>
      </c>
      <c r="S87" s="10" t="s">
        <v>151</v>
      </c>
      <c r="T87" s="10" t="s">
        <v>1403</v>
      </c>
      <c r="U87" s="10" t="s">
        <v>1405</v>
      </c>
      <c r="V87" s="10"/>
      <c r="W87" s="10" t="s">
        <v>203</v>
      </c>
      <c r="X87" s="10" t="s">
        <v>170</v>
      </c>
      <c r="Y87" s="28"/>
      <c r="Z87" s="10"/>
      <c r="AA87" s="30">
        <v>46011</v>
      </c>
      <c r="AB87" s="10" t="s">
        <v>908</v>
      </c>
      <c r="AC87" s="29"/>
      <c r="AD87" s="29"/>
      <c r="AE87" s="29"/>
      <c r="AF87" s="29"/>
    </row>
    <row r="88" spans="1:33" ht="15.75" customHeight="1" x14ac:dyDescent="0.25">
      <c r="A88" s="42" t="s">
        <v>77</v>
      </c>
      <c r="B88" s="42" t="s">
        <v>86</v>
      </c>
      <c r="C88" s="42" t="s">
        <v>91</v>
      </c>
      <c r="D88" s="42" t="s">
        <v>92</v>
      </c>
      <c r="E88" s="10">
        <v>1143145992</v>
      </c>
      <c r="F88" s="51" t="s">
        <v>1410</v>
      </c>
      <c r="G88" s="10" t="s">
        <v>302</v>
      </c>
      <c r="H88" s="10"/>
      <c r="I88" s="13">
        <v>46000</v>
      </c>
      <c r="J88" s="42" t="s">
        <v>113</v>
      </c>
      <c r="K88" s="13">
        <v>34290</v>
      </c>
      <c r="L88" s="42">
        <f t="shared" ca="1" si="4"/>
        <v>32</v>
      </c>
      <c r="M88" s="10" t="s">
        <v>120</v>
      </c>
      <c r="N88" s="10" t="s">
        <v>122</v>
      </c>
      <c r="O88" s="10" t="s">
        <v>142</v>
      </c>
      <c r="P88" s="21" t="s">
        <v>128</v>
      </c>
      <c r="Q88" s="10"/>
      <c r="R88" s="10" t="s">
        <v>1413</v>
      </c>
      <c r="S88" s="10" t="s">
        <v>151</v>
      </c>
      <c r="T88" s="10" t="s">
        <v>1414</v>
      </c>
      <c r="U88" s="10">
        <v>3222076909</v>
      </c>
      <c r="V88" s="10"/>
      <c r="W88" s="10" t="s">
        <v>1312</v>
      </c>
      <c r="X88" s="10" t="s">
        <v>966</v>
      </c>
      <c r="Y88" s="10">
        <v>3222076909</v>
      </c>
      <c r="Z88" s="10" t="s">
        <v>293</v>
      </c>
      <c r="AA88" s="30">
        <v>46011</v>
      </c>
      <c r="AB88" s="10" t="s">
        <v>908</v>
      </c>
      <c r="AC88" s="29"/>
      <c r="AD88" s="29"/>
      <c r="AE88" s="29"/>
      <c r="AF88" s="29"/>
    </row>
    <row r="89" spans="1:33" ht="15.75" customHeight="1" x14ac:dyDescent="0.25">
      <c r="A89" s="42" t="s">
        <v>77</v>
      </c>
      <c r="B89" s="42" t="s">
        <v>86</v>
      </c>
      <c r="C89" s="42" t="s">
        <v>91</v>
      </c>
      <c r="D89" s="42" t="s">
        <v>92</v>
      </c>
      <c r="E89" s="10">
        <v>1192795451</v>
      </c>
      <c r="F89" s="51" t="s">
        <v>1420</v>
      </c>
      <c r="G89" s="10" t="s">
        <v>302</v>
      </c>
      <c r="H89" s="10"/>
      <c r="I89" s="13">
        <v>46001</v>
      </c>
      <c r="J89" s="42" t="s">
        <v>113</v>
      </c>
      <c r="K89" s="13">
        <v>36878</v>
      </c>
      <c r="L89" s="42">
        <f t="shared" ca="1" si="4"/>
        <v>25</v>
      </c>
      <c r="M89" s="10" t="s">
        <v>120</v>
      </c>
      <c r="N89" s="10" t="s">
        <v>236</v>
      </c>
      <c r="O89" s="10"/>
      <c r="P89" s="21"/>
      <c r="Q89" s="10"/>
      <c r="R89" s="10" t="s">
        <v>1424</v>
      </c>
      <c r="S89" s="10" t="s">
        <v>136</v>
      </c>
      <c r="T89" s="10" t="s">
        <v>1425</v>
      </c>
      <c r="U89" s="10">
        <v>3045982612</v>
      </c>
      <c r="V89" s="10" t="s">
        <v>1426</v>
      </c>
      <c r="W89" s="10" t="s">
        <v>1312</v>
      </c>
      <c r="X89" s="10" t="s">
        <v>966</v>
      </c>
      <c r="Y89" s="10">
        <v>3045982612</v>
      </c>
      <c r="Z89" s="10" t="s">
        <v>293</v>
      </c>
      <c r="AA89" s="30">
        <v>46011</v>
      </c>
      <c r="AB89" s="10" t="s">
        <v>908</v>
      </c>
      <c r="AC89" s="29"/>
      <c r="AD89" s="29"/>
      <c r="AE89" s="29"/>
      <c r="AF89" s="29"/>
    </row>
    <row r="90" spans="1:33" ht="15.75" customHeight="1" x14ac:dyDescent="0.25">
      <c r="A90" s="10" t="s">
        <v>77</v>
      </c>
      <c r="B90" s="10" t="s">
        <v>86</v>
      </c>
      <c r="C90" s="10" t="s">
        <v>91</v>
      </c>
      <c r="D90" s="10" t="s">
        <v>92</v>
      </c>
      <c r="E90" s="10">
        <v>1002184328</v>
      </c>
      <c r="F90" s="25" t="s">
        <v>1432</v>
      </c>
      <c r="G90" s="10" t="s">
        <v>11</v>
      </c>
      <c r="H90" s="10" t="s">
        <v>1434</v>
      </c>
      <c r="I90" s="13">
        <v>45831</v>
      </c>
      <c r="J90" s="10" t="s">
        <v>113</v>
      </c>
      <c r="K90" s="13">
        <v>33410</v>
      </c>
      <c r="L90" s="10">
        <f t="shared" ca="1" si="4"/>
        <v>35</v>
      </c>
      <c r="M90" s="10" t="s">
        <v>120</v>
      </c>
      <c r="N90" s="10" t="s">
        <v>122</v>
      </c>
      <c r="O90" s="10" t="s">
        <v>142</v>
      </c>
      <c r="P90" s="21" t="s">
        <v>128</v>
      </c>
      <c r="Q90" s="10" t="s">
        <v>133</v>
      </c>
      <c r="R90" s="10" t="s">
        <v>1436</v>
      </c>
      <c r="S90" s="10" t="s">
        <v>136</v>
      </c>
      <c r="T90" s="10"/>
      <c r="U90" s="10">
        <v>3012170231</v>
      </c>
      <c r="V90" s="40" t="s">
        <v>1437</v>
      </c>
      <c r="W90" s="10" t="s">
        <v>169</v>
      </c>
      <c r="X90" s="10" t="s">
        <v>170</v>
      </c>
      <c r="Y90" s="28"/>
      <c r="Z90" s="13"/>
      <c r="AA90" s="91">
        <v>46030</v>
      </c>
      <c r="AB90" s="10" t="s">
        <v>908</v>
      </c>
      <c r="AC90" s="32"/>
      <c r="AD90" s="32"/>
      <c r="AE90" s="32"/>
      <c r="AF90" s="32"/>
    </row>
    <row r="91" spans="1:33" ht="15.75" customHeight="1" x14ac:dyDescent="0.25">
      <c r="A91" s="10" t="s">
        <v>77</v>
      </c>
      <c r="B91" s="10" t="s">
        <v>86</v>
      </c>
      <c r="C91" s="10" t="s">
        <v>91</v>
      </c>
      <c r="D91" s="10" t="s">
        <v>92</v>
      </c>
      <c r="E91" s="12">
        <v>1044632791</v>
      </c>
      <c r="F91" s="25" t="s">
        <v>317</v>
      </c>
      <c r="G91" s="10" t="s">
        <v>18</v>
      </c>
      <c r="H91" s="12" t="s">
        <v>1446</v>
      </c>
      <c r="I91" s="13">
        <v>45831</v>
      </c>
      <c r="J91" s="12" t="s">
        <v>113</v>
      </c>
      <c r="K91" s="16">
        <v>36797</v>
      </c>
      <c r="L91" s="10">
        <f t="shared" ca="1" si="4"/>
        <v>25</v>
      </c>
      <c r="M91" s="10" t="s">
        <v>120</v>
      </c>
      <c r="N91" s="10" t="s">
        <v>122</v>
      </c>
      <c r="O91" s="18" t="s">
        <v>124</v>
      </c>
      <c r="P91" s="21" t="s">
        <v>128</v>
      </c>
      <c r="Q91" s="10" t="s">
        <v>133</v>
      </c>
      <c r="R91" s="12" t="s">
        <v>1450</v>
      </c>
      <c r="S91" s="12" t="s">
        <v>136</v>
      </c>
      <c r="T91" s="12"/>
      <c r="U91" s="12">
        <v>3043651958</v>
      </c>
      <c r="V91" s="12" t="s">
        <v>1452</v>
      </c>
      <c r="W91" s="12"/>
      <c r="X91" s="12" t="s">
        <v>72</v>
      </c>
      <c r="Y91" s="34"/>
      <c r="Z91" s="53"/>
      <c r="AA91" s="30">
        <v>46018</v>
      </c>
      <c r="AB91" s="10" t="s">
        <v>1453</v>
      </c>
      <c r="AC91" s="39"/>
      <c r="AD91" s="39"/>
      <c r="AE91" s="39"/>
      <c r="AF91" s="39"/>
    </row>
    <row r="92" spans="1:33" ht="15.75" customHeight="1" x14ac:dyDescent="0.25">
      <c r="A92" s="10" t="s">
        <v>77</v>
      </c>
      <c r="B92" s="10" t="s">
        <v>86</v>
      </c>
      <c r="C92" s="10" t="s">
        <v>91</v>
      </c>
      <c r="D92" s="10" t="s">
        <v>92</v>
      </c>
      <c r="E92" s="10">
        <v>72329993</v>
      </c>
      <c r="F92" s="51" t="s">
        <v>1455</v>
      </c>
      <c r="G92" s="10" t="s">
        <v>11</v>
      </c>
      <c r="H92" s="10"/>
      <c r="I92" s="30">
        <v>45995</v>
      </c>
      <c r="J92" s="10" t="s">
        <v>113</v>
      </c>
      <c r="K92" s="13">
        <v>31646</v>
      </c>
      <c r="L92" s="10">
        <f t="shared" ca="1" si="4"/>
        <v>40</v>
      </c>
      <c r="M92" s="10" t="s">
        <v>120</v>
      </c>
      <c r="N92" s="10" t="s">
        <v>122</v>
      </c>
      <c r="O92" s="10" t="s">
        <v>1456</v>
      </c>
      <c r="P92" s="21" t="s">
        <v>128</v>
      </c>
      <c r="Q92" s="10"/>
      <c r="R92" s="10" t="s">
        <v>1458</v>
      </c>
      <c r="S92" s="10" t="s">
        <v>136</v>
      </c>
      <c r="T92" s="10" t="s">
        <v>1460</v>
      </c>
      <c r="U92" s="82">
        <v>3186618049</v>
      </c>
      <c r="V92" s="10" t="s">
        <v>1462</v>
      </c>
      <c r="W92" s="10" t="s">
        <v>155</v>
      </c>
      <c r="X92" s="10" t="s">
        <v>1006</v>
      </c>
      <c r="Y92" s="82">
        <v>3186618049</v>
      </c>
      <c r="Z92" s="10" t="s">
        <v>293</v>
      </c>
      <c r="AA92" s="30">
        <v>46026</v>
      </c>
      <c r="AB92" s="10" t="s">
        <v>440</v>
      </c>
      <c r="AC92" s="29"/>
      <c r="AD92" s="29"/>
      <c r="AE92" s="29"/>
      <c r="AF92" s="29"/>
    </row>
    <row r="93" spans="1:33" ht="15.75" customHeight="1" x14ac:dyDescent="0.25">
      <c r="A93" s="10" t="s">
        <v>77</v>
      </c>
      <c r="B93" s="10" t="s">
        <v>86</v>
      </c>
      <c r="C93" s="10" t="s">
        <v>91</v>
      </c>
      <c r="D93" s="10" t="s">
        <v>92</v>
      </c>
      <c r="E93" s="12">
        <v>1042429226</v>
      </c>
      <c r="F93" s="14" t="s">
        <v>1465</v>
      </c>
      <c r="G93" s="10" t="s">
        <v>11</v>
      </c>
      <c r="H93" s="10" t="s">
        <v>1466</v>
      </c>
      <c r="I93" s="16">
        <v>45895</v>
      </c>
      <c r="J93" s="12" t="s">
        <v>113</v>
      </c>
      <c r="K93" s="13">
        <v>32605</v>
      </c>
      <c r="L93" s="10">
        <f t="shared" ca="1" si="4"/>
        <v>37</v>
      </c>
      <c r="M93" s="10" t="s">
        <v>120</v>
      </c>
      <c r="N93" s="10" t="s">
        <v>122</v>
      </c>
      <c r="O93" s="12"/>
      <c r="P93" s="21" t="s">
        <v>128</v>
      </c>
      <c r="Q93" s="10" t="s">
        <v>133</v>
      </c>
      <c r="R93" s="12" t="s">
        <v>1470</v>
      </c>
      <c r="S93" s="12" t="s">
        <v>151</v>
      </c>
      <c r="T93" s="12" t="s">
        <v>1471</v>
      </c>
      <c r="U93" s="12">
        <v>3044801557</v>
      </c>
      <c r="V93" s="12" t="s">
        <v>1472</v>
      </c>
      <c r="W93" s="10" t="s">
        <v>155</v>
      </c>
      <c r="X93" s="12" t="s">
        <v>170</v>
      </c>
      <c r="Y93" s="60"/>
      <c r="Z93" s="12"/>
      <c r="AA93" s="30">
        <v>46031</v>
      </c>
      <c r="AB93" s="10" t="s">
        <v>908</v>
      </c>
      <c r="AC93" s="64"/>
      <c r="AD93" s="64"/>
      <c r="AE93" s="64"/>
      <c r="AF93" s="64"/>
      <c r="AG93" s="64"/>
    </row>
    <row r="94" spans="1:33" ht="15.75" customHeight="1" x14ac:dyDescent="0.25">
      <c r="A94" s="42" t="s">
        <v>77</v>
      </c>
      <c r="B94" s="42" t="s">
        <v>86</v>
      </c>
      <c r="C94" s="42" t="s">
        <v>91</v>
      </c>
      <c r="D94" s="42" t="s">
        <v>92</v>
      </c>
      <c r="E94" s="94">
        <v>1001883956</v>
      </c>
      <c r="F94" s="23" t="s">
        <v>1484</v>
      </c>
      <c r="G94" s="95" t="s">
        <v>11</v>
      </c>
      <c r="H94" s="5"/>
      <c r="I94" s="13">
        <v>46004</v>
      </c>
      <c r="J94" s="42" t="s">
        <v>113</v>
      </c>
      <c r="K94" s="16">
        <v>24122</v>
      </c>
      <c r="L94" s="42">
        <f t="shared" ca="1" si="4"/>
        <v>60</v>
      </c>
      <c r="M94" s="10" t="s">
        <v>120</v>
      </c>
      <c r="N94" s="10" t="s">
        <v>236</v>
      </c>
      <c r="O94" s="95" t="s">
        <v>142</v>
      </c>
      <c r="P94" s="21" t="s">
        <v>128</v>
      </c>
      <c r="Q94" s="5"/>
      <c r="R94" s="85" t="s">
        <v>1491</v>
      </c>
      <c r="S94" s="10" t="s">
        <v>151</v>
      </c>
      <c r="T94" s="86" t="s">
        <v>170</v>
      </c>
      <c r="U94" s="98">
        <v>3017839556</v>
      </c>
      <c r="V94" s="95" t="s">
        <v>1494</v>
      </c>
      <c r="W94" s="10" t="s">
        <v>155</v>
      </c>
      <c r="X94" s="10" t="s">
        <v>966</v>
      </c>
      <c r="Y94" s="98">
        <v>3017839556</v>
      </c>
      <c r="Z94" s="10" t="s">
        <v>293</v>
      </c>
      <c r="AA94" s="16">
        <v>46033</v>
      </c>
      <c r="AB94" s="10" t="s">
        <v>908</v>
      </c>
    </row>
    <row r="95" spans="1:33" ht="15.75" customHeight="1" x14ac:dyDescent="0.25">
      <c r="A95" s="10" t="s">
        <v>160</v>
      </c>
      <c r="B95" s="10" t="s">
        <v>86</v>
      </c>
      <c r="C95" s="10" t="s">
        <v>91</v>
      </c>
      <c r="D95" s="10" t="s">
        <v>92</v>
      </c>
      <c r="E95" s="10">
        <v>1047233514</v>
      </c>
      <c r="F95" s="51" t="s">
        <v>1497</v>
      </c>
      <c r="G95" s="10" t="s">
        <v>1498</v>
      </c>
      <c r="H95" s="10" t="s">
        <v>981</v>
      </c>
      <c r="I95" s="13">
        <v>46030</v>
      </c>
      <c r="J95" s="10" t="s">
        <v>113</v>
      </c>
      <c r="K95" s="13">
        <v>34551</v>
      </c>
      <c r="L95" s="10">
        <f t="shared" ca="1" si="4"/>
        <v>32</v>
      </c>
      <c r="M95" s="10" t="s">
        <v>320</v>
      </c>
      <c r="N95" s="10" t="s">
        <v>122</v>
      </c>
      <c r="O95" s="10" t="s">
        <v>142</v>
      </c>
      <c r="P95" s="18" t="s">
        <v>128</v>
      </c>
      <c r="Q95" s="10" t="s">
        <v>133</v>
      </c>
      <c r="R95" s="10" t="s">
        <v>1502</v>
      </c>
      <c r="S95" s="10" t="s">
        <v>136</v>
      </c>
      <c r="T95" s="10" t="s">
        <v>1503</v>
      </c>
      <c r="U95" s="10">
        <v>3017614236</v>
      </c>
      <c r="V95" s="10" t="s">
        <v>1504</v>
      </c>
      <c r="W95" s="10" t="s">
        <v>169</v>
      </c>
      <c r="X95" s="10" t="s">
        <v>966</v>
      </c>
      <c r="Y95" s="10">
        <v>3017614236</v>
      </c>
      <c r="Z95" s="10" t="s">
        <v>293</v>
      </c>
      <c r="AA95" s="16">
        <v>46034</v>
      </c>
      <c r="AB95" s="10" t="s">
        <v>908</v>
      </c>
      <c r="AC95" s="32"/>
    </row>
    <row r="96" spans="1:33" ht="15.75" customHeight="1" x14ac:dyDescent="0.25">
      <c r="A96" s="10" t="s">
        <v>160</v>
      </c>
      <c r="B96" s="10" t="s">
        <v>86</v>
      </c>
      <c r="C96" s="10" t="s">
        <v>91</v>
      </c>
      <c r="D96" s="10" t="s">
        <v>92</v>
      </c>
      <c r="E96" s="10">
        <v>1193560136</v>
      </c>
      <c r="F96" s="51" t="s">
        <v>1507</v>
      </c>
      <c r="G96" s="10" t="s">
        <v>1508</v>
      </c>
      <c r="H96" s="10" t="s">
        <v>981</v>
      </c>
      <c r="I96" s="13">
        <v>46030</v>
      </c>
      <c r="J96" s="10" t="s">
        <v>113</v>
      </c>
      <c r="K96" s="13">
        <v>37210</v>
      </c>
      <c r="L96" s="10">
        <f t="shared" ca="1" si="4"/>
        <v>24</v>
      </c>
      <c r="M96" s="10" t="s">
        <v>120</v>
      </c>
      <c r="N96" s="10" t="s">
        <v>236</v>
      </c>
      <c r="O96" s="10" t="s">
        <v>142</v>
      </c>
      <c r="P96" s="18" t="s">
        <v>128</v>
      </c>
      <c r="Q96" s="10" t="s">
        <v>133</v>
      </c>
      <c r="R96" s="10" t="s">
        <v>1509</v>
      </c>
      <c r="S96" s="10" t="s">
        <v>136</v>
      </c>
      <c r="T96" s="10" t="s">
        <v>1511</v>
      </c>
      <c r="U96" s="10">
        <v>3008471766</v>
      </c>
      <c r="V96" s="10" t="s">
        <v>1512</v>
      </c>
      <c r="W96" s="10" t="s">
        <v>206</v>
      </c>
      <c r="X96" s="10" t="s">
        <v>966</v>
      </c>
      <c r="Y96" s="10">
        <v>3008471766</v>
      </c>
      <c r="Z96" s="10" t="s">
        <v>420</v>
      </c>
      <c r="AA96" s="16">
        <v>46034</v>
      </c>
      <c r="AB96" s="10" t="s">
        <v>908</v>
      </c>
      <c r="AC96" s="32"/>
    </row>
    <row r="97" spans="1:33" ht="15.75" customHeight="1" x14ac:dyDescent="0.25">
      <c r="A97" s="10" t="s">
        <v>160</v>
      </c>
      <c r="B97" s="10" t="s">
        <v>86</v>
      </c>
      <c r="C97" s="10" t="s">
        <v>91</v>
      </c>
      <c r="D97" s="10" t="s">
        <v>92</v>
      </c>
      <c r="E97" s="10">
        <v>1047216854</v>
      </c>
      <c r="F97" s="25" t="s">
        <v>1336</v>
      </c>
      <c r="G97" s="10" t="s">
        <v>1353</v>
      </c>
      <c r="H97" s="12" t="s">
        <v>1337</v>
      </c>
      <c r="I97" s="30">
        <v>45850</v>
      </c>
      <c r="J97" s="10" t="s">
        <v>113</v>
      </c>
      <c r="K97" s="30">
        <v>38339</v>
      </c>
      <c r="L97" s="10">
        <f t="shared" ca="1" si="4"/>
        <v>21</v>
      </c>
      <c r="M97" s="10" t="s">
        <v>320</v>
      </c>
      <c r="N97" s="10" t="s">
        <v>236</v>
      </c>
      <c r="O97" s="10" t="s">
        <v>142</v>
      </c>
      <c r="P97" s="21" t="s">
        <v>128</v>
      </c>
      <c r="Q97" s="10" t="s">
        <v>133</v>
      </c>
      <c r="R97" s="12" t="s">
        <v>1522</v>
      </c>
      <c r="S97" s="12" t="s">
        <v>801</v>
      </c>
      <c r="T97" s="12"/>
      <c r="U97" s="12">
        <v>3022180258</v>
      </c>
      <c r="V97" s="12"/>
      <c r="W97" s="12" t="s">
        <v>253</v>
      </c>
      <c r="X97" s="12"/>
      <c r="Y97" s="34" t="s">
        <v>1523</v>
      </c>
      <c r="Z97" s="12" t="s">
        <v>393</v>
      </c>
      <c r="AA97" s="13">
        <v>46042</v>
      </c>
      <c r="AB97" s="10" t="s">
        <v>908</v>
      </c>
      <c r="AC97" s="29"/>
      <c r="AD97" s="29"/>
      <c r="AE97" s="29"/>
      <c r="AF97" s="29"/>
      <c r="AG97" s="29"/>
    </row>
    <row r="98" spans="1:33" ht="15.75" customHeight="1" x14ac:dyDescent="0.25">
      <c r="A98" s="10" t="s">
        <v>77</v>
      </c>
      <c r="B98" s="42" t="s">
        <v>86</v>
      </c>
      <c r="C98" s="42" t="s">
        <v>91</v>
      </c>
      <c r="D98" s="42" t="s">
        <v>92</v>
      </c>
      <c r="E98" s="10">
        <v>1194963881</v>
      </c>
      <c r="F98" s="51" t="s">
        <v>1526</v>
      </c>
      <c r="G98" s="10" t="s">
        <v>1108</v>
      </c>
      <c r="H98" s="10"/>
      <c r="I98" s="13">
        <v>46000</v>
      </c>
      <c r="J98" s="42" t="s">
        <v>113</v>
      </c>
      <c r="K98" s="13">
        <v>38954</v>
      </c>
      <c r="L98" s="42">
        <f t="shared" ca="1" si="4"/>
        <v>20</v>
      </c>
      <c r="M98" s="10" t="s">
        <v>120</v>
      </c>
      <c r="N98" s="10" t="s">
        <v>236</v>
      </c>
      <c r="O98" s="10" t="s">
        <v>142</v>
      </c>
      <c r="P98" s="21" t="s">
        <v>128</v>
      </c>
      <c r="Q98" s="10"/>
      <c r="R98" s="10" t="s">
        <v>1531</v>
      </c>
      <c r="S98" s="10" t="s">
        <v>136</v>
      </c>
      <c r="T98" s="10" t="s">
        <v>1532</v>
      </c>
      <c r="U98" s="10">
        <v>3046174471</v>
      </c>
      <c r="V98" s="10"/>
      <c r="W98" s="10" t="s">
        <v>471</v>
      </c>
      <c r="X98" s="10" t="s">
        <v>1006</v>
      </c>
      <c r="Y98" s="10">
        <v>3046174471</v>
      </c>
      <c r="Z98" s="10" t="s">
        <v>293</v>
      </c>
      <c r="AA98" s="13">
        <v>46042</v>
      </c>
      <c r="AB98" s="10" t="s">
        <v>1453</v>
      </c>
      <c r="AC98" s="29"/>
      <c r="AD98" s="29"/>
      <c r="AE98" s="29"/>
      <c r="AF98" s="29"/>
    </row>
    <row r="99" spans="1:33" ht="15.75" customHeight="1" x14ac:dyDescent="0.25">
      <c r="A99" s="42" t="s">
        <v>77</v>
      </c>
      <c r="B99" s="42" t="s">
        <v>86</v>
      </c>
      <c r="C99" s="42" t="s">
        <v>91</v>
      </c>
      <c r="D99" s="42" t="s">
        <v>92</v>
      </c>
      <c r="E99" s="95">
        <v>72073324</v>
      </c>
      <c r="F99" s="23" t="s">
        <v>1551</v>
      </c>
      <c r="G99" s="12" t="s">
        <v>26</v>
      </c>
      <c r="H99" s="5"/>
      <c r="I99" s="13">
        <v>46008</v>
      </c>
      <c r="J99" s="42" t="s">
        <v>113</v>
      </c>
      <c r="K99" s="16">
        <v>26516</v>
      </c>
      <c r="L99" s="42">
        <f t="shared" ca="1" si="4"/>
        <v>54</v>
      </c>
      <c r="M99" s="10" t="s">
        <v>120</v>
      </c>
      <c r="N99" s="10" t="s">
        <v>122</v>
      </c>
      <c r="O99" s="10" t="s">
        <v>142</v>
      </c>
      <c r="P99" s="21" t="s">
        <v>128</v>
      </c>
      <c r="Q99" s="5"/>
      <c r="R99" s="87"/>
      <c r="S99" s="10"/>
      <c r="T99" s="86"/>
      <c r="U99" s="12">
        <v>3022349752</v>
      </c>
      <c r="V99" s="98"/>
      <c r="W99" s="10" t="s">
        <v>1559</v>
      </c>
      <c r="X99" s="10"/>
      <c r="Y99" s="87">
        <v>3022349752</v>
      </c>
      <c r="Z99" s="10" t="s">
        <v>293</v>
      </c>
      <c r="AA99" s="13">
        <v>46046</v>
      </c>
      <c r="AB99" s="10" t="s">
        <v>908</v>
      </c>
    </row>
    <row r="100" spans="1:33" ht="15.75" customHeight="1" x14ac:dyDescent="0.25">
      <c r="A100" s="10" t="s">
        <v>77</v>
      </c>
      <c r="B100" s="10" t="s">
        <v>86</v>
      </c>
      <c r="C100" s="10" t="s">
        <v>91</v>
      </c>
      <c r="D100" s="10" t="s">
        <v>92</v>
      </c>
      <c r="E100" s="12">
        <v>1143251023</v>
      </c>
      <c r="F100" s="50" t="s">
        <v>1563</v>
      </c>
      <c r="G100" s="10" t="s">
        <v>11</v>
      </c>
      <c r="H100" s="10" t="s">
        <v>1271</v>
      </c>
      <c r="I100" s="16">
        <v>46043</v>
      </c>
      <c r="J100" s="12" t="s">
        <v>113</v>
      </c>
      <c r="K100" s="16">
        <v>34453</v>
      </c>
      <c r="L100" s="10">
        <f t="shared" ca="1" si="4"/>
        <v>32</v>
      </c>
      <c r="M100" s="10" t="s">
        <v>120</v>
      </c>
      <c r="N100" s="10" t="s">
        <v>236</v>
      </c>
      <c r="O100" s="101" t="s">
        <v>1569</v>
      </c>
      <c r="P100" s="42" t="s">
        <v>128</v>
      </c>
      <c r="Q100" s="102" t="s">
        <v>133</v>
      </c>
      <c r="R100" s="12" t="s">
        <v>1573</v>
      </c>
      <c r="S100" s="12" t="s">
        <v>136</v>
      </c>
      <c r="T100" s="12" t="s">
        <v>1574</v>
      </c>
      <c r="U100" s="12">
        <v>3011126835</v>
      </c>
      <c r="V100" s="12" t="s">
        <v>1576</v>
      </c>
      <c r="W100" s="12" t="s">
        <v>203</v>
      </c>
      <c r="X100" s="12" t="s">
        <v>288</v>
      </c>
      <c r="Y100" s="34" t="s">
        <v>1579</v>
      </c>
      <c r="Z100" s="12" t="s">
        <v>293</v>
      </c>
      <c r="AA100" s="16">
        <v>46044</v>
      </c>
      <c r="AB100" s="10" t="s">
        <v>908</v>
      </c>
      <c r="AC100" s="29"/>
      <c r="AD100" s="29"/>
      <c r="AE100" s="29"/>
      <c r="AF100" s="29"/>
    </row>
    <row r="101" spans="1:33" ht="15.75" customHeight="1" x14ac:dyDescent="0.25">
      <c r="A101" s="10" t="s">
        <v>77</v>
      </c>
      <c r="B101" s="10" t="s">
        <v>86</v>
      </c>
      <c r="C101" s="10" t="s">
        <v>91</v>
      </c>
      <c r="D101" s="10" t="s">
        <v>92</v>
      </c>
      <c r="E101" s="12">
        <v>1043002530</v>
      </c>
      <c r="F101" s="50" t="s">
        <v>1584</v>
      </c>
      <c r="G101" s="12" t="s">
        <v>26</v>
      </c>
      <c r="H101" s="10" t="s">
        <v>1271</v>
      </c>
      <c r="I101" s="16">
        <v>46044</v>
      </c>
      <c r="J101" s="12" t="s">
        <v>113</v>
      </c>
      <c r="K101" s="16">
        <v>32923</v>
      </c>
      <c r="L101" s="10">
        <f t="shared" ca="1" si="4"/>
        <v>36</v>
      </c>
      <c r="M101" s="10" t="s">
        <v>120</v>
      </c>
      <c r="N101" s="10" t="s">
        <v>277</v>
      </c>
      <c r="O101" s="101" t="s">
        <v>1569</v>
      </c>
      <c r="P101" s="42" t="s">
        <v>128</v>
      </c>
      <c r="Q101" s="102" t="s">
        <v>133</v>
      </c>
      <c r="R101" s="12" t="s">
        <v>1588</v>
      </c>
      <c r="S101" s="12" t="s">
        <v>1589</v>
      </c>
      <c r="T101" s="12" t="s">
        <v>1591</v>
      </c>
      <c r="U101" s="12">
        <v>3018265455</v>
      </c>
      <c r="V101" s="12" t="s">
        <v>1592</v>
      </c>
      <c r="W101" s="12" t="s">
        <v>203</v>
      </c>
      <c r="X101" s="12" t="s">
        <v>1366</v>
      </c>
      <c r="Y101" s="34" t="s">
        <v>1594</v>
      </c>
      <c r="Z101" s="10" t="s">
        <v>293</v>
      </c>
      <c r="AA101" s="16">
        <v>46046</v>
      </c>
      <c r="AB101" s="10" t="s">
        <v>908</v>
      </c>
      <c r="AC101" s="29"/>
      <c r="AD101" s="29"/>
      <c r="AE101" s="29"/>
      <c r="AF101" s="29"/>
    </row>
    <row r="102" spans="1:33" ht="15.75" customHeight="1" x14ac:dyDescent="0.25">
      <c r="A102" s="10" t="s">
        <v>77</v>
      </c>
      <c r="B102" s="10" t="s">
        <v>86</v>
      </c>
      <c r="C102" s="10" t="s">
        <v>91</v>
      </c>
      <c r="D102" s="10" t="s">
        <v>92</v>
      </c>
      <c r="E102" s="12">
        <v>1129566419</v>
      </c>
      <c r="F102" s="14" t="s">
        <v>1597</v>
      </c>
      <c r="G102" s="12" t="s">
        <v>26</v>
      </c>
      <c r="H102" s="12" t="s">
        <v>1598</v>
      </c>
      <c r="I102" s="13">
        <v>45831</v>
      </c>
      <c r="J102" s="12" t="s">
        <v>113</v>
      </c>
      <c r="K102" s="16">
        <v>31522</v>
      </c>
      <c r="L102" s="10">
        <f t="shared" ca="1" si="4"/>
        <v>40</v>
      </c>
      <c r="M102" s="10" t="s">
        <v>120</v>
      </c>
      <c r="N102" s="10" t="s">
        <v>122</v>
      </c>
      <c r="O102" s="12" t="s">
        <v>210</v>
      </c>
      <c r="P102" s="21" t="s">
        <v>128</v>
      </c>
      <c r="Q102" s="10" t="s">
        <v>133</v>
      </c>
      <c r="R102" s="12" t="s">
        <v>1600</v>
      </c>
      <c r="S102" s="12" t="s">
        <v>136</v>
      </c>
      <c r="T102" s="12"/>
      <c r="U102" s="12">
        <v>3003901357</v>
      </c>
      <c r="V102" s="12" t="s">
        <v>1601</v>
      </c>
      <c r="W102" s="12"/>
      <c r="X102" s="12" t="s">
        <v>539</v>
      </c>
      <c r="Y102" s="34" t="s">
        <v>288</v>
      </c>
      <c r="Z102" s="16"/>
      <c r="AA102" s="13">
        <v>46057</v>
      </c>
      <c r="AB102" s="10" t="s">
        <v>440</v>
      </c>
      <c r="AC102" s="39"/>
      <c r="AD102" s="39"/>
      <c r="AE102" s="39"/>
      <c r="AF102" s="39"/>
    </row>
    <row r="103" spans="1:33" x14ac:dyDescent="0.25">
      <c r="A103" s="10" t="s">
        <v>77</v>
      </c>
      <c r="B103" s="10" t="s">
        <v>86</v>
      </c>
      <c r="C103" s="10" t="s">
        <v>91</v>
      </c>
      <c r="D103" s="12" t="s">
        <v>92</v>
      </c>
      <c r="E103" s="12">
        <v>1045685962</v>
      </c>
      <c r="F103" s="25" t="s">
        <v>961</v>
      </c>
      <c r="G103" s="10" t="s">
        <v>32</v>
      </c>
      <c r="H103" s="10" t="s">
        <v>962</v>
      </c>
      <c r="I103" s="13">
        <v>45875</v>
      </c>
      <c r="J103" s="12" t="s">
        <v>113</v>
      </c>
      <c r="K103" s="16">
        <v>32904</v>
      </c>
      <c r="L103" s="10">
        <f t="shared" ca="1" si="4"/>
        <v>36</v>
      </c>
      <c r="M103" s="10" t="s">
        <v>120</v>
      </c>
      <c r="N103" s="10" t="s">
        <v>122</v>
      </c>
      <c r="O103" s="101" t="s">
        <v>142</v>
      </c>
      <c r="P103" s="103" t="s">
        <v>128</v>
      </c>
      <c r="Q103" s="104" t="s">
        <v>133</v>
      </c>
      <c r="R103" s="12" t="s">
        <v>968</v>
      </c>
      <c r="S103" s="12" t="s">
        <v>136</v>
      </c>
      <c r="T103" s="12"/>
      <c r="U103" s="12">
        <v>3212818561</v>
      </c>
      <c r="V103" s="12" t="s">
        <v>969</v>
      </c>
      <c r="W103" s="12" t="s">
        <v>215</v>
      </c>
      <c r="X103" s="12" t="s">
        <v>255</v>
      </c>
      <c r="Y103" s="34"/>
      <c r="Z103" s="16"/>
      <c r="AA103" s="13">
        <v>46063</v>
      </c>
      <c r="AB103" s="12" t="s">
        <v>148</v>
      </c>
      <c r="AC103" s="32"/>
      <c r="AD103" s="32"/>
    </row>
    <row r="104" spans="1:33" ht="15.75" customHeight="1" x14ac:dyDescent="0.25">
      <c r="A104" s="10" t="s">
        <v>77</v>
      </c>
      <c r="B104" s="10" t="s">
        <v>86</v>
      </c>
      <c r="C104" s="10" t="s">
        <v>91</v>
      </c>
      <c r="D104" s="10" t="s">
        <v>92</v>
      </c>
      <c r="E104" s="12">
        <v>1043930177</v>
      </c>
      <c r="F104" s="50" t="s">
        <v>1615</v>
      </c>
      <c r="G104" s="10" t="s">
        <v>11</v>
      </c>
      <c r="H104" s="10" t="s">
        <v>1271</v>
      </c>
      <c r="I104" s="16">
        <v>46044</v>
      </c>
      <c r="J104" s="12" t="s">
        <v>113</v>
      </c>
      <c r="K104" s="16">
        <v>31510</v>
      </c>
      <c r="L104" s="10">
        <f t="shared" ca="1" si="4"/>
        <v>40</v>
      </c>
      <c r="M104" s="10" t="s">
        <v>120</v>
      </c>
      <c r="N104" s="10" t="s">
        <v>236</v>
      </c>
      <c r="O104" s="101" t="s">
        <v>142</v>
      </c>
      <c r="P104" s="42" t="s">
        <v>128</v>
      </c>
      <c r="Q104" s="102" t="s">
        <v>133</v>
      </c>
      <c r="R104" s="12" t="s">
        <v>1620</v>
      </c>
      <c r="S104" s="12" t="s">
        <v>1621</v>
      </c>
      <c r="T104" s="12" t="s">
        <v>1622</v>
      </c>
      <c r="U104" s="12">
        <v>3216889200</v>
      </c>
      <c r="V104" s="12" t="s">
        <v>1623</v>
      </c>
      <c r="W104" s="12" t="s">
        <v>673</v>
      </c>
      <c r="X104" s="12"/>
      <c r="Y104" s="34" t="s">
        <v>1624</v>
      </c>
      <c r="Z104" s="10" t="s">
        <v>293</v>
      </c>
      <c r="AA104" s="13">
        <v>46056</v>
      </c>
      <c r="AB104" s="12" t="s">
        <v>148</v>
      </c>
      <c r="AC104" s="29"/>
      <c r="AD104" s="29"/>
      <c r="AE104" s="29"/>
      <c r="AF104" s="29"/>
    </row>
    <row r="105" spans="1:33" ht="15.75" customHeight="1" x14ac:dyDescent="0.25">
      <c r="A105" s="10" t="s">
        <v>77</v>
      </c>
      <c r="B105" s="10" t="s">
        <v>86</v>
      </c>
      <c r="C105" s="10" t="s">
        <v>91</v>
      </c>
      <c r="D105" s="10" t="s">
        <v>92</v>
      </c>
      <c r="E105" s="10">
        <v>72178274</v>
      </c>
      <c r="F105" s="23" t="s">
        <v>1627</v>
      </c>
      <c r="G105" s="10" t="s">
        <v>32</v>
      </c>
      <c r="H105" s="10" t="s">
        <v>1628</v>
      </c>
      <c r="I105" s="13">
        <v>45856</v>
      </c>
      <c r="J105" s="10" t="s">
        <v>113</v>
      </c>
      <c r="K105" s="13">
        <v>26215</v>
      </c>
      <c r="L105" s="10">
        <f t="shared" ca="1" si="4"/>
        <v>54</v>
      </c>
      <c r="M105" s="10" t="s">
        <v>120</v>
      </c>
      <c r="N105" s="10" t="s">
        <v>122</v>
      </c>
      <c r="O105" s="10"/>
      <c r="P105" s="21" t="s">
        <v>128</v>
      </c>
      <c r="Q105" s="10" t="s">
        <v>133</v>
      </c>
      <c r="R105" s="10" t="s">
        <v>1633</v>
      </c>
      <c r="S105" s="10" t="s">
        <v>151</v>
      </c>
      <c r="T105" s="10"/>
      <c r="U105" s="10">
        <v>3006022341</v>
      </c>
      <c r="V105" s="10" t="s">
        <v>1635</v>
      </c>
      <c r="W105" s="10"/>
      <c r="X105" s="10"/>
      <c r="Y105" s="28"/>
      <c r="Z105" s="13"/>
      <c r="AA105" s="13">
        <v>46069</v>
      </c>
      <c r="AB105" s="12" t="s">
        <v>148</v>
      </c>
      <c r="AC105" s="29"/>
      <c r="AD105" s="29"/>
      <c r="AE105" s="29"/>
      <c r="AF105" s="29"/>
    </row>
    <row r="106" spans="1:33" ht="15.75" customHeight="1" x14ac:dyDescent="0.25">
      <c r="A106" s="42" t="s">
        <v>77</v>
      </c>
      <c r="B106" s="42" t="s">
        <v>86</v>
      </c>
      <c r="C106" s="10" t="s">
        <v>91</v>
      </c>
      <c r="D106" s="42" t="s">
        <v>92</v>
      </c>
      <c r="E106" s="83">
        <v>1045726659</v>
      </c>
      <c r="F106" s="23" t="s">
        <v>1639</v>
      </c>
      <c r="G106" s="12" t="s">
        <v>26</v>
      </c>
      <c r="H106" s="5"/>
      <c r="I106" s="13">
        <v>46008</v>
      </c>
      <c r="J106" s="42" t="s">
        <v>113</v>
      </c>
      <c r="K106" s="16">
        <v>34679</v>
      </c>
      <c r="L106" s="42">
        <f t="shared" ca="1" si="4"/>
        <v>31</v>
      </c>
      <c r="M106" s="10" t="s">
        <v>120</v>
      </c>
      <c r="N106" s="10" t="s">
        <v>122</v>
      </c>
      <c r="O106" s="10" t="s">
        <v>142</v>
      </c>
      <c r="P106" s="21" t="s">
        <v>128</v>
      </c>
      <c r="Q106" s="5"/>
      <c r="R106" s="85" t="s">
        <v>1645</v>
      </c>
      <c r="S106" s="10" t="s">
        <v>136</v>
      </c>
      <c r="T106" s="86" t="s">
        <v>1646</v>
      </c>
      <c r="U106" s="12">
        <v>3018766854</v>
      </c>
      <c r="V106" s="5"/>
      <c r="W106" s="10" t="s">
        <v>1647</v>
      </c>
      <c r="X106" s="10"/>
      <c r="Y106" s="87">
        <v>3018766854</v>
      </c>
      <c r="Z106" s="10" t="s">
        <v>293</v>
      </c>
      <c r="AA106" s="13">
        <v>46063</v>
      </c>
      <c r="AB106" s="10" t="s">
        <v>440</v>
      </c>
    </row>
    <row r="107" spans="1:33" ht="15.75" customHeight="1" x14ac:dyDescent="0.25">
      <c r="A107" s="10" t="s">
        <v>160</v>
      </c>
      <c r="B107" s="10" t="s">
        <v>86</v>
      </c>
      <c r="C107" s="10" t="s">
        <v>91</v>
      </c>
      <c r="D107" s="10" t="s">
        <v>92</v>
      </c>
      <c r="E107" s="12">
        <v>1007909011</v>
      </c>
      <c r="F107" s="25" t="s">
        <v>1650</v>
      </c>
      <c r="G107" s="10" t="s">
        <v>1651</v>
      </c>
      <c r="H107" s="10" t="s">
        <v>1652</v>
      </c>
      <c r="I107" s="13">
        <v>45831</v>
      </c>
      <c r="J107" s="10" t="s">
        <v>113</v>
      </c>
      <c r="K107" s="16">
        <v>37532</v>
      </c>
      <c r="L107" s="10">
        <f t="shared" ca="1" si="4"/>
        <v>23</v>
      </c>
      <c r="M107" s="10" t="s">
        <v>320</v>
      </c>
      <c r="N107" s="10" t="s">
        <v>236</v>
      </c>
      <c r="O107" s="42" t="s">
        <v>142</v>
      </c>
      <c r="P107" s="21" t="s">
        <v>128</v>
      </c>
      <c r="Q107" s="10" t="s">
        <v>133</v>
      </c>
      <c r="R107" s="12" t="s">
        <v>1657</v>
      </c>
      <c r="S107" s="10" t="s">
        <v>136</v>
      </c>
      <c r="T107" s="10"/>
      <c r="U107" s="10">
        <v>3005585753</v>
      </c>
      <c r="V107" s="62" t="s">
        <v>1659</v>
      </c>
      <c r="W107" s="12" t="s">
        <v>215</v>
      </c>
      <c r="X107" s="12" t="s">
        <v>288</v>
      </c>
      <c r="Y107" s="34"/>
      <c r="Z107" s="12"/>
      <c r="AA107" s="16">
        <v>46052</v>
      </c>
      <c r="AB107" s="12" t="s">
        <v>148</v>
      </c>
      <c r="AC107" s="22"/>
      <c r="AD107" s="22"/>
      <c r="AE107" s="22"/>
      <c r="AF107" s="22"/>
    </row>
    <row r="108" spans="1:33" x14ac:dyDescent="0.25">
      <c r="A108" s="10" t="s">
        <v>77</v>
      </c>
      <c r="B108" s="10" t="s">
        <v>86</v>
      </c>
      <c r="C108" s="10" t="s">
        <v>91</v>
      </c>
      <c r="D108" s="10" t="s">
        <v>92</v>
      </c>
      <c r="E108" s="12">
        <v>1002021776</v>
      </c>
      <c r="F108" s="15" t="s">
        <v>1670</v>
      </c>
      <c r="G108" s="12" t="s">
        <v>26</v>
      </c>
      <c r="H108" s="10" t="s">
        <v>1271</v>
      </c>
      <c r="I108" s="16">
        <v>46045</v>
      </c>
      <c r="J108" s="12" t="s">
        <v>113</v>
      </c>
      <c r="K108" s="16">
        <v>35070</v>
      </c>
      <c r="L108" s="10">
        <f t="shared" ca="1" si="4"/>
        <v>30</v>
      </c>
      <c r="M108" s="10" t="s">
        <v>120</v>
      </c>
      <c r="N108" s="10" t="s">
        <v>122</v>
      </c>
      <c r="O108" s="12" t="s">
        <v>142</v>
      </c>
      <c r="P108" s="42" t="s">
        <v>128</v>
      </c>
      <c r="Q108" s="10"/>
      <c r="R108" s="106" t="s">
        <v>1674</v>
      </c>
      <c r="S108" s="12" t="s">
        <v>136</v>
      </c>
      <c r="T108" s="12" t="s">
        <v>1679</v>
      </c>
      <c r="U108" s="12">
        <v>3126312974</v>
      </c>
      <c r="V108" s="12"/>
      <c r="W108" s="12" t="s">
        <v>539</v>
      </c>
      <c r="X108" s="12" t="s">
        <v>170</v>
      </c>
      <c r="Y108" s="34"/>
      <c r="Z108" s="10" t="s">
        <v>293</v>
      </c>
      <c r="AA108" s="13">
        <v>46070</v>
      </c>
      <c r="AB108" s="12" t="s">
        <v>148</v>
      </c>
      <c r="AC108" s="107"/>
      <c r="AD108" s="107"/>
      <c r="AE108" s="76"/>
      <c r="AF108" s="76"/>
    </row>
    <row r="109" spans="1:33" ht="15.75" customHeight="1" x14ac:dyDescent="0.25">
      <c r="A109" s="10" t="s">
        <v>77</v>
      </c>
      <c r="B109" s="10" t="s">
        <v>86</v>
      </c>
      <c r="C109" s="10" t="s">
        <v>91</v>
      </c>
      <c r="D109" s="10" t="s">
        <v>92</v>
      </c>
      <c r="E109" s="10">
        <v>1048204889</v>
      </c>
      <c r="F109" s="51" t="s">
        <v>663</v>
      </c>
      <c r="G109" s="12" t="s">
        <v>26</v>
      </c>
      <c r="H109" s="10" t="s">
        <v>981</v>
      </c>
      <c r="I109" s="13">
        <v>46030</v>
      </c>
      <c r="J109" s="10" t="s">
        <v>113</v>
      </c>
      <c r="K109" s="13">
        <v>31555</v>
      </c>
      <c r="L109" s="10">
        <f t="shared" ca="1" si="4"/>
        <v>40</v>
      </c>
      <c r="M109" s="10" t="s">
        <v>120</v>
      </c>
      <c r="N109" s="10" t="s">
        <v>122</v>
      </c>
      <c r="O109" s="105" t="s">
        <v>142</v>
      </c>
      <c r="P109" s="42" t="s">
        <v>128</v>
      </c>
      <c r="Q109" s="102" t="s">
        <v>133</v>
      </c>
      <c r="R109" s="10" t="s">
        <v>1686</v>
      </c>
      <c r="S109" s="10" t="s">
        <v>136</v>
      </c>
      <c r="T109" s="10" t="s">
        <v>1687</v>
      </c>
      <c r="U109" s="10">
        <v>3014546507</v>
      </c>
      <c r="V109" s="10" t="s">
        <v>1688</v>
      </c>
      <c r="W109" s="10" t="s">
        <v>203</v>
      </c>
      <c r="X109" s="10" t="s">
        <v>966</v>
      </c>
      <c r="Y109" s="10"/>
      <c r="Z109" s="10" t="s">
        <v>935</v>
      </c>
      <c r="AA109" s="13">
        <v>46077</v>
      </c>
      <c r="AB109" s="10" t="s">
        <v>440</v>
      </c>
    </row>
    <row r="110" spans="1:33" ht="15.75" customHeight="1" x14ac:dyDescent="0.25">
      <c r="A110" s="10" t="s">
        <v>77</v>
      </c>
      <c r="B110" s="10" t="s">
        <v>86</v>
      </c>
      <c r="C110" s="10" t="s">
        <v>91</v>
      </c>
      <c r="D110" s="10" t="s">
        <v>92</v>
      </c>
      <c r="E110" s="12">
        <v>1042447852</v>
      </c>
      <c r="F110" s="25" t="s">
        <v>1691</v>
      </c>
      <c r="G110" s="12" t="s">
        <v>26</v>
      </c>
      <c r="H110" s="12"/>
      <c r="I110" s="13">
        <v>46076</v>
      </c>
      <c r="J110" s="12" t="s">
        <v>113</v>
      </c>
      <c r="K110" s="16"/>
      <c r="L110" s="10"/>
      <c r="M110" s="10" t="s">
        <v>120</v>
      </c>
      <c r="N110" s="10"/>
      <c r="O110" s="42"/>
      <c r="P110" s="42"/>
      <c r="Q110" s="10"/>
      <c r="R110" s="12"/>
      <c r="S110" s="12"/>
      <c r="T110" s="12"/>
      <c r="U110" s="12" t="s">
        <v>1694</v>
      </c>
      <c r="V110" s="12"/>
      <c r="W110" s="12"/>
      <c r="X110" s="12"/>
      <c r="Y110" s="34"/>
      <c r="Z110" s="12"/>
      <c r="AA110" s="13">
        <v>46077</v>
      </c>
      <c r="AB110" s="12" t="s">
        <v>148</v>
      </c>
      <c r="AC110" s="32"/>
      <c r="AD110" s="32"/>
      <c r="AE110" s="32"/>
      <c r="AF110" s="32"/>
    </row>
    <row r="111" spans="1:33" ht="15.75" customHeight="1" x14ac:dyDescent="0.25">
      <c r="A111" s="10" t="s">
        <v>77</v>
      </c>
      <c r="B111" s="10" t="s">
        <v>86</v>
      </c>
      <c r="C111" s="10" t="s">
        <v>91</v>
      </c>
      <c r="D111" s="10" t="s">
        <v>92</v>
      </c>
      <c r="E111" s="10">
        <v>1143157527</v>
      </c>
      <c r="F111" s="25" t="s">
        <v>230</v>
      </c>
      <c r="G111" s="10" t="s">
        <v>741</v>
      </c>
      <c r="H111" s="10" t="s">
        <v>1696</v>
      </c>
      <c r="I111" s="13">
        <v>45831</v>
      </c>
      <c r="J111" s="10" t="s">
        <v>113</v>
      </c>
      <c r="K111" s="10"/>
      <c r="L111" s="10" t="str">
        <f t="shared" ref="L111:L140" ca="1" si="5">IF(K111=0,"", DATEDIF(K111,TODAY(),"y"))</f>
        <v/>
      </c>
      <c r="M111" s="10" t="s">
        <v>120</v>
      </c>
      <c r="N111" s="10" t="s">
        <v>122</v>
      </c>
      <c r="O111" s="42" t="s">
        <v>142</v>
      </c>
      <c r="P111" s="21" t="s">
        <v>128</v>
      </c>
      <c r="Q111" s="10" t="s">
        <v>133</v>
      </c>
      <c r="R111" s="10" t="s">
        <v>1704</v>
      </c>
      <c r="S111" s="10" t="s">
        <v>136</v>
      </c>
      <c r="T111" s="10"/>
      <c r="U111" s="10">
        <v>3043420399</v>
      </c>
      <c r="V111" s="10" t="s">
        <v>1705</v>
      </c>
      <c r="W111" s="10" t="s">
        <v>791</v>
      </c>
      <c r="X111" s="10" t="s">
        <v>255</v>
      </c>
      <c r="Y111" s="28"/>
      <c r="Z111" s="13"/>
      <c r="AA111" s="13">
        <v>46077</v>
      </c>
      <c r="AB111" s="10" t="s">
        <v>440</v>
      </c>
      <c r="AC111" s="22"/>
      <c r="AD111" s="22"/>
      <c r="AE111" s="22"/>
      <c r="AF111" s="22"/>
    </row>
    <row r="112" spans="1:33" ht="15.75" customHeight="1" x14ac:dyDescent="0.25">
      <c r="A112" s="10" t="s">
        <v>77</v>
      </c>
      <c r="B112" s="10" t="s">
        <v>86</v>
      </c>
      <c r="C112" s="10" t="s">
        <v>91</v>
      </c>
      <c r="D112" s="10" t="s">
        <v>92</v>
      </c>
      <c r="E112" s="10">
        <v>1010083985</v>
      </c>
      <c r="F112" s="25" t="s">
        <v>391</v>
      </c>
      <c r="G112" s="10" t="s">
        <v>302</v>
      </c>
      <c r="H112" s="10" t="s">
        <v>1712</v>
      </c>
      <c r="I112" s="13">
        <v>45831</v>
      </c>
      <c r="J112" s="10" t="s">
        <v>113</v>
      </c>
      <c r="K112" s="13">
        <v>31975</v>
      </c>
      <c r="L112" s="10">
        <f t="shared" ca="1" si="5"/>
        <v>39</v>
      </c>
      <c r="M112" s="10" t="s">
        <v>120</v>
      </c>
      <c r="N112" s="10" t="s">
        <v>122</v>
      </c>
      <c r="O112" s="42" t="s">
        <v>142</v>
      </c>
      <c r="P112" s="21" t="s">
        <v>128</v>
      </c>
      <c r="Q112" s="10" t="s">
        <v>133</v>
      </c>
      <c r="R112" s="10" t="s">
        <v>1715</v>
      </c>
      <c r="S112" s="10" t="s">
        <v>136</v>
      </c>
      <c r="T112" s="10"/>
      <c r="U112" s="10">
        <v>3228397637</v>
      </c>
      <c r="V112" s="10" t="s">
        <v>1716</v>
      </c>
      <c r="W112" s="10" t="s">
        <v>253</v>
      </c>
      <c r="X112" s="10" t="s">
        <v>255</v>
      </c>
      <c r="Y112" s="28"/>
      <c r="Z112" s="13"/>
      <c r="AA112" s="13">
        <v>46077</v>
      </c>
      <c r="AB112" s="10" t="s">
        <v>440</v>
      </c>
      <c r="AC112" s="39"/>
      <c r="AD112" s="39"/>
      <c r="AE112" s="39"/>
      <c r="AF112" s="39"/>
    </row>
    <row r="113" spans="1:32" ht="15.75" customHeight="1" x14ac:dyDescent="0.25">
      <c r="A113" s="10" t="s">
        <v>77</v>
      </c>
      <c r="B113" s="10" t="s">
        <v>86</v>
      </c>
      <c r="C113" s="10" t="s">
        <v>91</v>
      </c>
      <c r="D113" s="10" t="s">
        <v>92</v>
      </c>
      <c r="E113" s="12">
        <v>1129486331</v>
      </c>
      <c r="F113" s="25" t="s">
        <v>805</v>
      </c>
      <c r="G113" s="10" t="s">
        <v>1398</v>
      </c>
      <c r="H113" s="10" t="s">
        <v>807</v>
      </c>
      <c r="I113" s="13">
        <v>45831</v>
      </c>
      <c r="J113" s="12" t="s">
        <v>113</v>
      </c>
      <c r="K113" s="16">
        <v>37732</v>
      </c>
      <c r="L113" s="10">
        <f t="shared" ca="1" si="5"/>
        <v>23</v>
      </c>
      <c r="M113" s="10" t="s">
        <v>120</v>
      </c>
      <c r="N113" s="10" t="s">
        <v>122</v>
      </c>
      <c r="O113" s="12" t="s">
        <v>142</v>
      </c>
      <c r="P113" s="21" t="s">
        <v>128</v>
      </c>
      <c r="Q113" s="12" t="s">
        <v>133</v>
      </c>
      <c r="R113" s="12" t="s">
        <v>809</v>
      </c>
      <c r="S113" s="12" t="s">
        <v>136</v>
      </c>
      <c r="T113" s="12"/>
      <c r="U113" s="12">
        <v>3023649938</v>
      </c>
      <c r="V113" s="12" t="s">
        <v>811</v>
      </c>
      <c r="W113" s="12" t="s">
        <v>813</v>
      </c>
      <c r="X113" s="12" t="s">
        <v>170</v>
      </c>
      <c r="Y113" s="34"/>
      <c r="Z113" s="16"/>
      <c r="AA113" s="13">
        <v>46079</v>
      </c>
      <c r="AB113" s="10" t="s">
        <v>440</v>
      </c>
    </row>
    <row r="114" spans="1:32" ht="15.75" customHeight="1" x14ac:dyDescent="0.25">
      <c r="A114" s="10" t="s">
        <v>77</v>
      </c>
      <c r="B114" s="10" t="s">
        <v>86</v>
      </c>
      <c r="C114" s="10" t="s">
        <v>91</v>
      </c>
      <c r="D114" s="10" t="s">
        <v>92</v>
      </c>
      <c r="E114" s="10">
        <v>72199584</v>
      </c>
      <c r="F114" s="51" t="s">
        <v>1732</v>
      </c>
      <c r="G114" s="12" t="s">
        <v>26</v>
      </c>
      <c r="H114" s="10" t="s">
        <v>1733</v>
      </c>
      <c r="I114" s="13">
        <v>45847</v>
      </c>
      <c r="J114" s="10" t="s">
        <v>113</v>
      </c>
      <c r="K114" s="13">
        <v>26119</v>
      </c>
      <c r="L114" s="10">
        <f t="shared" ca="1" si="5"/>
        <v>55</v>
      </c>
      <c r="M114" s="10" t="s">
        <v>120</v>
      </c>
      <c r="N114" s="10" t="s">
        <v>122</v>
      </c>
      <c r="O114" s="10" t="s">
        <v>142</v>
      </c>
      <c r="P114" s="21" t="s">
        <v>128</v>
      </c>
      <c r="Q114" s="10" t="s">
        <v>133</v>
      </c>
      <c r="R114" s="10" t="s">
        <v>1738</v>
      </c>
      <c r="S114" s="10" t="s">
        <v>136</v>
      </c>
      <c r="T114" s="10"/>
      <c r="U114" s="10">
        <v>3245687723</v>
      </c>
      <c r="V114" s="10" t="s">
        <v>1739</v>
      </c>
      <c r="W114" s="10"/>
      <c r="X114" s="10"/>
      <c r="Y114" s="28" t="s">
        <v>1740</v>
      </c>
      <c r="Z114" s="10" t="s">
        <v>393</v>
      </c>
      <c r="AA114" s="13">
        <v>46079</v>
      </c>
      <c r="AB114" s="10" t="s">
        <v>440</v>
      </c>
      <c r="AC114" s="29"/>
      <c r="AD114" s="29"/>
      <c r="AE114" s="29"/>
      <c r="AF114" s="29"/>
    </row>
    <row r="115" spans="1:32" ht="15.75" customHeight="1" x14ac:dyDescent="0.25">
      <c r="A115" s="10" t="s">
        <v>77</v>
      </c>
      <c r="B115" s="10" t="s">
        <v>86</v>
      </c>
      <c r="C115" s="10" t="s">
        <v>91</v>
      </c>
      <c r="D115" s="10" t="s">
        <v>92</v>
      </c>
      <c r="E115" s="12">
        <v>1001965828</v>
      </c>
      <c r="F115" s="14" t="s">
        <v>1744</v>
      </c>
      <c r="G115" s="10" t="s">
        <v>302</v>
      </c>
      <c r="H115" s="10" t="s">
        <v>1746</v>
      </c>
      <c r="I115" s="16">
        <v>45894</v>
      </c>
      <c r="J115" s="12" t="s">
        <v>113</v>
      </c>
      <c r="K115" s="13">
        <v>37274</v>
      </c>
      <c r="L115" s="10">
        <f t="shared" ca="1" si="5"/>
        <v>24</v>
      </c>
      <c r="M115" s="10" t="s">
        <v>120</v>
      </c>
      <c r="N115" s="10" t="s">
        <v>122</v>
      </c>
      <c r="O115" s="42"/>
      <c r="P115" s="21" t="s">
        <v>128</v>
      </c>
      <c r="Q115" s="10" t="s">
        <v>133</v>
      </c>
      <c r="R115" s="12" t="s">
        <v>1748</v>
      </c>
      <c r="S115" s="12" t="s">
        <v>1621</v>
      </c>
      <c r="T115" s="12" t="s">
        <v>1750</v>
      </c>
      <c r="U115" s="12">
        <v>3217132655</v>
      </c>
      <c r="V115" s="12"/>
      <c r="W115" s="10" t="s">
        <v>203</v>
      </c>
      <c r="X115" s="12"/>
      <c r="Y115" s="34"/>
      <c r="Z115" s="12"/>
      <c r="AA115" s="13">
        <v>46079</v>
      </c>
      <c r="AB115" s="10" t="s">
        <v>440</v>
      </c>
    </row>
    <row r="116" spans="1:32" ht="15.75" customHeight="1" x14ac:dyDescent="0.25">
      <c r="A116" s="10" t="s">
        <v>77</v>
      </c>
      <c r="B116" s="10" t="s">
        <v>86</v>
      </c>
      <c r="C116" s="10" t="s">
        <v>91</v>
      </c>
      <c r="D116" s="10" t="s">
        <v>92</v>
      </c>
      <c r="E116" s="12">
        <v>1143432688</v>
      </c>
      <c r="F116" s="25" t="s">
        <v>1753</v>
      </c>
      <c r="G116" s="10" t="s">
        <v>11</v>
      </c>
      <c r="H116" s="10" t="s">
        <v>1755</v>
      </c>
      <c r="I116" s="16">
        <v>45883</v>
      </c>
      <c r="J116" s="12" t="s">
        <v>113</v>
      </c>
      <c r="K116" s="16">
        <v>35682</v>
      </c>
      <c r="L116" s="10">
        <f t="shared" ca="1" si="5"/>
        <v>28</v>
      </c>
      <c r="M116" s="10" t="s">
        <v>120</v>
      </c>
      <c r="N116" s="10" t="s">
        <v>236</v>
      </c>
      <c r="O116" s="42"/>
      <c r="P116" s="21" t="s">
        <v>128</v>
      </c>
      <c r="Q116" s="10" t="s">
        <v>133</v>
      </c>
      <c r="R116" s="12" t="s">
        <v>1758</v>
      </c>
      <c r="S116" s="12" t="s">
        <v>136</v>
      </c>
      <c r="T116" s="12"/>
      <c r="U116" s="12">
        <v>3011575548</v>
      </c>
      <c r="V116" s="12"/>
      <c r="W116" s="12"/>
      <c r="X116" s="12"/>
      <c r="Y116" s="34"/>
      <c r="Z116" s="16"/>
      <c r="AA116" s="13">
        <v>46079</v>
      </c>
      <c r="AB116" s="10" t="s">
        <v>440</v>
      </c>
      <c r="AC116" s="32"/>
      <c r="AD116" s="32"/>
      <c r="AE116" s="32"/>
      <c r="AF116" s="32"/>
    </row>
    <row r="117" spans="1:32" ht="15.75" customHeight="1" x14ac:dyDescent="0.25">
      <c r="A117" s="10" t="s">
        <v>77</v>
      </c>
      <c r="B117" s="10" t="s">
        <v>86</v>
      </c>
      <c r="C117" s="10" t="s">
        <v>91</v>
      </c>
      <c r="D117" s="10" t="s">
        <v>92</v>
      </c>
      <c r="E117" s="12">
        <v>1042433512</v>
      </c>
      <c r="F117" s="25" t="s">
        <v>1762</v>
      </c>
      <c r="G117" s="10" t="s">
        <v>11</v>
      </c>
      <c r="H117" s="10" t="s">
        <v>1763</v>
      </c>
      <c r="I117" s="13">
        <v>45831</v>
      </c>
      <c r="J117" s="10" t="s">
        <v>113</v>
      </c>
      <c r="K117" s="13">
        <v>32644</v>
      </c>
      <c r="L117" s="10">
        <f t="shared" ca="1" si="5"/>
        <v>37</v>
      </c>
      <c r="M117" s="10" t="s">
        <v>120</v>
      </c>
      <c r="N117" s="10" t="s">
        <v>236</v>
      </c>
      <c r="O117" s="10" t="s">
        <v>142</v>
      </c>
      <c r="P117" s="21" t="s">
        <v>128</v>
      </c>
      <c r="Q117" s="10" t="s">
        <v>133</v>
      </c>
      <c r="R117" s="12"/>
      <c r="S117" s="10" t="s">
        <v>136</v>
      </c>
      <c r="T117" s="12"/>
      <c r="U117" s="12">
        <v>3018265455</v>
      </c>
      <c r="V117" s="12"/>
      <c r="W117" s="12"/>
      <c r="X117" s="12" t="s">
        <v>966</v>
      </c>
      <c r="Y117" s="34"/>
      <c r="Z117" s="12"/>
      <c r="AA117" s="13">
        <v>46079</v>
      </c>
      <c r="AB117" s="10" t="s">
        <v>440</v>
      </c>
      <c r="AC117" s="39"/>
      <c r="AD117" s="39"/>
      <c r="AE117" s="39"/>
      <c r="AF117" s="39"/>
    </row>
    <row r="118" spans="1:32" ht="15.75" customHeight="1" x14ac:dyDescent="0.25">
      <c r="A118" s="42" t="s">
        <v>77</v>
      </c>
      <c r="B118" s="42" t="s">
        <v>86</v>
      </c>
      <c r="C118" s="10" t="s">
        <v>91</v>
      </c>
      <c r="D118" s="42" t="s">
        <v>92</v>
      </c>
      <c r="E118" s="42">
        <v>1152943867</v>
      </c>
      <c r="F118" s="25" t="s">
        <v>1771</v>
      </c>
      <c r="G118" s="10" t="s">
        <v>302</v>
      </c>
      <c r="H118" s="42"/>
      <c r="I118" s="90">
        <v>45979</v>
      </c>
      <c r="J118" s="42" t="s">
        <v>1136</v>
      </c>
      <c r="K118" s="89">
        <v>35411</v>
      </c>
      <c r="L118" s="42">
        <f t="shared" ca="1" si="5"/>
        <v>29</v>
      </c>
      <c r="M118" s="42" t="s">
        <v>120</v>
      </c>
      <c r="N118" s="42" t="s">
        <v>122</v>
      </c>
      <c r="O118" s="42" t="s">
        <v>1456</v>
      </c>
      <c r="P118" s="21" t="s">
        <v>128</v>
      </c>
      <c r="Q118" s="42"/>
      <c r="R118" s="42" t="s">
        <v>1777</v>
      </c>
      <c r="S118" s="42" t="s">
        <v>136</v>
      </c>
      <c r="T118" s="42" t="s">
        <v>136</v>
      </c>
      <c r="U118" s="42">
        <v>3123467784</v>
      </c>
      <c r="V118" s="42" t="s">
        <v>1778</v>
      </c>
      <c r="W118" s="42" t="s">
        <v>155</v>
      </c>
      <c r="X118" s="42" t="s">
        <v>170</v>
      </c>
      <c r="Y118" s="60" t="s">
        <v>1780</v>
      </c>
      <c r="Z118" s="42"/>
      <c r="AA118" s="13">
        <v>46079</v>
      </c>
      <c r="AB118" s="10" t="s">
        <v>440</v>
      </c>
      <c r="AC118" s="80"/>
      <c r="AD118" s="80"/>
      <c r="AE118" s="80"/>
      <c r="AF118" s="80"/>
    </row>
    <row r="119" spans="1:32" ht="15.75" customHeight="1" x14ac:dyDescent="0.25">
      <c r="A119" s="10" t="s">
        <v>77</v>
      </c>
      <c r="B119" s="10" t="s">
        <v>86</v>
      </c>
      <c r="C119" s="10" t="s">
        <v>91</v>
      </c>
      <c r="D119" s="10" t="s">
        <v>92</v>
      </c>
      <c r="E119" s="10">
        <v>5054057</v>
      </c>
      <c r="F119" s="25" t="s">
        <v>413</v>
      </c>
      <c r="G119" s="10" t="s">
        <v>11</v>
      </c>
      <c r="H119" s="10" t="s">
        <v>1787</v>
      </c>
      <c r="I119" s="13">
        <v>45847</v>
      </c>
      <c r="J119" s="10" t="s">
        <v>113</v>
      </c>
      <c r="K119" s="13">
        <v>30140</v>
      </c>
      <c r="L119" s="10">
        <f t="shared" ca="1" si="5"/>
        <v>44</v>
      </c>
      <c r="M119" s="10" t="s">
        <v>120</v>
      </c>
      <c r="N119" s="10" t="s">
        <v>122</v>
      </c>
      <c r="O119" s="42" t="s">
        <v>124</v>
      </c>
      <c r="P119" s="21" t="s">
        <v>128</v>
      </c>
      <c r="Q119" s="10" t="s">
        <v>133</v>
      </c>
      <c r="R119" s="10" t="s">
        <v>893</v>
      </c>
      <c r="S119" s="10" t="s">
        <v>151</v>
      </c>
      <c r="T119" s="10"/>
      <c r="U119" s="10">
        <v>3102508885</v>
      </c>
      <c r="V119" s="10"/>
      <c r="W119" s="10"/>
      <c r="X119" s="10"/>
      <c r="Y119" s="28" t="s">
        <v>1795</v>
      </c>
      <c r="Z119" s="10" t="s">
        <v>393</v>
      </c>
      <c r="AA119" s="13">
        <v>46080</v>
      </c>
      <c r="AB119" s="10" t="s">
        <v>440</v>
      </c>
      <c r="AC119" s="64"/>
      <c r="AD119" s="64"/>
      <c r="AE119" s="64"/>
      <c r="AF119" s="64"/>
    </row>
    <row r="120" spans="1:32" x14ac:dyDescent="0.25">
      <c r="A120" s="10" t="s">
        <v>77</v>
      </c>
      <c r="B120" s="10" t="s">
        <v>86</v>
      </c>
      <c r="C120" s="10" t="s">
        <v>91</v>
      </c>
      <c r="D120" s="10" t="s">
        <v>92</v>
      </c>
      <c r="E120" s="12">
        <v>1000869451</v>
      </c>
      <c r="F120" s="15" t="s">
        <v>1797</v>
      </c>
      <c r="G120" s="12" t="s">
        <v>26</v>
      </c>
      <c r="H120" s="10"/>
      <c r="I120" s="16">
        <v>46062</v>
      </c>
      <c r="J120" s="12" t="s">
        <v>113</v>
      </c>
      <c r="K120" s="16">
        <v>31118</v>
      </c>
      <c r="L120" s="10">
        <f t="shared" ca="1" si="5"/>
        <v>41</v>
      </c>
      <c r="M120" s="10" t="s">
        <v>120</v>
      </c>
      <c r="N120" s="10" t="s">
        <v>236</v>
      </c>
      <c r="O120" s="12" t="s">
        <v>124</v>
      </c>
      <c r="P120" s="42" t="s">
        <v>128</v>
      </c>
      <c r="Q120" s="10"/>
      <c r="R120" s="12" t="s">
        <v>1803</v>
      </c>
      <c r="S120" s="12" t="s">
        <v>1589</v>
      </c>
      <c r="T120" s="12" t="s">
        <v>1804</v>
      </c>
      <c r="U120" s="12">
        <v>3216914391</v>
      </c>
      <c r="V120" s="12"/>
      <c r="W120" s="12" t="s">
        <v>781</v>
      </c>
      <c r="X120" s="12" t="s">
        <v>170</v>
      </c>
      <c r="Y120" s="34"/>
      <c r="Z120" s="16"/>
      <c r="AA120" s="13">
        <v>46080</v>
      </c>
      <c r="AB120" s="12" t="s">
        <v>148</v>
      </c>
      <c r="AC120" s="32"/>
      <c r="AD120" s="32"/>
    </row>
    <row r="121" spans="1:32" ht="15.75" customHeight="1" x14ac:dyDescent="0.25">
      <c r="A121" s="10" t="s">
        <v>160</v>
      </c>
      <c r="B121" s="10" t="s">
        <v>86</v>
      </c>
      <c r="C121" s="10" t="s">
        <v>91</v>
      </c>
      <c r="D121" s="10" t="s">
        <v>92</v>
      </c>
      <c r="E121" s="12">
        <v>1140845850</v>
      </c>
      <c r="F121" s="50" t="s">
        <v>1808</v>
      </c>
      <c r="G121" s="10" t="s">
        <v>1508</v>
      </c>
      <c r="H121" s="10" t="s">
        <v>1271</v>
      </c>
      <c r="I121" s="16">
        <v>46044</v>
      </c>
      <c r="J121" s="12" t="s">
        <v>113</v>
      </c>
      <c r="K121" s="16">
        <v>33394</v>
      </c>
      <c r="L121" s="10">
        <f t="shared" ca="1" si="5"/>
        <v>35</v>
      </c>
      <c r="M121" s="10" t="s">
        <v>120</v>
      </c>
      <c r="N121" s="10" t="s">
        <v>122</v>
      </c>
      <c r="O121" s="101" t="s">
        <v>142</v>
      </c>
      <c r="P121" s="42" t="s">
        <v>128</v>
      </c>
      <c r="Q121" s="102" t="s">
        <v>133</v>
      </c>
      <c r="R121" s="12" t="s">
        <v>1811</v>
      </c>
      <c r="S121" s="12" t="s">
        <v>136</v>
      </c>
      <c r="T121" s="12" t="s">
        <v>1813</v>
      </c>
      <c r="U121" s="12">
        <v>3138001948</v>
      </c>
      <c r="V121" s="12" t="s">
        <v>1815</v>
      </c>
      <c r="W121" s="12" t="s">
        <v>539</v>
      </c>
      <c r="X121" s="12" t="s">
        <v>1266</v>
      </c>
      <c r="Y121" s="34" t="s">
        <v>1818</v>
      </c>
      <c r="Z121" s="12" t="s">
        <v>935</v>
      </c>
      <c r="AA121" s="13">
        <v>46084</v>
      </c>
      <c r="AB121" s="10" t="s">
        <v>440</v>
      </c>
      <c r="AC121" s="29"/>
      <c r="AD121" s="29"/>
      <c r="AE121" s="29"/>
      <c r="AF121" s="29"/>
    </row>
    <row r="122" spans="1:32" ht="15.75" customHeight="1" x14ac:dyDescent="0.25">
      <c r="A122" s="10" t="s">
        <v>160</v>
      </c>
      <c r="B122" s="10" t="s">
        <v>86</v>
      </c>
      <c r="C122" s="10" t="s">
        <v>91</v>
      </c>
      <c r="D122" s="10" t="s">
        <v>92</v>
      </c>
      <c r="E122" s="10">
        <v>1143154925</v>
      </c>
      <c r="F122" s="25" t="s">
        <v>1820</v>
      </c>
      <c r="G122" s="10" t="s">
        <v>693</v>
      </c>
      <c r="H122" s="10" t="s">
        <v>1823</v>
      </c>
      <c r="I122" s="16">
        <v>45887</v>
      </c>
      <c r="J122" s="10" t="s">
        <v>113</v>
      </c>
      <c r="K122" s="13">
        <v>35117</v>
      </c>
      <c r="L122" s="10">
        <f t="shared" ca="1" si="5"/>
        <v>30</v>
      </c>
      <c r="M122" s="10" t="s">
        <v>120</v>
      </c>
      <c r="N122" s="10" t="s">
        <v>236</v>
      </c>
      <c r="O122" s="42" t="s">
        <v>124</v>
      </c>
      <c r="P122" s="21" t="s">
        <v>128</v>
      </c>
      <c r="Q122" s="10" t="s">
        <v>133</v>
      </c>
      <c r="R122" s="10" t="s">
        <v>1827</v>
      </c>
      <c r="S122" s="10" t="s">
        <v>136</v>
      </c>
      <c r="T122" s="10"/>
      <c r="U122" s="10">
        <v>3006649637</v>
      </c>
      <c r="V122" s="10" t="s">
        <v>1828</v>
      </c>
      <c r="W122" s="10" t="s">
        <v>203</v>
      </c>
      <c r="X122" s="10" t="s">
        <v>216</v>
      </c>
      <c r="Y122" s="28"/>
      <c r="Z122" s="13"/>
      <c r="AA122" s="13">
        <v>46084</v>
      </c>
      <c r="AB122" s="10" t="s">
        <v>440</v>
      </c>
      <c r="AC122" s="39"/>
      <c r="AD122" s="39"/>
      <c r="AE122" s="39"/>
      <c r="AF122" s="39"/>
    </row>
    <row r="123" spans="1:32" ht="15.75" customHeight="1" x14ac:dyDescent="0.25">
      <c r="A123" s="42" t="s">
        <v>77</v>
      </c>
      <c r="B123" s="10" t="s">
        <v>86</v>
      </c>
      <c r="C123" s="10" t="s">
        <v>91</v>
      </c>
      <c r="D123" s="42" t="s">
        <v>92</v>
      </c>
      <c r="E123" s="10">
        <v>1042438359</v>
      </c>
      <c r="F123" s="51" t="s">
        <v>1833</v>
      </c>
      <c r="G123" s="10" t="s">
        <v>1398</v>
      </c>
      <c r="H123" s="10"/>
      <c r="I123" s="13">
        <v>46003</v>
      </c>
      <c r="J123" s="42" t="s">
        <v>113</v>
      </c>
      <c r="K123" s="13">
        <v>33377</v>
      </c>
      <c r="L123" s="42">
        <f t="shared" ca="1" si="5"/>
        <v>35</v>
      </c>
      <c r="M123" s="10" t="s">
        <v>120</v>
      </c>
      <c r="N123" s="10" t="s">
        <v>277</v>
      </c>
      <c r="O123" s="10" t="s">
        <v>124</v>
      </c>
      <c r="P123" s="21" t="s">
        <v>128</v>
      </c>
      <c r="Q123" s="10"/>
      <c r="R123" s="111" t="s">
        <v>1838</v>
      </c>
      <c r="S123" s="10" t="s">
        <v>507</v>
      </c>
      <c r="T123" s="10" t="s">
        <v>1841</v>
      </c>
      <c r="U123" s="10">
        <v>3052936206</v>
      </c>
      <c r="V123" s="10" t="s">
        <v>1843</v>
      </c>
      <c r="W123" s="10" t="s">
        <v>1312</v>
      </c>
      <c r="X123" s="10" t="s">
        <v>255</v>
      </c>
      <c r="Y123" s="28" t="s">
        <v>1844</v>
      </c>
      <c r="Z123" s="10" t="s">
        <v>293</v>
      </c>
      <c r="AA123" s="13">
        <v>46083</v>
      </c>
      <c r="AB123" s="12" t="s">
        <v>148</v>
      </c>
      <c r="AC123" s="29"/>
      <c r="AD123" s="29"/>
      <c r="AE123" s="29"/>
      <c r="AF123" s="29"/>
    </row>
    <row r="124" spans="1:32" ht="15.75" customHeight="1" x14ac:dyDescent="0.25">
      <c r="A124" s="10" t="s">
        <v>160</v>
      </c>
      <c r="B124" s="10" t="s">
        <v>86</v>
      </c>
      <c r="C124" s="10" t="s">
        <v>91</v>
      </c>
      <c r="D124" s="12" t="s">
        <v>92</v>
      </c>
      <c r="E124" s="12">
        <v>1140904903</v>
      </c>
      <c r="F124" s="25" t="s">
        <v>1100</v>
      </c>
      <c r="G124" s="10" t="s">
        <v>1102</v>
      </c>
      <c r="H124" s="12" t="s">
        <v>1103</v>
      </c>
      <c r="I124" s="13">
        <v>45831</v>
      </c>
      <c r="J124" s="12" t="s">
        <v>113</v>
      </c>
      <c r="K124" s="16">
        <v>36470</v>
      </c>
      <c r="L124" s="10">
        <f t="shared" ca="1" si="5"/>
        <v>26</v>
      </c>
      <c r="M124" s="10" t="s">
        <v>120</v>
      </c>
      <c r="N124" s="10" t="s">
        <v>122</v>
      </c>
      <c r="O124" s="12" t="s">
        <v>124</v>
      </c>
      <c r="P124" s="21" t="s">
        <v>128</v>
      </c>
      <c r="Q124" s="12" t="s">
        <v>133</v>
      </c>
      <c r="R124" s="12"/>
      <c r="S124" s="12" t="s">
        <v>136</v>
      </c>
      <c r="T124" s="12"/>
      <c r="U124" s="12">
        <v>3153617881</v>
      </c>
      <c r="V124" s="12" t="s">
        <v>1106</v>
      </c>
      <c r="W124" s="12" t="s">
        <v>1312</v>
      </c>
      <c r="X124" s="12" t="s">
        <v>1266</v>
      </c>
      <c r="Y124" s="34"/>
      <c r="Z124" s="12" t="s">
        <v>935</v>
      </c>
      <c r="AA124" s="13">
        <v>46090</v>
      </c>
      <c r="AB124" s="10" t="s">
        <v>440</v>
      </c>
      <c r="AC124" s="29"/>
      <c r="AD124" s="29"/>
      <c r="AE124" s="29"/>
      <c r="AF124" s="29"/>
    </row>
    <row r="125" spans="1:32" ht="15.75" customHeight="1" x14ac:dyDescent="0.25">
      <c r="A125" s="10" t="s">
        <v>160</v>
      </c>
      <c r="B125" s="10" t="s">
        <v>86</v>
      </c>
      <c r="C125" s="10" t="s">
        <v>91</v>
      </c>
      <c r="D125" s="10" t="s">
        <v>92</v>
      </c>
      <c r="E125" s="12">
        <v>1007950273</v>
      </c>
      <c r="F125" s="51" t="s">
        <v>1852</v>
      </c>
      <c r="G125" s="10" t="s">
        <v>1853</v>
      </c>
      <c r="H125" s="12" t="s">
        <v>1854</v>
      </c>
      <c r="I125" s="13">
        <v>45835</v>
      </c>
      <c r="J125" s="12" t="s">
        <v>113</v>
      </c>
      <c r="K125" s="16">
        <v>37295</v>
      </c>
      <c r="L125" s="10">
        <f t="shared" ca="1" si="5"/>
        <v>24</v>
      </c>
      <c r="M125" s="10" t="s">
        <v>120</v>
      </c>
      <c r="N125" s="10" t="s">
        <v>236</v>
      </c>
      <c r="O125" s="12" t="s">
        <v>124</v>
      </c>
      <c r="P125" s="21" t="s">
        <v>128</v>
      </c>
      <c r="Q125" s="10" t="s">
        <v>133</v>
      </c>
      <c r="R125" s="12" t="s">
        <v>1858</v>
      </c>
      <c r="S125" s="12" t="s">
        <v>136</v>
      </c>
      <c r="T125" s="12"/>
      <c r="U125" s="12">
        <v>3015104667</v>
      </c>
      <c r="V125" s="12" t="s">
        <v>1859</v>
      </c>
      <c r="W125" s="12" t="s">
        <v>169</v>
      </c>
      <c r="X125" s="12" t="s">
        <v>170</v>
      </c>
      <c r="Y125" s="34"/>
      <c r="Z125" s="16"/>
      <c r="AA125" s="13">
        <v>46090</v>
      </c>
      <c r="AB125" s="10" t="s">
        <v>440</v>
      </c>
      <c r="AC125" s="29"/>
      <c r="AD125" s="29"/>
      <c r="AE125" s="29"/>
      <c r="AF125" s="29"/>
    </row>
    <row r="126" spans="1:32" ht="15.75" customHeight="1" x14ac:dyDescent="0.25">
      <c r="A126" s="10" t="s">
        <v>77</v>
      </c>
      <c r="B126" s="10" t="s">
        <v>86</v>
      </c>
      <c r="C126" s="10" t="s">
        <v>91</v>
      </c>
      <c r="D126" s="10" t="s">
        <v>92</v>
      </c>
      <c r="E126" s="12">
        <v>1052092211</v>
      </c>
      <c r="F126" s="51" t="s">
        <v>1860</v>
      </c>
      <c r="G126" s="10" t="s">
        <v>302</v>
      </c>
      <c r="H126" s="42" t="s">
        <v>1861</v>
      </c>
      <c r="I126" s="13">
        <v>45831</v>
      </c>
      <c r="J126" s="12" t="s">
        <v>113</v>
      </c>
      <c r="K126" s="16">
        <v>35041</v>
      </c>
      <c r="L126" s="10">
        <f t="shared" ca="1" si="5"/>
        <v>30</v>
      </c>
      <c r="M126" s="10" t="s">
        <v>120</v>
      </c>
      <c r="N126" s="10" t="s">
        <v>236</v>
      </c>
      <c r="O126" s="12" t="s">
        <v>142</v>
      </c>
      <c r="P126" s="21" t="s">
        <v>128</v>
      </c>
      <c r="Q126" s="10" t="s">
        <v>133</v>
      </c>
      <c r="R126" s="12" t="s">
        <v>1863</v>
      </c>
      <c r="S126" s="12" t="s">
        <v>151</v>
      </c>
      <c r="T126" s="12"/>
      <c r="U126" s="12">
        <v>3235323198</v>
      </c>
      <c r="V126" s="12" t="s">
        <v>1864</v>
      </c>
      <c r="W126" s="12" t="s">
        <v>203</v>
      </c>
      <c r="X126" s="12" t="s">
        <v>170</v>
      </c>
      <c r="Y126" s="34"/>
      <c r="Z126" s="16"/>
      <c r="AA126" s="13">
        <v>46094</v>
      </c>
      <c r="AB126" s="12" t="s">
        <v>148</v>
      </c>
      <c r="AC126" s="29"/>
      <c r="AD126" s="29"/>
      <c r="AE126" s="29"/>
      <c r="AF126" s="29"/>
    </row>
    <row r="127" spans="1:32" ht="15.75" customHeight="1" x14ac:dyDescent="0.25">
      <c r="A127" s="10" t="s">
        <v>77</v>
      </c>
      <c r="B127" s="10" t="s">
        <v>86</v>
      </c>
      <c r="C127" s="10" t="s">
        <v>91</v>
      </c>
      <c r="D127" s="12" t="s">
        <v>92</v>
      </c>
      <c r="E127" s="12">
        <v>1048287440</v>
      </c>
      <c r="F127" s="25" t="s">
        <v>1870</v>
      </c>
      <c r="G127" s="12" t="s">
        <v>26</v>
      </c>
      <c r="H127" s="10" t="s">
        <v>1871</v>
      </c>
      <c r="I127" s="13">
        <v>45831</v>
      </c>
      <c r="J127" s="12" t="s">
        <v>113</v>
      </c>
      <c r="K127" s="16">
        <v>33742</v>
      </c>
      <c r="L127" s="10">
        <f t="shared" ca="1" si="5"/>
        <v>34</v>
      </c>
      <c r="M127" s="10" t="s">
        <v>120</v>
      </c>
      <c r="N127" s="10" t="s">
        <v>122</v>
      </c>
      <c r="O127" s="42" t="s">
        <v>210</v>
      </c>
      <c r="P127" s="21" t="s">
        <v>128</v>
      </c>
      <c r="Q127" s="12" t="s">
        <v>133</v>
      </c>
      <c r="R127" s="12" t="s">
        <v>1876</v>
      </c>
      <c r="S127" s="12" t="s">
        <v>507</v>
      </c>
      <c r="T127" s="12"/>
      <c r="U127" s="12">
        <v>3014788105</v>
      </c>
      <c r="V127" s="12" t="s">
        <v>1877</v>
      </c>
      <c r="W127" s="12" t="s">
        <v>539</v>
      </c>
      <c r="X127" s="12" t="s">
        <v>170</v>
      </c>
      <c r="Y127" s="34"/>
      <c r="Z127" s="16"/>
      <c r="AA127" s="13">
        <v>46091</v>
      </c>
      <c r="AB127" s="12" t="s">
        <v>148</v>
      </c>
      <c r="AC127" s="39"/>
      <c r="AD127" s="39"/>
      <c r="AE127" s="39"/>
      <c r="AF127" s="39"/>
    </row>
    <row r="128" spans="1:32" ht="15.75" customHeight="1" x14ac:dyDescent="0.25">
      <c r="A128" s="10" t="s">
        <v>160</v>
      </c>
      <c r="B128" s="10" t="s">
        <v>86</v>
      </c>
      <c r="C128" s="10" t="s">
        <v>91</v>
      </c>
      <c r="D128" s="10" t="s">
        <v>92</v>
      </c>
      <c r="E128" s="69">
        <v>1045705443</v>
      </c>
      <c r="F128" s="68" t="s">
        <v>1882</v>
      </c>
      <c r="G128" s="69" t="s">
        <v>1883</v>
      </c>
      <c r="H128" s="10" t="s">
        <v>1884</v>
      </c>
      <c r="I128" s="70">
        <v>45831</v>
      </c>
      <c r="J128" s="10" t="s">
        <v>113</v>
      </c>
      <c r="K128" s="13">
        <v>32892</v>
      </c>
      <c r="L128" s="10">
        <f t="shared" ca="1" si="5"/>
        <v>36</v>
      </c>
      <c r="M128" s="10" t="s">
        <v>320</v>
      </c>
      <c r="N128" s="10" t="s">
        <v>277</v>
      </c>
      <c r="O128" s="71" t="s">
        <v>142</v>
      </c>
      <c r="P128" s="21" t="s">
        <v>128</v>
      </c>
      <c r="Q128" s="10" t="s">
        <v>133</v>
      </c>
      <c r="R128" s="69" t="s">
        <v>1887</v>
      </c>
      <c r="S128" s="10" t="s">
        <v>136</v>
      </c>
      <c r="T128" s="69"/>
      <c r="U128" s="69">
        <v>3004358547</v>
      </c>
      <c r="V128" s="69" t="s">
        <v>1888</v>
      </c>
      <c r="W128" s="69" t="s">
        <v>206</v>
      </c>
      <c r="X128" s="74" t="s">
        <v>170</v>
      </c>
      <c r="Y128" s="112"/>
      <c r="Z128" s="13"/>
      <c r="AA128" s="13">
        <v>46099</v>
      </c>
      <c r="AB128" s="12" t="s">
        <v>148</v>
      </c>
      <c r="AC128" s="32"/>
      <c r="AD128" s="32"/>
      <c r="AE128" s="32"/>
      <c r="AF128" s="32"/>
    </row>
    <row r="129" spans="1:32" ht="15.75" customHeight="1" x14ac:dyDescent="0.25">
      <c r="A129" s="10" t="s">
        <v>77</v>
      </c>
      <c r="B129" s="10" t="s">
        <v>86</v>
      </c>
      <c r="C129" s="10" t="s">
        <v>91</v>
      </c>
      <c r="D129" s="10" t="s">
        <v>92</v>
      </c>
      <c r="E129" s="10">
        <v>1042351780</v>
      </c>
      <c r="F129" s="25" t="s">
        <v>458</v>
      </c>
      <c r="G129" s="10" t="s">
        <v>11</v>
      </c>
      <c r="H129" s="10" t="s">
        <v>1825</v>
      </c>
      <c r="I129" s="13">
        <v>45831</v>
      </c>
      <c r="J129" s="10" t="s">
        <v>113</v>
      </c>
      <c r="K129" s="13">
        <v>34056</v>
      </c>
      <c r="L129" s="10">
        <f t="shared" ca="1" si="5"/>
        <v>33</v>
      </c>
      <c r="M129" s="10" t="s">
        <v>120</v>
      </c>
      <c r="N129" s="10" t="s">
        <v>122</v>
      </c>
      <c r="O129" s="10" t="s">
        <v>142</v>
      </c>
      <c r="P129" s="21" t="s">
        <v>128</v>
      </c>
      <c r="Q129" s="10" t="s">
        <v>133</v>
      </c>
      <c r="R129" s="10" t="s">
        <v>1830</v>
      </c>
      <c r="S129" s="10" t="s">
        <v>136</v>
      </c>
      <c r="T129" s="10"/>
      <c r="U129" s="10">
        <v>3044048864</v>
      </c>
      <c r="V129" s="10" t="s">
        <v>1832</v>
      </c>
      <c r="W129" s="10" t="s">
        <v>253</v>
      </c>
      <c r="X129" s="10" t="s">
        <v>170</v>
      </c>
      <c r="Y129" s="28"/>
      <c r="Z129" s="13"/>
      <c r="AA129" s="13">
        <v>46099</v>
      </c>
      <c r="AB129" s="12" t="s">
        <v>148</v>
      </c>
      <c r="AC129" s="39"/>
      <c r="AD129" s="39"/>
      <c r="AE129" s="39"/>
      <c r="AF129" s="39"/>
    </row>
    <row r="130" spans="1:32" ht="15.75" customHeight="1" x14ac:dyDescent="0.25">
      <c r="A130" s="10" t="s">
        <v>77</v>
      </c>
      <c r="B130" s="10" t="s">
        <v>90</v>
      </c>
      <c r="C130" s="10" t="s">
        <v>91</v>
      </c>
      <c r="D130" s="10" t="s">
        <v>92</v>
      </c>
      <c r="E130" s="12">
        <v>1001878271</v>
      </c>
      <c r="F130" s="14" t="s">
        <v>101</v>
      </c>
      <c r="G130" s="12" t="s">
        <v>26</v>
      </c>
      <c r="H130" s="10" t="s">
        <v>107</v>
      </c>
      <c r="I130" s="16">
        <v>45898</v>
      </c>
      <c r="J130" s="12" t="s">
        <v>113</v>
      </c>
      <c r="K130" s="13">
        <v>36808</v>
      </c>
      <c r="L130" s="10">
        <f t="shared" ca="1" si="5"/>
        <v>25</v>
      </c>
      <c r="M130" s="10" t="s">
        <v>120</v>
      </c>
      <c r="N130" s="10" t="s">
        <v>122</v>
      </c>
      <c r="O130" s="12" t="s">
        <v>142</v>
      </c>
      <c r="P130" s="21" t="s">
        <v>128</v>
      </c>
      <c r="Q130" s="10" t="s">
        <v>133</v>
      </c>
      <c r="R130" s="12" t="s">
        <v>150</v>
      </c>
      <c r="S130" s="12" t="s">
        <v>151</v>
      </c>
      <c r="T130" s="12" t="s">
        <v>152</v>
      </c>
      <c r="U130" s="12">
        <v>3245996665</v>
      </c>
      <c r="V130" s="12" t="s">
        <v>154</v>
      </c>
      <c r="W130" s="10" t="s">
        <v>155</v>
      </c>
      <c r="X130" s="12" t="s">
        <v>156</v>
      </c>
      <c r="Y130" s="60"/>
      <c r="Z130" s="12"/>
      <c r="AA130" s="13">
        <v>46105</v>
      </c>
      <c r="AB130" s="12" t="s">
        <v>148</v>
      </c>
    </row>
    <row r="131" spans="1:32" x14ac:dyDescent="0.25">
      <c r="A131" s="10" t="s">
        <v>160</v>
      </c>
      <c r="B131" s="10" t="s">
        <v>86</v>
      </c>
      <c r="C131" s="10" t="s">
        <v>91</v>
      </c>
      <c r="D131" s="10" t="s">
        <v>92</v>
      </c>
      <c r="E131" s="12">
        <v>1143235854</v>
      </c>
      <c r="F131" s="15" t="s">
        <v>1898</v>
      </c>
      <c r="G131" s="10" t="s">
        <v>1899</v>
      </c>
      <c r="H131" s="10"/>
      <c r="I131" s="16">
        <v>46092</v>
      </c>
      <c r="J131" s="12" t="s">
        <v>113</v>
      </c>
      <c r="K131" s="53">
        <v>33073</v>
      </c>
      <c r="L131" s="10">
        <f t="shared" ca="1" si="5"/>
        <v>36</v>
      </c>
      <c r="M131" s="10" t="s">
        <v>120</v>
      </c>
      <c r="N131" s="10" t="s">
        <v>122</v>
      </c>
      <c r="O131" s="42" t="s">
        <v>142</v>
      </c>
      <c r="P131" s="21" t="s">
        <v>128</v>
      </c>
      <c r="Q131" s="10"/>
      <c r="R131" s="12" t="s">
        <v>1900</v>
      </c>
      <c r="S131" s="12" t="s">
        <v>151</v>
      </c>
      <c r="T131" s="12" t="s">
        <v>1901</v>
      </c>
      <c r="U131" s="12">
        <v>3332640933</v>
      </c>
      <c r="V131" s="12" t="s">
        <v>1903</v>
      </c>
      <c r="W131" s="12" t="s">
        <v>539</v>
      </c>
      <c r="X131" s="12" t="s">
        <v>170</v>
      </c>
      <c r="Y131" s="12">
        <v>292111051</v>
      </c>
      <c r="Z131" s="10" t="s">
        <v>1905</v>
      </c>
      <c r="AA131" s="13">
        <v>46106</v>
      </c>
      <c r="AB131" s="12" t="s">
        <v>148</v>
      </c>
      <c r="AC131" s="107"/>
      <c r="AD131" s="107"/>
      <c r="AE131" s="76"/>
      <c r="AF131" s="76"/>
    </row>
    <row r="132" spans="1:32" x14ac:dyDescent="0.25">
      <c r="A132" s="42" t="s">
        <v>77</v>
      </c>
      <c r="B132" s="42" t="s">
        <v>86</v>
      </c>
      <c r="C132" s="10" t="s">
        <v>91</v>
      </c>
      <c r="D132" s="42" t="s">
        <v>92</v>
      </c>
      <c r="E132" s="42">
        <v>1045231204</v>
      </c>
      <c r="F132" s="14" t="s">
        <v>1908</v>
      </c>
      <c r="G132" s="12" t="s">
        <v>26</v>
      </c>
      <c r="H132" s="42"/>
      <c r="I132" s="89">
        <v>46056</v>
      </c>
      <c r="J132" s="42" t="s">
        <v>113</v>
      </c>
      <c r="K132" s="89">
        <v>32979</v>
      </c>
      <c r="L132" s="42">
        <f t="shared" ca="1" si="5"/>
        <v>36</v>
      </c>
      <c r="M132" s="42" t="s">
        <v>120</v>
      </c>
      <c r="N132" s="42" t="s">
        <v>122</v>
      </c>
      <c r="O132" s="42" t="s">
        <v>124</v>
      </c>
      <c r="P132" s="42" t="s">
        <v>128</v>
      </c>
      <c r="Q132" s="42"/>
      <c r="R132" s="42" t="s">
        <v>1910</v>
      </c>
      <c r="S132" s="42" t="s">
        <v>1225</v>
      </c>
      <c r="T132" s="42" t="s">
        <v>1911</v>
      </c>
      <c r="U132" s="42">
        <v>3015345730</v>
      </c>
      <c r="V132" s="42" t="s">
        <v>1912</v>
      </c>
      <c r="W132" s="42" t="s">
        <v>1543</v>
      </c>
      <c r="X132" s="42" t="s">
        <v>1366</v>
      </c>
      <c r="Y132" s="42">
        <v>3015345730</v>
      </c>
      <c r="Z132" s="42" t="s">
        <v>420</v>
      </c>
      <c r="AA132" s="13">
        <v>46106</v>
      </c>
      <c r="AB132" s="12" t="s">
        <v>148</v>
      </c>
      <c r="AC132" s="113"/>
      <c r="AD132" s="113"/>
      <c r="AE132" s="114"/>
      <c r="AF132" s="114"/>
    </row>
    <row r="133" spans="1:32" x14ac:dyDescent="0.25">
      <c r="A133" s="10" t="s">
        <v>160</v>
      </c>
      <c r="B133" s="10" t="s">
        <v>86</v>
      </c>
      <c r="C133" s="10" t="s">
        <v>91</v>
      </c>
      <c r="D133" s="10" t="s">
        <v>92</v>
      </c>
      <c r="E133" s="12">
        <v>1045709307</v>
      </c>
      <c r="F133" s="15" t="s">
        <v>1919</v>
      </c>
      <c r="G133" s="10" t="s">
        <v>1508</v>
      </c>
      <c r="H133" s="10"/>
      <c r="I133" s="16">
        <v>46105</v>
      </c>
      <c r="J133" s="12" t="s">
        <v>113</v>
      </c>
      <c r="K133" s="53">
        <v>33892</v>
      </c>
      <c r="L133" s="10">
        <f t="shared" ca="1" si="5"/>
        <v>33</v>
      </c>
      <c r="M133" s="10" t="s">
        <v>120</v>
      </c>
      <c r="N133" s="10" t="s">
        <v>236</v>
      </c>
      <c r="O133" s="42" t="s">
        <v>142</v>
      </c>
      <c r="P133" s="21" t="s">
        <v>648</v>
      </c>
      <c r="Q133" s="10"/>
      <c r="R133" s="12" t="s">
        <v>1921</v>
      </c>
      <c r="S133" s="12" t="s">
        <v>136</v>
      </c>
      <c r="T133" s="12" t="s">
        <v>1924</v>
      </c>
      <c r="U133" s="12">
        <v>3004825679</v>
      </c>
      <c r="V133" s="12" t="s">
        <v>1829</v>
      </c>
      <c r="W133" s="12" t="s">
        <v>203</v>
      </c>
      <c r="X133" s="12" t="s">
        <v>170</v>
      </c>
      <c r="Y133" s="12">
        <v>488446845312</v>
      </c>
      <c r="Z133" s="10" t="s">
        <v>978</v>
      </c>
      <c r="AA133" s="16">
        <v>46108</v>
      </c>
      <c r="AB133" s="12" t="s">
        <v>148</v>
      </c>
      <c r="AC133" s="107"/>
      <c r="AD133" s="107"/>
      <c r="AE133" s="76"/>
      <c r="AF133" s="76"/>
    </row>
    <row r="134" spans="1:32" ht="15.75" customHeight="1" x14ac:dyDescent="0.25">
      <c r="A134" s="10" t="s">
        <v>77</v>
      </c>
      <c r="B134" s="10" t="s">
        <v>86</v>
      </c>
      <c r="C134" s="10" t="s">
        <v>175</v>
      </c>
      <c r="D134" s="10" t="s">
        <v>92</v>
      </c>
      <c r="E134" s="10">
        <v>1192780264</v>
      </c>
      <c r="F134" s="25" t="s">
        <v>1926</v>
      </c>
      <c r="G134" s="10" t="s">
        <v>302</v>
      </c>
      <c r="H134" s="10" t="s">
        <v>1928</v>
      </c>
      <c r="I134" s="13">
        <v>45916</v>
      </c>
      <c r="J134" s="10" t="s">
        <v>113</v>
      </c>
      <c r="K134" s="13">
        <v>36129</v>
      </c>
      <c r="L134" s="10">
        <f t="shared" ca="1" si="5"/>
        <v>27</v>
      </c>
      <c r="M134" s="10" t="s">
        <v>120</v>
      </c>
      <c r="N134" s="10" t="s">
        <v>122</v>
      </c>
      <c r="O134" s="10" t="s">
        <v>142</v>
      </c>
      <c r="P134" s="21" t="s">
        <v>128</v>
      </c>
      <c r="Q134" s="10"/>
      <c r="R134" s="10" t="s">
        <v>1931</v>
      </c>
      <c r="S134" s="10" t="s">
        <v>151</v>
      </c>
      <c r="T134" s="10" t="s">
        <v>1932</v>
      </c>
      <c r="U134" s="10">
        <v>3014301754</v>
      </c>
      <c r="V134" s="10" t="s">
        <v>1933</v>
      </c>
      <c r="W134" s="10" t="s">
        <v>155</v>
      </c>
      <c r="X134" s="10" t="s">
        <v>170</v>
      </c>
      <c r="Y134" s="28"/>
      <c r="Z134" s="10" t="s">
        <v>935</v>
      </c>
      <c r="AA134" s="16">
        <v>46108</v>
      </c>
      <c r="AB134" s="12" t="s">
        <v>148</v>
      </c>
    </row>
    <row r="135" spans="1:32" ht="15.75" customHeight="1" x14ac:dyDescent="0.25">
      <c r="A135" s="42" t="s">
        <v>77</v>
      </c>
      <c r="B135" s="42" t="s">
        <v>86</v>
      </c>
      <c r="C135" s="10" t="s">
        <v>175</v>
      </c>
      <c r="D135" s="42" t="s">
        <v>92</v>
      </c>
      <c r="E135" s="10">
        <v>1193038384</v>
      </c>
      <c r="F135" s="51" t="s">
        <v>1935</v>
      </c>
      <c r="G135" s="10" t="s">
        <v>1398</v>
      </c>
      <c r="H135" s="10"/>
      <c r="I135" s="13">
        <v>46001</v>
      </c>
      <c r="J135" s="42" t="s">
        <v>113</v>
      </c>
      <c r="K135" s="13">
        <v>35813</v>
      </c>
      <c r="L135" s="42">
        <f t="shared" ca="1" si="5"/>
        <v>28</v>
      </c>
      <c r="M135" s="10" t="s">
        <v>120</v>
      </c>
      <c r="N135" s="10" t="s">
        <v>122</v>
      </c>
      <c r="O135" s="10" t="s">
        <v>1456</v>
      </c>
      <c r="P135" s="21" t="s">
        <v>128</v>
      </c>
      <c r="Q135" s="10"/>
      <c r="R135" s="10" t="s">
        <v>1938</v>
      </c>
      <c r="S135" s="10" t="s">
        <v>136</v>
      </c>
      <c r="T135" s="10" t="s">
        <v>1939</v>
      </c>
      <c r="U135" s="10">
        <v>3014456003</v>
      </c>
      <c r="V135" s="10" t="s">
        <v>1940</v>
      </c>
      <c r="W135" s="10" t="s">
        <v>155</v>
      </c>
      <c r="X135" s="10" t="s">
        <v>288</v>
      </c>
      <c r="Y135" s="10">
        <v>3014456003</v>
      </c>
      <c r="Z135" s="10" t="s">
        <v>293</v>
      </c>
      <c r="AA135" s="16">
        <v>46108</v>
      </c>
      <c r="AB135" s="12" t="s">
        <v>148</v>
      </c>
      <c r="AC135" s="29"/>
      <c r="AD135" s="29"/>
      <c r="AE135" s="29"/>
      <c r="AF135" s="29"/>
    </row>
    <row r="136" spans="1:32" x14ac:dyDescent="0.25">
      <c r="A136" s="10" t="s">
        <v>77</v>
      </c>
      <c r="B136" s="10" t="s">
        <v>86</v>
      </c>
      <c r="C136" s="10" t="s">
        <v>91</v>
      </c>
      <c r="D136" s="10" t="s">
        <v>92</v>
      </c>
      <c r="E136" s="12">
        <v>72225004</v>
      </c>
      <c r="F136" s="15" t="s">
        <v>559</v>
      </c>
      <c r="G136" s="12" t="s">
        <v>26</v>
      </c>
      <c r="H136" s="10"/>
      <c r="I136" s="16">
        <v>46111</v>
      </c>
      <c r="J136" s="12" t="s">
        <v>113</v>
      </c>
      <c r="K136" s="16">
        <v>28083</v>
      </c>
      <c r="L136" s="10">
        <f t="shared" ca="1" si="5"/>
        <v>49</v>
      </c>
      <c r="M136" s="10" t="s">
        <v>120</v>
      </c>
      <c r="N136" s="10" t="s">
        <v>236</v>
      </c>
      <c r="O136" s="12" t="s">
        <v>142</v>
      </c>
      <c r="P136" s="42" t="s">
        <v>128</v>
      </c>
      <c r="Q136" s="10"/>
      <c r="R136" s="12" t="s">
        <v>1945</v>
      </c>
      <c r="S136" s="12" t="s">
        <v>136</v>
      </c>
      <c r="T136" s="12" t="s">
        <v>1946</v>
      </c>
      <c r="U136" s="12">
        <v>3006767921</v>
      </c>
      <c r="V136" s="12" t="s">
        <v>1947</v>
      </c>
      <c r="W136" s="12" t="s">
        <v>471</v>
      </c>
      <c r="X136" s="12" t="s">
        <v>170</v>
      </c>
      <c r="Y136" s="12">
        <v>3006767921</v>
      </c>
      <c r="Z136" s="10" t="s">
        <v>420</v>
      </c>
      <c r="AA136" s="16">
        <v>46118</v>
      </c>
      <c r="AB136" s="12" t="s">
        <v>148</v>
      </c>
      <c r="AC136" s="107"/>
      <c r="AD136" s="107"/>
      <c r="AE136" s="76"/>
      <c r="AF136" s="76"/>
    </row>
    <row r="137" spans="1:32" x14ac:dyDescent="0.25">
      <c r="A137" s="10" t="s">
        <v>77</v>
      </c>
      <c r="B137" s="10" t="s">
        <v>86</v>
      </c>
      <c r="C137" s="10" t="s">
        <v>91</v>
      </c>
      <c r="D137" s="10" t="s">
        <v>92</v>
      </c>
      <c r="E137" s="12">
        <v>1129568847</v>
      </c>
      <c r="F137" s="15" t="s">
        <v>1949</v>
      </c>
      <c r="G137" s="12" t="s">
        <v>26</v>
      </c>
      <c r="H137" s="10"/>
      <c r="I137" s="16">
        <v>46112</v>
      </c>
      <c r="J137" s="12" t="s">
        <v>113</v>
      </c>
      <c r="K137" s="16">
        <v>31331</v>
      </c>
      <c r="L137" s="10">
        <f t="shared" ca="1" si="5"/>
        <v>40</v>
      </c>
      <c r="M137" s="10" t="s">
        <v>120</v>
      </c>
      <c r="N137" s="10" t="s">
        <v>236</v>
      </c>
      <c r="O137" s="12" t="s">
        <v>142</v>
      </c>
      <c r="P137" s="42" t="s">
        <v>128</v>
      </c>
      <c r="Q137" s="10"/>
      <c r="R137" s="12" t="s">
        <v>1954</v>
      </c>
      <c r="S137" s="12" t="s">
        <v>151</v>
      </c>
      <c r="T137" s="12" t="s">
        <v>1955</v>
      </c>
      <c r="U137" s="12">
        <v>3115745383</v>
      </c>
      <c r="V137" s="116" t="s">
        <v>1956</v>
      </c>
      <c r="W137" s="12" t="s">
        <v>781</v>
      </c>
      <c r="X137" s="12" t="s">
        <v>170</v>
      </c>
      <c r="Y137" s="12">
        <v>3115745383</v>
      </c>
      <c r="Z137" s="10" t="s">
        <v>293</v>
      </c>
      <c r="AA137" s="16">
        <v>46114</v>
      </c>
      <c r="AB137" s="12" t="s">
        <v>148</v>
      </c>
      <c r="AC137" s="107"/>
      <c r="AD137" s="107"/>
      <c r="AE137" s="76"/>
      <c r="AF137" s="76"/>
    </row>
    <row r="138" spans="1:32" ht="15" customHeight="1" x14ac:dyDescent="0.25">
      <c r="A138" s="10" t="s">
        <v>77</v>
      </c>
      <c r="B138" s="10" t="s">
        <v>86</v>
      </c>
      <c r="C138" s="10" t="s">
        <v>175</v>
      </c>
      <c r="D138" s="10" t="s">
        <v>92</v>
      </c>
      <c r="E138" s="12">
        <v>1140822700</v>
      </c>
      <c r="F138" s="50" t="s">
        <v>1966</v>
      </c>
      <c r="G138" s="10" t="s">
        <v>32</v>
      </c>
      <c r="H138" s="10" t="s">
        <v>1968</v>
      </c>
      <c r="I138" s="16">
        <v>45966</v>
      </c>
      <c r="J138" s="12" t="s">
        <v>113</v>
      </c>
      <c r="K138" s="53">
        <v>32504</v>
      </c>
      <c r="L138" s="10">
        <f t="shared" ca="1" si="5"/>
        <v>37</v>
      </c>
      <c r="M138" s="10" t="s">
        <v>120</v>
      </c>
      <c r="N138" s="10" t="s">
        <v>277</v>
      </c>
      <c r="O138" s="10" t="s">
        <v>142</v>
      </c>
      <c r="P138" s="21" t="s">
        <v>128</v>
      </c>
      <c r="Q138" s="10" t="s">
        <v>133</v>
      </c>
      <c r="R138" s="12" t="s">
        <v>1972</v>
      </c>
      <c r="S138" s="12" t="s">
        <v>151</v>
      </c>
      <c r="T138" s="12" t="s">
        <v>1974</v>
      </c>
      <c r="U138" s="12">
        <v>3042854490</v>
      </c>
      <c r="V138" s="12" t="s">
        <v>1975</v>
      </c>
      <c r="W138" s="12" t="s">
        <v>1543</v>
      </c>
      <c r="X138" s="12" t="s">
        <v>288</v>
      </c>
      <c r="Y138" s="34" t="s">
        <v>1976</v>
      </c>
      <c r="Z138" s="34" t="s">
        <v>420</v>
      </c>
      <c r="AA138" s="16">
        <v>46116</v>
      </c>
      <c r="AB138" s="12" t="s">
        <v>148</v>
      </c>
      <c r="AC138" s="32"/>
      <c r="AD138" s="32"/>
      <c r="AE138" s="32"/>
    </row>
    <row r="139" spans="1:32" ht="15.75" customHeight="1" x14ac:dyDescent="0.25">
      <c r="A139" s="10" t="s">
        <v>160</v>
      </c>
      <c r="B139" s="10" t="s">
        <v>86</v>
      </c>
      <c r="C139" s="10" t="s">
        <v>175</v>
      </c>
      <c r="D139" s="10" t="s">
        <v>92</v>
      </c>
      <c r="E139" s="12">
        <v>1043118098</v>
      </c>
      <c r="F139" s="50" t="s">
        <v>1981</v>
      </c>
      <c r="G139" s="10" t="s">
        <v>717</v>
      </c>
      <c r="H139" s="10" t="s">
        <v>1271</v>
      </c>
      <c r="I139" s="16">
        <v>46043</v>
      </c>
      <c r="J139" s="12" t="s">
        <v>113</v>
      </c>
      <c r="K139" s="16">
        <v>37261</v>
      </c>
      <c r="L139" s="10">
        <f t="shared" ca="1" si="5"/>
        <v>24</v>
      </c>
      <c r="M139" s="10" t="s">
        <v>120</v>
      </c>
      <c r="N139" s="10" t="s">
        <v>122</v>
      </c>
      <c r="O139" s="101" t="s">
        <v>210</v>
      </c>
      <c r="P139" s="42" t="s">
        <v>128</v>
      </c>
      <c r="Q139" s="102" t="s">
        <v>133</v>
      </c>
      <c r="R139" s="12" t="s">
        <v>1982</v>
      </c>
      <c r="S139" s="12" t="s">
        <v>151</v>
      </c>
      <c r="T139" s="12" t="s">
        <v>1708</v>
      </c>
      <c r="U139" s="12">
        <v>3159790685</v>
      </c>
      <c r="V139" s="12" t="s">
        <v>1984</v>
      </c>
      <c r="W139" s="12" t="s">
        <v>155</v>
      </c>
      <c r="X139" s="12" t="s">
        <v>170</v>
      </c>
      <c r="Y139" s="34"/>
      <c r="Z139" s="12" t="s">
        <v>420</v>
      </c>
      <c r="AA139" s="16">
        <v>46125</v>
      </c>
      <c r="AB139" s="12" t="s">
        <v>148</v>
      </c>
      <c r="AC139" s="29"/>
      <c r="AD139" s="29"/>
      <c r="AE139" s="29"/>
      <c r="AF139" s="29"/>
    </row>
    <row r="140" spans="1:32" ht="15.75" customHeight="1" x14ac:dyDescent="0.25">
      <c r="A140" s="10" t="s">
        <v>77</v>
      </c>
      <c r="B140" s="10" t="s">
        <v>86</v>
      </c>
      <c r="C140" s="10" t="s">
        <v>175</v>
      </c>
      <c r="D140" s="10" t="s">
        <v>92</v>
      </c>
      <c r="E140" s="10">
        <v>1002343994</v>
      </c>
      <c r="F140" s="51" t="s">
        <v>1987</v>
      </c>
      <c r="G140" s="12" t="s">
        <v>26</v>
      </c>
      <c r="H140" s="10" t="s">
        <v>1988</v>
      </c>
      <c r="I140" s="13">
        <v>45847</v>
      </c>
      <c r="J140" s="10" t="s">
        <v>113</v>
      </c>
      <c r="K140" s="13">
        <v>35651</v>
      </c>
      <c r="L140" s="10">
        <f t="shared" ca="1" si="5"/>
        <v>29</v>
      </c>
      <c r="M140" s="10" t="s">
        <v>120</v>
      </c>
      <c r="N140" s="10" t="s">
        <v>122</v>
      </c>
      <c r="O140" s="42" t="s">
        <v>142</v>
      </c>
      <c r="P140" s="21" t="s">
        <v>128</v>
      </c>
      <c r="Q140" s="10" t="s">
        <v>133</v>
      </c>
      <c r="R140" s="10"/>
      <c r="S140" s="10" t="s">
        <v>136</v>
      </c>
      <c r="T140" s="10"/>
      <c r="U140" s="10">
        <v>3015373438</v>
      </c>
      <c r="V140" s="10" t="s">
        <v>1990</v>
      </c>
      <c r="W140" s="10"/>
      <c r="X140" s="10"/>
      <c r="Y140" s="28" t="s">
        <v>1991</v>
      </c>
      <c r="Z140" s="10" t="s">
        <v>1992</v>
      </c>
      <c r="AA140" s="16">
        <v>46131</v>
      </c>
      <c r="AB140" s="10" t="s">
        <v>1113</v>
      </c>
      <c r="AC140" s="64"/>
      <c r="AD140" s="64"/>
      <c r="AE140" s="64"/>
      <c r="AF140" s="64"/>
    </row>
    <row r="141" spans="1:32" ht="15.75" customHeight="1" x14ac:dyDescent="0.25">
      <c r="A141" s="10" t="s">
        <v>77</v>
      </c>
      <c r="B141" s="10" t="s">
        <v>86</v>
      </c>
      <c r="C141" s="10" t="s">
        <v>175</v>
      </c>
      <c r="D141" s="10" t="s">
        <v>92</v>
      </c>
      <c r="E141" s="12">
        <v>1124073344</v>
      </c>
      <c r="F141" s="14" t="s">
        <v>1994</v>
      </c>
      <c r="G141" s="10" t="s">
        <v>32</v>
      </c>
      <c r="H141" s="10" t="s">
        <v>1998</v>
      </c>
      <c r="I141" s="13">
        <v>45831</v>
      </c>
      <c r="J141" s="12" t="s">
        <v>113</v>
      </c>
      <c r="K141" s="16">
        <v>31267</v>
      </c>
      <c r="L141" s="12"/>
      <c r="M141" s="10" t="s">
        <v>120</v>
      </c>
      <c r="N141" s="10" t="s">
        <v>122</v>
      </c>
      <c r="O141" s="12" t="s">
        <v>142</v>
      </c>
      <c r="P141" s="21" t="s">
        <v>128</v>
      </c>
      <c r="Q141" s="12" t="s">
        <v>133</v>
      </c>
      <c r="R141" s="12" t="s">
        <v>1999</v>
      </c>
      <c r="S141" s="12" t="s">
        <v>151</v>
      </c>
      <c r="T141" s="12"/>
      <c r="U141" s="12">
        <v>3017638303</v>
      </c>
      <c r="V141" s="12" t="s">
        <v>2000</v>
      </c>
      <c r="W141" s="12"/>
      <c r="X141" s="12" t="s">
        <v>831</v>
      </c>
      <c r="Y141" s="34" t="s">
        <v>1378</v>
      </c>
      <c r="Z141" s="12"/>
      <c r="AA141" s="16">
        <v>46123</v>
      </c>
      <c r="AB141" s="12" t="s">
        <v>148</v>
      </c>
      <c r="AC141" s="29"/>
      <c r="AD141" s="29"/>
      <c r="AE141" s="29"/>
      <c r="AF141" s="29"/>
    </row>
    <row r="142" spans="1:32" ht="15.75" customHeight="1" x14ac:dyDescent="0.25">
      <c r="A142" s="10" t="s">
        <v>77</v>
      </c>
      <c r="B142" s="10" t="s">
        <v>86</v>
      </c>
      <c r="C142" s="10" t="s">
        <v>175</v>
      </c>
      <c r="D142" s="12" t="s">
        <v>92</v>
      </c>
      <c r="E142" s="12">
        <v>1143228520</v>
      </c>
      <c r="F142" s="25" t="s">
        <v>2005</v>
      </c>
      <c r="G142" s="10" t="s">
        <v>302</v>
      </c>
      <c r="H142" s="10" t="s">
        <v>2006</v>
      </c>
      <c r="I142" s="13">
        <v>45831</v>
      </c>
      <c r="J142" s="12" t="s">
        <v>113</v>
      </c>
      <c r="K142" s="53">
        <v>32791</v>
      </c>
      <c r="L142" s="10">
        <f t="shared" ref="L142:L205" ca="1" si="6">IF(K142=0,"", DATEDIF(K142,TODAY(),"y"))</f>
        <v>36</v>
      </c>
      <c r="M142" s="10" t="s">
        <v>120</v>
      </c>
      <c r="N142" s="10" t="s">
        <v>277</v>
      </c>
      <c r="O142" s="12" t="s">
        <v>142</v>
      </c>
      <c r="P142" s="21" t="s">
        <v>128</v>
      </c>
      <c r="Q142" s="12" t="s">
        <v>133</v>
      </c>
      <c r="R142" s="12" t="s">
        <v>2010</v>
      </c>
      <c r="S142" s="12" t="s">
        <v>136</v>
      </c>
      <c r="T142" s="12"/>
      <c r="U142" s="12">
        <v>3244963574</v>
      </c>
      <c r="V142" s="12"/>
      <c r="W142" s="12" t="s">
        <v>539</v>
      </c>
      <c r="X142" s="12" t="s">
        <v>170</v>
      </c>
      <c r="Y142" s="34"/>
      <c r="Z142" s="16"/>
      <c r="AA142" s="16">
        <v>46122</v>
      </c>
      <c r="AB142" s="12" t="s">
        <v>148</v>
      </c>
      <c r="AC142" s="32"/>
      <c r="AD142" s="32"/>
      <c r="AE142" s="32"/>
      <c r="AF142" s="32"/>
    </row>
    <row r="143" spans="1:32" ht="15.75" customHeight="1" x14ac:dyDescent="0.25">
      <c r="A143" s="10" t="s">
        <v>77</v>
      </c>
      <c r="B143" s="10" t="s">
        <v>86</v>
      </c>
      <c r="C143" s="10" t="s">
        <v>175</v>
      </c>
      <c r="D143" s="10" t="s">
        <v>92</v>
      </c>
      <c r="E143" s="10">
        <v>1143132119</v>
      </c>
      <c r="F143" s="25" t="s">
        <v>2012</v>
      </c>
      <c r="G143" s="10" t="s">
        <v>302</v>
      </c>
      <c r="H143" s="10" t="s">
        <v>2013</v>
      </c>
      <c r="I143" s="13">
        <v>45831</v>
      </c>
      <c r="J143" s="10" t="s">
        <v>113</v>
      </c>
      <c r="K143" s="36">
        <v>33598</v>
      </c>
      <c r="L143" s="10">
        <f t="shared" ca="1" si="6"/>
        <v>34</v>
      </c>
      <c r="M143" s="10" t="s">
        <v>120</v>
      </c>
      <c r="N143" s="10" t="s">
        <v>122</v>
      </c>
      <c r="O143" s="42" t="s">
        <v>124</v>
      </c>
      <c r="P143" s="21" t="s">
        <v>128</v>
      </c>
      <c r="Q143" s="10" t="s">
        <v>133</v>
      </c>
      <c r="R143" s="10" t="s">
        <v>2018</v>
      </c>
      <c r="S143" s="10" t="s">
        <v>136</v>
      </c>
      <c r="T143" s="10"/>
      <c r="U143" s="10">
        <v>3244273863</v>
      </c>
      <c r="V143" s="10" t="s">
        <v>2019</v>
      </c>
      <c r="W143" s="10" t="s">
        <v>155</v>
      </c>
      <c r="X143" s="10" t="s">
        <v>170</v>
      </c>
      <c r="Y143" s="28"/>
      <c r="Z143" s="10"/>
      <c r="AA143" s="16">
        <v>46145</v>
      </c>
      <c r="AB143" s="12" t="s">
        <v>1453</v>
      </c>
      <c r="AC143" s="29"/>
      <c r="AD143" s="29"/>
      <c r="AE143" s="29"/>
      <c r="AF143" s="29"/>
    </row>
    <row r="144" spans="1:32" ht="15.75" customHeight="1" x14ac:dyDescent="0.25">
      <c r="A144" s="10" t="s">
        <v>77</v>
      </c>
      <c r="B144" s="10" t="s">
        <v>86</v>
      </c>
      <c r="C144" s="10" t="s">
        <v>175</v>
      </c>
      <c r="D144" s="10" t="s">
        <v>92</v>
      </c>
      <c r="E144" s="10">
        <v>1130594323</v>
      </c>
      <c r="F144" s="51" t="s">
        <v>835</v>
      </c>
      <c r="G144" s="10" t="s">
        <v>32</v>
      </c>
      <c r="H144" s="10" t="s">
        <v>836</v>
      </c>
      <c r="I144" s="13">
        <v>46010</v>
      </c>
      <c r="J144" s="10" t="s">
        <v>113</v>
      </c>
      <c r="K144" s="13">
        <v>31980</v>
      </c>
      <c r="L144" s="10">
        <f t="shared" ca="1" si="6"/>
        <v>39</v>
      </c>
      <c r="M144" s="10" t="s">
        <v>120</v>
      </c>
      <c r="N144" s="10" t="s">
        <v>122</v>
      </c>
      <c r="O144" s="10" t="s">
        <v>142</v>
      </c>
      <c r="P144" s="10" t="s">
        <v>648</v>
      </c>
      <c r="Q144" s="10" t="s">
        <v>133</v>
      </c>
      <c r="R144" s="10" t="s">
        <v>840</v>
      </c>
      <c r="S144" s="10" t="s">
        <v>151</v>
      </c>
      <c r="T144" s="10"/>
      <c r="U144" s="10">
        <v>3137884156</v>
      </c>
      <c r="V144" s="10" t="s">
        <v>841</v>
      </c>
      <c r="W144" s="10"/>
      <c r="X144" s="10"/>
      <c r="Y144" s="28"/>
      <c r="Z144" s="13"/>
      <c r="AA144" s="16">
        <v>46142</v>
      </c>
      <c r="AB144" s="12" t="s">
        <v>148</v>
      </c>
      <c r="AC144" s="29"/>
      <c r="AD144" s="29"/>
      <c r="AE144" s="29"/>
      <c r="AF144" s="29"/>
    </row>
    <row r="145" spans="1:33" ht="15.75" customHeight="1" x14ac:dyDescent="0.25">
      <c r="A145" s="10" t="s">
        <v>77</v>
      </c>
      <c r="B145" s="10" t="s">
        <v>86</v>
      </c>
      <c r="C145" s="10" t="s">
        <v>91</v>
      </c>
      <c r="D145" s="10" t="s">
        <v>92</v>
      </c>
      <c r="E145" s="12">
        <v>72228620</v>
      </c>
      <c r="F145" s="25" t="s">
        <v>2031</v>
      </c>
      <c r="G145" s="10" t="s">
        <v>32</v>
      </c>
      <c r="H145" s="12"/>
      <c r="I145" s="13">
        <v>46126</v>
      </c>
      <c r="J145" s="12" t="s">
        <v>113</v>
      </c>
      <c r="K145" s="16">
        <v>28173</v>
      </c>
      <c r="L145" s="10">
        <f t="shared" ca="1" si="6"/>
        <v>49</v>
      </c>
      <c r="M145" s="10" t="s">
        <v>120</v>
      </c>
      <c r="N145" s="10" t="s">
        <v>277</v>
      </c>
      <c r="O145" s="42" t="s">
        <v>142</v>
      </c>
      <c r="P145" s="42" t="s">
        <v>128</v>
      </c>
      <c r="Q145" s="10"/>
      <c r="R145" s="12" t="s">
        <v>2034</v>
      </c>
      <c r="S145" s="12" t="s">
        <v>136</v>
      </c>
      <c r="T145" s="12" t="s">
        <v>2035</v>
      </c>
      <c r="U145" s="12">
        <v>3147972863</v>
      </c>
      <c r="V145" s="12" t="s">
        <v>2036</v>
      </c>
      <c r="W145" s="12" t="s">
        <v>471</v>
      </c>
      <c r="X145" s="12" t="s">
        <v>288</v>
      </c>
      <c r="Y145" s="12">
        <v>3147972863</v>
      </c>
      <c r="Z145" s="12" t="s">
        <v>293</v>
      </c>
      <c r="AA145" s="16">
        <v>46144</v>
      </c>
      <c r="AB145" s="12" t="s">
        <v>148</v>
      </c>
      <c r="AC145" s="32"/>
      <c r="AD145" s="32"/>
      <c r="AE145" s="32"/>
      <c r="AF145" s="32"/>
    </row>
    <row r="146" spans="1:33" ht="15.75" customHeight="1" x14ac:dyDescent="0.25">
      <c r="A146" s="42" t="s">
        <v>77</v>
      </c>
      <c r="B146" s="10" t="s">
        <v>86</v>
      </c>
      <c r="C146" s="10" t="s">
        <v>175</v>
      </c>
      <c r="D146" s="42" t="s">
        <v>92</v>
      </c>
      <c r="E146" s="95">
        <v>7630745</v>
      </c>
      <c r="F146" s="23" t="s">
        <v>2040</v>
      </c>
      <c r="G146" s="10" t="s">
        <v>32</v>
      </c>
      <c r="H146" s="5"/>
      <c r="I146" s="13">
        <v>46006</v>
      </c>
      <c r="J146" s="42" t="s">
        <v>113</v>
      </c>
      <c r="K146" s="16">
        <v>29084</v>
      </c>
      <c r="L146" s="42">
        <f t="shared" ca="1" si="6"/>
        <v>47</v>
      </c>
      <c r="M146" s="10" t="s">
        <v>120</v>
      </c>
      <c r="N146" s="10" t="s">
        <v>277</v>
      </c>
      <c r="O146" s="95" t="s">
        <v>142</v>
      </c>
      <c r="P146" s="21" t="s">
        <v>128</v>
      </c>
      <c r="Q146" s="5"/>
      <c r="R146" s="85" t="s">
        <v>2043</v>
      </c>
      <c r="S146" s="10" t="s">
        <v>136</v>
      </c>
      <c r="T146" s="95" t="s">
        <v>2044</v>
      </c>
      <c r="U146" s="12">
        <v>3003041088</v>
      </c>
      <c r="V146" s="95" t="s">
        <v>2045</v>
      </c>
      <c r="W146" s="10" t="s">
        <v>155</v>
      </c>
      <c r="X146" s="10" t="s">
        <v>1366</v>
      </c>
      <c r="Y146" s="28" t="s">
        <v>2046</v>
      </c>
      <c r="Z146" s="10" t="s">
        <v>293</v>
      </c>
      <c r="AA146" s="16">
        <v>46146</v>
      </c>
      <c r="AB146" s="12" t="s">
        <v>148</v>
      </c>
    </row>
    <row r="147" spans="1:33" x14ac:dyDescent="0.25">
      <c r="A147" s="10" t="s">
        <v>77</v>
      </c>
      <c r="B147" s="10" t="s">
        <v>86</v>
      </c>
      <c r="C147" s="10" t="s">
        <v>91</v>
      </c>
      <c r="D147" s="10" t="s">
        <v>92</v>
      </c>
      <c r="E147" s="12">
        <v>1143261127</v>
      </c>
      <c r="F147" s="15" t="s">
        <v>2047</v>
      </c>
      <c r="G147" s="12" t="s">
        <v>26</v>
      </c>
      <c r="H147" s="10"/>
      <c r="I147" s="13">
        <v>46139</v>
      </c>
      <c r="J147" s="12" t="s">
        <v>113</v>
      </c>
      <c r="K147" s="16">
        <v>35502</v>
      </c>
      <c r="L147" s="10">
        <f t="shared" ca="1" si="6"/>
        <v>29</v>
      </c>
      <c r="M147" s="10" t="s">
        <v>120</v>
      </c>
      <c r="N147" s="10" t="s">
        <v>236</v>
      </c>
      <c r="O147" s="42" t="s">
        <v>142</v>
      </c>
      <c r="P147" s="42" t="s">
        <v>128</v>
      </c>
      <c r="Q147" s="10"/>
      <c r="R147" s="12" t="s">
        <v>2052</v>
      </c>
      <c r="S147" s="12" t="s">
        <v>136</v>
      </c>
      <c r="T147" s="12" t="s">
        <v>2053</v>
      </c>
      <c r="U147" s="12">
        <v>3332285241</v>
      </c>
      <c r="V147" s="12" t="s">
        <v>2054</v>
      </c>
      <c r="W147" s="12" t="s">
        <v>215</v>
      </c>
      <c r="X147" s="12" t="s">
        <v>288</v>
      </c>
      <c r="Y147" s="12">
        <v>3332285241</v>
      </c>
      <c r="Z147" s="10" t="s">
        <v>293</v>
      </c>
      <c r="AA147" s="16">
        <v>46147</v>
      </c>
      <c r="AB147" s="12" t="s">
        <v>148</v>
      </c>
      <c r="AC147" s="107"/>
      <c r="AD147" s="76"/>
      <c r="AE147" s="76"/>
      <c r="AF147" s="76"/>
    </row>
    <row r="148" spans="1:33" ht="15.75" customHeight="1" x14ac:dyDescent="0.25">
      <c r="A148" s="10" t="s">
        <v>77</v>
      </c>
      <c r="B148" s="10" t="s">
        <v>86</v>
      </c>
      <c r="C148" s="10" t="s">
        <v>175</v>
      </c>
      <c r="D148" s="10" t="s">
        <v>92</v>
      </c>
      <c r="E148" s="12">
        <v>72048405</v>
      </c>
      <c r="F148" s="25" t="s">
        <v>2058</v>
      </c>
      <c r="G148" s="10" t="s">
        <v>302</v>
      </c>
      <c r="H148" s="12" t="s">
        <v>2059</v>
      </c>
      <c r="I148" s="13">
        <v>45831</v>
      </c>
      <c r="J148" s="12" t="s">
        <v>113</v>
      </c>
      <c r="K148" s="30">
        <v>28431</v>
      </c>
      <c r="L148" s="10">
        <f t="shared" ca="1" si="6"/>
        <v>48</v>
      </c>
      <c r="M148" s="10" t="s">
        <v>120</v>
      </c>
      <c r="N148" s="10" t="s">
        <v>122</v>
      </c>
      <c r="O148" s="42" t="s">
        <v>124</v>
      </c>
      <c r="P148" s="21" t="s">
        <v>128</v>
      </c>
      <c r="Q148" s="10" t="s">
        <v>133</v>
      </c>
      <c r="R148" s="12" t="s">
        <v>2060</v>
      </c>
      <c r="S148" s="12"/>
      <c r="T148" s="12"/>
      <c r="U148" s="12">
        <v>3105467660</v>
      </c>
      <c r="V148" s="12" t="s">
        <v>2061</v>
      </c>
      <c r="W148" s="12"/>
      <c r="X148" s="12" t="s">
        <v>72</v>
      </c>
      <c r="Y148" s="34"/>
      <c r="Z148" s="16"/>
      <c r="AA148" s="16">
        <v>46144</v>
      </c>
      <c r="AB148" s="12" t="s">
        <v>148</v>
      </c>
      <c r="AC148" s="39"/>
      <c r="AD148" s="39"/>
      <c r="AE148" s="39"/>
      <c r="AF148" s="39"/>
    </row>
    <row r="149" spans="1:33" ht="15.75" customHeight="1" x14ac:dyDescent="0.25">
      <c r="A149" s="10" t="s">
        <v>77</v>
      </c>
      <c r="B149" s="10" t="s">
        <v>86</v>
      </c>
      <c r="C149" s="10" t="s">
        <v>175</v>
      </c>
      <c r="D149" s="10" t="s">
        <v>92</v>
      </c>
      <c r="E149" s="10">
        <v>1079914028</v>
      </c>
      <c r="F149" s="25" t="s">
        <v>2066</v>
      </c>
      <c r="G149" s="10" t="s">
        <v>302</v>
      </c>
      <c r="H149" s="10" t="s">
        <v>2067</v>
      </c>
      <c r="I149" s="13">
        <v>45831</v>
      </c>
      <c r="J149" s="10" t="s">
        <v>113</v>
      </c>
      <c r="K149" s="13">
        <v>34701</v>
      </c>
      <c r="L149" s="10">
        <f t="shared" ca="1" si="6"/>
        <v>31</v>
      </c>
      <c r="M149" s="10" t="s">
        <v>120</v>
      </c>
      <c r="N149" s="10" t="s">
        <v>122</v>
      </c>
      <c r="O149" s="42" t="s">
        <v>142</v>
      </c>
      <c r="P149" s="21" t="s">
        <v>128</v>
      </c>
      <c r="Q149" s="10" t="s">
        <v>133</v>
      </c>
      <c r="R149" s="10" t="s">
        <v>2069</v>
      </c>
      <c r="S149" s="10" t="s">
        <v>136</v>
      </c>
      <c r="T149" s="10"/>
      <c r="U149" s="10">
        <v>3243165372</v>
      </c>
      <c r="V149" s="40" t="s">
        <v>2071</v>
      </c>
      <c r="W149" s="10" t="s">
        <v>539</v>
      </c>
      <c r="X149" s="10" t="s">
        <v>170</v>
      </c>
      <c r="Y149" s="28"/>
      <c r="Z149" s="10"/>
      <c r="AA149" s="13">
        <v>46155</v>
      </c>
      <c r="AB149" s="12" t="s">
        <v>1453</v>
      </c>
      <c r="AC149" s="39"/>
      <c r="AD149" s="39"/>
      <c r="AE149" s="39"/>
      <c r="AF149" s="39"/>
    </row>
    <row r="150" spans="1:33" ht="15.75" customHeight="1" x14ac:dyDescent="0.25">
      <c r="A150" s="10" t="s">
        <v>77</v>
      </c>
      <c r="B150" s="10" t="s">
        <v>86</v>
      </c>
      <c r="C150" s="10" t="s">
        <v>175</v>
      </c>
      <c r="D150" s="10" t="s">
        <v>92</v>
      </c>
      <c r="E150" s="12">
        <v>72099246</v>
      </c>
      <c r="F150" s="25" t="s">
        <v>329</v>
      </c>
      <c r="G150" s="10" t="s">
        <v>741</v>
      </c>
      <c r="H150" s="12" t="s">
        <v>1790</v>
      </c>
      <c r="I150" s="13">
        <v>46064</v>
      </c>
      <c r="J150" s="12" t="s">
        <v>113</v>
      </c>
      <c r="K150" s="16">
        <v>30210</v>
      </c>
      <c r="L150" s="10">
        <f t="shared" ca="1" si="6"/>
        <v>43</v>
      </c>
      <c r="M150" s="10" t="s">
        <v>120</v>
      </c>
      <c r="N150" s="10" t="s">
        <v>236</v>
      </c>
      <c r="O150" s="42" t="s">
        <v>124</v>
      </c>
      <c r="P150" s="42" t="s">
        <v>128</v>
      </c>
      <c r="Q150" s="10" t="s">
        <v>133</v>
      </c>
      <c r="R150" s="12" t="s">
        <v>2081</v>
      </c>
      <c r="S150" s="12" t="s">
        <v>587</v>
      </c>
      <c r="T150" s="12" t="s">
        <v>2082</v>
      </c>
      <c r="U150" s="12">
        <v>3114155520</v>
      </c>
      <c r="V150" s="12" t="s">
        <v>2083</v>
      </c>
      <c r="W150" s="12" t="s">
        <v>203</v>
      </c>
      <c r="X150" s="12" t="s">
        <v>288</v>
      </c>
      <c r="Y150" s="34"/>
      <c r="Z150" s="12" t="s">
        <v>393</v>
      </c>
      <c r="AA150" s="13">
        <v>46158</v>
      </c>
      <c r="AB150" s="12" t="s">
        <v>148</v>
      </c>
      <c r="AC150" s="32"/>
      <c r="AD150" s="32"/>
      <c r="AE150" s="32"/>
      <c r="AF150" s="32"/>
    </row>
    <row r="151" spans="1:33" ht="15.75" customHeight="1" x14ac:dyDescent="0.25">
      <c r="A151" s="10" t="s">
        <v>77</v>
      </c>
      <c r="B151" s="10" t="s">
        <v>86</v>
      </c>
      <c r="C151" s="10" t="s">
        <v>175</v>
      </c>
      <c r="D151" s="10" t="s">
        <v>92</v>
      </c>
      <c r="E151" s="12">
        <v>1046703436</v>
      </c>
      <c r="F151" s="25" t="s">
        <v>419</v>
      </c>
      <c r="G151" s="10" t="s">
        <v>302</v>
      </c>
      <c r="H151" s="10" t="s">
        <v>2087</v>
      </c>
      <c r="I151" s="13">
        <v>45831</v>
      </c>
      <c r="J151" s="12" t="s">
        <v>113</v>
      </c>
      <c r="K151" s="16">
        <v>36441</v>
      </c>
      <c r="L151" s="10">
        <f t="shared" ca="1" si="6"/>
        <v>26</v>
      </c>
      <c r="M151" s="10" t="s">
        <v>120</v>
      </c>
      <c r="N151" s="10" t="s">
        <v>236</v>
      </c>
      <c r="O151" s="42" t="s">
        <v>142</v>
      </c>
      <c r="P151" s="21" t="s">
        <v>128</v>
      </c>
      <c r="Q151" s="10" t="s">
        <v>133</v>
      </c>
      <c r="R151" s="12" t="s">
        <v>2091</v>
      </c>
      <c r="S151" s="12" t="s">
        <v>2092</v>
      </c>
      <c r="T151" s="12"/>
      <c r="U151" s="12">
        <v>3012820199</v>
      </c>
      <c r="V151" s="12" t="s">
        <v>2094</v>
      </c>
      <c r="W151" s="12" t="s">
        <v>169</v>
      </c>
      <c r="X151" s="12" t="s">
        <v>170</v>
      </c>
      <c r="Y151" s="34"/>
      <c r="Z151" s="12"/>
      <c r="AA151" s="13">
        <v>46160</v>
      </c>
      <c r="AB151" s="12" t="s">
        <v>1453</v>
      </c>
      <c r="AC151" s="39"/>
      <c r="AD151" s="39"/>
      <c r="AE151" s="39"/>
      <c r="AF151" s="39"/>
    </row>
    <row r="152" spans="1:33" ht="15.75" customHeight="1" x14ac:dyDescent="0.25">
      <c r="A152" s="42" t="s">
        <v>77</v>
      </c>
      <c r="B152" s="10" t="s">
        <v>86</v>
      </c>
      <c r="C152" s="10" t="s">
        <v>175</v>
      </c>
      <c r="D152" s="42" t="s">
        <v>92</v>
      </c>
      <c r="E152" s="95">
        <v>1043119285</v>
      </c>
      <c r="F152" s="84" t="s">
        <v>2096</v>
      </c>
      <c r="G152" s="10" t="s">
        <v>302</v>
      </c>
      <c r="H152" s="5"/>
      <c r="I152" s="13">
        <v>46008</v>
      </c>
      <c r="J152" s="42" t="s">
        <v>113</v>
      </c>
      <c r="K152" s="16">
        <v>34572</v>
      </c>
      <c r="L152" s="42">
        <f t="shared" ca="1" si="6"/>
        <v>32</v>
      </c>
      <c r="M152" s="10" t="s">
        <v>120</v>
      </c>
      <c r="N152" s="10" t="s">
        <v>122</v>
      </c>
      <c r="O152" s="95" t="s">
        <v>124</v>
      </c>
      <c r="P152" s="21" t="s">
        <v>128</v>
      </c>
      <c r="Q152" s="5"/>
      <c r="R152" s="85" t="s">
        <v>2098</v>
      </c>
      <c r="S152" s="10" t="s">
        <v>136</v>
      </c>
      <c r="T152" s="95" t="s">
        <v>2101</v>
      </c>
      <c r="U152" s="12">
        <v>3215345972</v>
      </c>
      <c r="V152" s="95"/>
      <c r="W152" s="10" t="s">
        <v>1312</v>
      </c>
      <c r="X152" s="10" t="s">
        <v>288</v>
      </c>
      <c r="Y152" s="95">
        <v>3215345972</v>
      </c>
      <c r="Z152" s="10" t="s">
        <v>293</v>
      </c>
      <c r="AA152" s="13">
        <v>46160</v>
      </c>
      <c r="AB152" s="12" t="s">
        <v>148</v>
      </c>
    </row>
    <row r="153" spans="1:33" ht="15.75" customHeight="1" x14ac:dyDescent="0.25">
      <c r="A153" s="10" t="s">
        <v>77</v>
      </c>
      <c r="B153" s="10" t="s">
        <v>86</v>
      </c>
      <c r="C153" s="10" t="s">
        <v>175</v>
      </c>
      <c r="D153" s="10" t="s">
        <v>92</v>
      </c>
      <c r="E153" s="10">
        <v>1048268232</v>
      </c>
      <c r="F153" s="51" t="s">
        <v>2104</v>
      </c>
      <c r="G153" s="10" t="s">
        <v>18</v>
      </c>
      <c r="H153" s="10" t="s">
        <v>2105</v>
      </c>
      <c r="I153" s="13">
        <v>45924</v>
      </c>
      <c r="J153" s="10" t="s">
        <v>113</v>
      </c>
      <c r="K153" s="13">
        <v>36392</v>
      </c>
      <c r="L153" s="10">
        <f t="shared" ca="1" si="6"/>
        <v>27</v>
      </c>
      <c r="M153" s="10" t="s">
        <v>120</v>
      </c>
      <c r="N153" s="10" t="s">
        <v>236</v>
      </c>
      <c r="O153" s="12" t="s">
        <v>142</v>
      </c>
      <c r="P153" s="21" t="s">
        <v>128</v>
      </c>
      <c r="Q153" s="10"/>
      <c r="R153" s="10" t="s">
        <v>2106</v>
      </c>
      <c r="S153" s="10"/>
      <c r="T153" s="10" t="s">
        <v>2107</v>
      </c>
      <c r="U153" s="10">
        <v>3043633881</v>
      </c>
      <c r="V153" s="10" t="s">
        <v>2108</v>
      </c>
      <c r="W153" s="10" t="s">
        <v>965</v>
      </c>
      <c r="X153" s="10"/>
      <c r="Y153" s="28"/>
      <c r="Z153" s="10"/>
      <c r="AA153" s="13">
        <v>46157</v>
      </c>
      <c r="AB153" s="12" t="s">
        <v>148</v>
      </c>
      <c r="AC153" s="29"/>
      <c r="AD153" s="29"/>
      <c r="AE153" s="29"/>
      <c r="AF153" s="29"/>
      <c r="AG153" s="29"/>
    </row>
    <row r="154" spans="1:33" ht="15.75" customHeight="1" x14ac:dyDescent="0.25">
      <c r="A154" s="42" t="s">
        <v>77</v>
      </c>
      <c r="B154" s="42" t="s">
        <v>86</v>
      </c>
      <c r="C154" s="42" t="s">
        <v>175</v>
      </c>
      <c r="D154" s="42" t="s">
        <v>92</v>
      </c>
      <c r="E154" s="42">
        <v>9196036</v>
      </c>
      <c r="F154" s="25" t="s">
        <v>462</v>
      </c>
      <c r="G154" s="42" t="s">
        <v>302</v>
      </c>
      <c r="H154" s="42" t="s">
        <v>2113</v>
      </c>
      <c r="I154" s="89">
        <v>45903</v>
      </c>
      <c r="J154" s="42" t="s">
        <v>113</v>
      </c>
      <c r="K154" s="89">
        <v>27517</v>
      </c>
      <c r="L154" s="42">
        <f t="shared" ca="1" si="6"/>
        <v>51</v>
      </c>
      <c r="M154" s="42" t="s">
        <v>120</v>
      </c>
      <c r="N154" s="42" t="s">
        <v>122</v>
      </c>
      <c r="O154" s="42" t="s">
        <v>124</v>
      </c>
      <c r="P154" s="103" t="s">
        <v>128</v>
      </c>
      <c r="Q154" s="42" t="s">
        <v>2117</v>
      </c>
      <c r="R154" s="42" t="s">
        <v>2118</v>
      </c>
      <c r="S154" s="42" t="s">
        <v>507</v>
      </c>
      <c r="T154" s="42" t="s">
        <v>2119</v>
      </c>
      <c r="U154" s="42">
        <v>3052826308</v>
      </c>
      <c r="V154" s="42" t="s">
        <v>2120</v>
      </c>
      <c r="W154" s="42" t="s">
        <v>155</v>
      </c>
      <c r="X154" s="42" t="s">
        <v>2121</v>
      </c>
      <c r="Y154" s="60"/>
      <c r="Z154" s="42" t="s">
        <v>935</v>
      </c>
      <c r="AA154" s="89">
        <v>46157</v>
      </c>
      <c r="AB154" s="42" t="s">
        <v>148</v>
      </c>
      <c r="AC154" s="80"/>
      <c r="AD154" s="80"/>
      <c r="AE154" s="80"/>
      <c r="AF154" s="80"/>
      <c r="AG154" s="80"/>
    </row>
    <row r="155" spans="1:33" ht="15.75" customHeight="1" x14ac:dyDescent="0.25">
      <c r="A155" s="42" t="s">
        <v>77</v>
      </c>
      <c r="B155" s="10" t="s">
        <v>86</v>
      </c>
      <c r="C155" s="10" t="s">
        <v>175</v>
      </c>
      <c r="D155" s="42" t="s">
        <v>92</v>
      </c>
      <c r="E155" s="10">
        <v>1043881409</v>
      </c>
      <c r="F155" s="51" t="s">
        <v>2122</v>
      </c>
      <c r="G155" s="10" t="s">
        <v>1398</v>
      </c>
      <c r="H155" s="10"/>
      <c r="I155" s="13">
        <v>46001</v>
      </c>
      <c r="J155" s="42" t="s">
        <v>113</v>
      </c>
      <c r="K155" s="13">
        <v>37993</v>
      </c>
      <c r="L155" s="42">
        <f t="shared" ca="1" si="6"/>
        <v>22</v>
      </c>
      <c r="M155" s="10" t="s">
        <v>120</v>
      </c>
      <c r="N155" s="10" t="s">
        <v>236</v>
      </c>
      <c r="O155" s="42" t="s">
        <v>124</v>
      </c>
      <c r="P155" s="21" t="s">
        <v>128</v>
      </c>
      <c r="Q155" s="10"/>
      <c r="R155" s="10" t="s">
        <v>2123</v>
      </c>
      <c r="S155" s="10" t="s">
        <v>136</v>
      </c>
      <c r="T155" s="10" t="s">
        <v>2124</v>
      </c>
      <c r="U155" s="10">
        <v>3245055448</v>
      </c>
      <c r="V155" s="10" t="s">
        <v>2126</v>
      </c>
      <c r="W155" s="10"/>
      <c r="X155" s="10" t="s">
        <v>1246</v>
      </c>
      <c r="Y155" s="10">
        <v>3245055448</v>
      </c>
      <c r="Z155" s="10" t="s">
        <v>293</v>
      </c>
      <c r="AA155" s="13">
        <v>46157</v>
      </c>
      <c r="AB155" s="10" t="s">
        <v>2128</v>
      </c>
      <c r="AC155" s="29"/>
      <c r="AD155" s="29"/>
      <c r="AE155" s="29"/>
      <c r="AF155" s="29"/>
      <c r="AG155" s="29"/>
    </row>
    <row r="156" spans="1:33" ht="15.75" customHeight="1" x14ac:dyDescent="0.25">
      <c r="A156" s="42" t="s">
        <v>77</v>
      </c>
      <c r="B156" s="10" t="s">
        <v>86</v>
      </c>
      <c r="C156" s="10" t="s">
        <v>175</v>
      </c>
      <c r="D156" s="42" t="s">
        <v>92</v>
      </c>
      <c r="E156" s="42">
        <v>8797858</v>
      </c>
      <c r="F156" s="25" t="s">
        <v>2132</v>
      </c>
      <c r="G156" s="10" t="s">
        <v>11</v>
      </c>
      <c r="H156" s="42"/>
      <c r="I156" s="89">
        <v>45988</v>
      </c>
      <c r="J156" s="42" t="s">
        <v>1136</v>
      </c>
      <c r="K156" s="90">
        <v>29216</v>
      </c>
      <c r="L156" s="42">
        <f t="shared" ca="1" si="6"/>
        <v>46</v>
      </c>
      <c r="M156" s="42" t="s">
        <v>120</v>
      </c>
      <c r="N156" s="42" t="s">
        <v>122</v>
      </c>
      <c r="O156" s="42" t="s">
        <v>124</v>
      </c>
      <c r="P156" s="21" t="s">
        <v>128</v>
      </c>
      <c r="Q156" s="42"/>
      <c r="R156" s="42" t="s">
        <v>2135</v>
      </c>
      <c r="S156" s="42" t="s">
        <v>136</v>
      </c>
      <c r="T156" s="42" t="s">
        <v>136</v>
      </c>
      <c r="U156" s="42">
        <v>3045560466</v>
      </c>
      <c r="V156" s="42" t="s">
        <v>2136</v>
      </c>
      <c r="W156" s="42" t="s">
        <v>155</v>
      </c>
      <c r="X156" s="42" t="s">
        <v>1266</v>
      </c>
      <c r="Y156" s="60" t="s">
        <v>2137</v>
      </c>
      <c r="Z156" s="42" t="s">
        <v>293</v>
      </c>
      <c r="AA156" s="60" t="s">
        <v>2139</v>
      </c>
      <c r="AB156" s="12" t="s">
        <v>1453</v>
      </c>
      <c r="AC156" s="80"/>
      <c r="AD156" s="80"/>
      <c r="AE156" s="80"/>
      <c r="AF156" s="80"/>
      <c r="AG156" s="80"/>
    </row>
    <row r="157" spans="1:33" ht="15.75" customHeight="1" x14ac:dyDescent="0.25">
      <c r="A157" s="10" t="s">
        <v>77</v>
      </c>
      <c r="B157" s="10" t="s">
        <v>86</v>
      </c>
      <c r="C157" s="10" t="s">
        <v>175</v>
      </c>
      <c r="D157" s="10" t="s">
        <v>92</v>
      </c>
      <c r="E157" s="10">
        <v>1042416074</v>
      </c>
      <c r="F157" s="51" t="s">
        <v>137</v>
      </c>
      <c r="G157" s="12" t="s">
        <v>26</v>
      </c>
      <c r="H157" s="10" t="s">
        <v>2141</v>
      </c>
      <c r="I157" s="13">
        <v>45855</v>
      </c>
      <c r="J157" s="10" t="s">
        <v>113</v>
      </c>
      <c r="K157" s="13">
        <v>30798</v>
      </c>
      <c r="L157" s="10">
        <f t="shared" ca="1" si="6"/>
        <v>42</v>
      </c>
      <c r="M157" s="10" t="s">
        <v>120</v>
      </c>
      <c r="N157" s="10" t="s">
        <v>122</v>
      </c>
      <c r="O157" s="10" t="s">
        <v>142</v>
      </c>
      <c r="P157" s="21" t="s">
        <v>128</v>
      </c>
      <c r="Q157" s="10" t="s">
        <v>133</v>
      </c>
      <c r="R157" s="10" t="s">
        <v>2142</v>
      </c>
      <c r="S157" s="10" t="s">
        <v>136</v>
      </c>
      <c r="T157" s="10"/>
      <c r="U157" s="10">
        <v>3028661399</v>
      </c>
      <c r="V157" s="10" t="s">
        <v>2143</v>
      </c>
      <c r="W157" s="10"/>
      <c r="X157" s="10"/>
      <c r="Y157" s="28"/>
      <c r="Z157" s="13"/>
      <c r="AA157" s="60" t="s">
        <v>2139</v>
      </c>
      <c r="AB157" s="12" t="s">
        <v>1453</v>
      </c>
      <c r="AC157" s="39"/>
      <c r="AD157" s="39"/>
      <c r="AE157" s="39"/>
      <c r="AF157" s="39"/>
      <c r="AG157" s="39"/>
    </row>
    <row r="158" spans="1:33" ht="15.75" customHeight="1" x14ac:dyDescent="0.25">
      <c r="A158" s="10" t="s">
        <v>77</v>
      </c>
      <c r="B158" s="10" t="s">
        <v>86</v>
      </c>
      <c r="C158" s="10" t="s">
        <v>175</v>
      </c>
      <c r="D158" s="10" t="s">
        <v>92</v>
      </c>
      <c r="E158" s="10">
        <v>1100626803</v>
      </c>
      <c r="F158" s="25" t="s">
        <v>2144</v>
      </c>
      <c r="G158" s="10" t="s">
        <v>302</v>
      </c>
      <c r="H158" s="10" t="s">
        <v>2145</v>
      </c>
      <c r="I158" s="13">
        <v>45847</v>
      </c>
      <c r="J158" s="10" t="s">
        <v>113</v>
      </c>
      <c r="K158" s="13">
        <v>34063</v>
      </c>
      <c r="L158" s="10">
        <f t="shared" ca="1" si="6"/>
        <v>33</v>
      </c>
      <c r="M158" s="10" t="s">
        <v>120</v>
      </c>
      <c r="N158" s="10" t="s">
        <v>122</v>
      </c>
      <c r="O158" s="10" t="s">
        <v>142</v>
      </c>
      <c r="P158" s="21" t="s">
        <v>128</v>
      </c>
      <c r="Q158" s="10" t="s">
        <v>133</v>
      </c>
      <c r="R158" s="10"/>
      <c r="S158" s="10" t="s">
        <v>136</v>
      </c>
      <c r="T158" s="10"/>
      <c r="U158" s="10">
        <v>3218025250</v>
      </c>
      <c r="V158" s="10" t="s">
        <v>2148</v>
      </c>
      <c r="W158" s="10"/>
      <c r="X158" s="10"/>
      <c r="Y158" s="28" t="s">
        <v>2149</v>
      </c>
      <c r="Z158" s="30" t="s">
        <v>420</v>
      </c>
      <c r="AA158" s="60" t="s">
        <v>2139</v>
      </c>
      <c r="AB158" s="12" t="s">
        <v>2128</v>
      </c>
      <c r="AC158" s="32"/>
      <c r="AD158" s="32"/>
      <c r="AE158" s="32"/>
      <c r="AF158" s="32"/>
      <c r="AG158" s="32"/>
    </row>
    <row r="159" spans="1:33" ht="15.75" customHeight="1" x14ac:dyDescent="0.25">
      <c r="A159" s="10" t="s">
        <v>77</v>
      </c>
      <c r="B159" s="10" t="s">
        <v>86</v>
      </c>
      <c r="C159" s="10" t="s">
        <v>175</v>
      </c>
      <c r="D159" s="10" t="s">
        <v>92</v>
      </c>
      <c r="E159" s="12">
        <v>72268557</v>
      </c>
      <c r="F159" s="14" t="s">
        <v>259</v>
      </c>
      <c r="G159" s="10" t="s">
        <v>11</v>
      </c>
      <c r="H159" s="10" t="s">
        <v>2153</v>
      </c>
      <c r="I159" s="16">
        <v>45891</v>
      </c>
      <c r="J159" s="12" t="s">
        <v>113</v>
      </c>
      <c r="K159" s="13">
        <v>30221</v>
      </c>
      <c r="L159" s="10">
        <f t="shared" ca="1" si="6"/>
        <v>43</v>
      </c>
      <c r="M159" s="10" t="s">
        <v>120</v>
      </c>
      <c r="N159" s="10" t="s">
        <v>122</v>
      </c>
      <c r="O159" s="12" t="s">
        <v>142</v>
      </c>
      <c r="P159" s="21" t="s">
        <v>128</v>
      </c>
      <c r="Q159" s="10" t="s">
        <v>133</v>
      </c>
      <c r="R159" s="12" t="s">
        <v>2159</v>
      </c>
      <c r="S159" s="12" t="s">
        <v>151</v>
      </c>
      <c r="T159" s="12"/>
      <c r="U159" s="12">
        <v>3044756195</v>
      </c>
      <c r="V159" s="12"/>
      <c r="W159" s="10" t="s">
        <v>203</v>
      </c>
      <c r="X159" s="12"/>
      <c r="Y159" s="34"/>
      <c r="Z159" s="12"/>
      <c r="AA159" s="60" t="s">
        <v>2139</v>
      </c>
      <c r="AB159" s="12" t="s">
        <v>2128</v>
      </c>
      <c r="AC159" s="32"/>
      <c r="AD159" s="32"/>
      <c r="AE159" s="32"/>
      <c r="AF159" s="32"/>
      <c r="AG159" s="32"/>
    </row>
    <row r="160" spans="1:33" ht="15.75" customHeight="1" x14ac:dyDescent="0.25">
      <c r="A160" s="10" t="s">
        <v>77</v>
      </c>
      <c r="B160" s="10" t="s">
        <v>86</v>
      </c>
      <c r="C160" s="10" t="s">
        <v>175</v>
      </c>
      <c r="D160" s="10" t="s">
        <v>92</v>
      </c>
      <c r="E160" s="10">
        <v>1042430723</v>
      </c>
      <c r="F160" s="51" t="s">
        <v>1421</v>
      </c>
      <c r="G160" s="12" t="s">
        <v>26</v>
      </c>
      <c r="H160" s="10" t="s">
        <v>2162</v>
      </c>
      <c r="I160" s="13">
        <v>45948</v>
      </c>
      <c r="J160" s="10" t="s">
        <v>113</v>
      </c>
      <c r="K160" s="13">
        <v>32689</v>
      </c>
      <c r="L160" s="10">
        <f t="shared" ca="1" si="6"/>
        <v>37</v>
      </c>
      <c r="M160" s="10" t="s">
        <v>120</v>
      </c>
      <c r="N160" s="10" t="s">
        <v>236</v>
      </c>
      <c r="O160" s="10" t="s">
        <v>142</v>
      </c>
      <c r="P160" s="21" t="s">
        <v>128</v>
      </c>
      <c r="Q160" s="10"/>
      <c r="R160" s="10" t="s">
        <v>2164</v>
      </c>
      <c r="S160" s="10" t="s">
        <v>136</v>
      </c>
      <c r="T160" s="10" t="s">
        <v>136</v>
      </c>
      <c r="U160" s="10">
        <v>3242682718</v>
      </c>
      <c r="V160" s="10" t="s">
        <v>2165</v>
      </c>
      <c r="W160" s="10" t="s">
        <v>2166</v>
      </c>
      <c r="X160" s="10" t="s">
        <v>966</v>
      </c>
      <c r="Y160" s="28" t="s">
        <v>2168</v>
      </c>
      <c r="Z160" s="10" t="s">
        <v>935</v>
      </c>
      <c r="AA160" s="60" t="s">
        <v>2139</v>
      </c>
      <c r="AB160" s="12" t="s">
        <v>2128</v>
      </c>
      <c r="AC160" s="39"/>
      <c r="AD160" s="39"/>
      <c r="AE160" s="39"/>
      <c r="AF160" s="39"/>
      <c r="AG160" s="39"/>
    </row>
    <row r="161" spans="1:33" ht="15.75" customHeight="1" x14ac:dyDescent="0.25">
      <c r="A161" s="10" t="s">
        <v>77</v>
      </c>
      <c r="B161" s="10" t="s">
        <v>86</v>
      </c>
      <c r="C161" s="10" t="s">
        <v>175</v>
      </c>
      <c r="D161" s="10" t="s">
        <v>92</v>
      </c>
      <c r="E161" s="10">
        <v>1082862449</v>
      </c>
      <c r="F161" s="25" t="s">
        <v>246</v>
      </c>
      <c r="G161" s="10" t="s">
        <v>302</v>
      </c>
      <c r="H161" s="10" t="s">
        <v>249</v>
      </c>
      <c r="I161" s="13">
        <v>45857</v>
      </c>
      <c r="J161" s="10" t="s">
        <v>113</v>
      </c>
      <c r="K161" s="13">
        <v>38518</v>
      </c>
      <c r="L161" s="10">
        <f t="shared" ca="1" si="6"/>
        <v>21</v>
      </c>
      <c r="M161" s="10" t="s">
        <v>120</v>
      </c>
      <c r="N161" s="10" t="s">
        <v>122</v>
      </c>
      <c r="O161" s="12" t="s">
        <v>142</v>
      </c>
      <c r="P161" s="21" t="s">
        <v>128</v>
      </c>
      <c r="Q161" s="10" t="s">
        <v>133</v>
      </c>
      <c r="R161" s="10" t="s">
        <v>262</v>
      </c>
      <c r="S161" s="10" t="s">
        <v>151</v>
      </c>
      <c r="T161" s="10"/>
      <c r="U161" s="10">
        <v>3046122700</v>
      </c>
      <c r="V161" s="10" t="s">
        <v>264</v>
      </c>
      <c r="W161" s="10"/>
      <c r="X161" s="10"/>
      <c r="Y161" s="28"/>
      <c r="Z161" s="13"/>
      <c r="AA161" s="60" t="s">
        <v>2139</v>
      </c>
      <c r="AB161" s="12" t="s">
        <v>2128</v>
      </c>
      <c r="AC161" s="39"/>
      <c r="AD161" s="39"/>
      <c r="AE161" s="39"/>
      <c r="AF161" s="39"/>
      <c r="AG161" s="39"/>
    </row>
    <row r="162" spans="1:33" ht="15.75" customHeight="1" x14ac:dyDescent="0.25">
      <c r="A162" s="10" t="s">
        <v>77</v>
      </c>
      <c r="B162" s="10" t="s">
        <v>86</v>
      </c>
      <c r="C162" s="10" t="s">
        <v>175</v>
      </c>
      <c r="D162" s="10" t="s">
        <v>92</v>
      </c>
      <c r="E162" s="12">
        <v>1045724492</v>
      </c>
      <c r="F162" s="25" t="s">
        <v>1889</v>
      </c>
      <c r="G162" s="10" t="s">
        <v>11</v>
      </c>
      <c r="H162" s="10" t="s">
        <v>1890</v>
      </c>
      <c r="I162" s="16">
        <v>45883</v>
      </c>
      <c r="J162" s="12" t="s">
        <v>113</v>
      </c>
      <c r="K162" s="16">
        <v>34497</v>
      </c>
      <c r="L162" s="10">
        <f t="shared" ca="1" si="6"/>
        <v>32</v>
      </c>
      <c r="M162" s="10" t="s">
        <v>120</v>
      </c>
      <c r="N162" s="10" t="s">
        <v>122</v>
      </c>
      <c r="O162" s="12" t="s">
        <v>142</v>
      </c>
      <c r="P162" s="21" t="s">
        <v>128</v>
      </c>
      <c r="Q162" s="10" t="s">
        <v>133</v>
      </c>
      <c r="R162" s="12" t="s">
        <v>1892</v>
      </c>
      <c r="S162" s="12" t="s">
        <v>136</v>
      </c>
      <c r="T162" s="12"/>
      <c r="U162" s="12">
        <v>3235374915</v>
      </c>
      <c r="V162" s="12"/>
      <c r="W162" s="12"/>
      <c r="X162" s="12"/>
      <c r="Y162" s="34"/>
      <c r="Z162" s="16"/>
      <c r="AA162" s="60" t="s">
        <v>2139</v>
      </c>
      <c r="AB162" s="12" t="s">
        <v>2128</v>
      </c>
      <c r="AC162" s="39"/>
      <c r="AD162" s="39"/>
      <c r="AE162" s="39"/>
      <c r="AF162" s="39"/>
      <c r="AG162" s="39"/>
    </row>
    <row r="163" spans="1:33" ht="15.75" customHeight="1" x14ac:dyDescent="0.25">
      <c r="A163" s="10" t="s">
        <v>77</v>
      </c>
      <c r="B163" s="10" t="s">
        <v>86</v>
      </c>
      <c r="C163" s="10" t="s">
        <v>175</v>
      </c>
      <c r="D163" s="10" t="s">
        <v>92</v>
      </c>
      <c r="E163" s="12">
        <v>72056393</v>
      </c>
      <c r="F163" s="14" t="s">
        <v>2130</v>
      </c>
      <c r="G163" s="10" t="s">
        <v>26</v>
      </c>
      <c r="H163" s="10" t="s">
        <v>2133</v>
      </c>
      <c r="I163" s="16">
        <v>45895</v>
      </c>
      <c r="J163" s="12" t="s">
        <v>113</v>
      </c>
      <c r="K163" s="13">
        <v>31218</v>
      </c>
      <c r="L163" s="10">
        <f t="shared" ca="1" si="6"/>
        <v>41</v>
      </c>
      <c r="M163" s="10" t="s">
        <v>120</v>
      </c>
      <c r="N163" s="10" t="s">
        <v>277</v>
      </c>
      <c r="O163" s="12" t="s">
        <v>142</v>
      </c>
      <c r="P163" s="21" t="s">
        <v>128</v>
      </c>
      <c r="Q163" s="10" t="s">
        <v>133</v>
      </c>
      <c r="R163" s="12" t="s">
        <v>2138</v>
      </c>
      <c r="S163" s="12" t="s">
        <v>151</v>
      </c>
      <c r="T163" s="12" t="s">
        <v>808</v>
      </c>
      <c r="U163" s="12">
        <v>3043474723</v>
      </c>
      <c r="V163" s="12" t="s">
        <v>858</v>
      </c>
      <c r="W163" s="10" t="s">
        <v>155</v>
      </c>
      <c r="X163" s="12" t="s">
        <v>170</v>
      </c>
      <c r="Y163" s="60"/>
      <c r="Z163" s="12"/>
      <c r="AA163" s="13">
        <v>46168</v>
      </c>
      <c r="AB163" s="12" t="s">
        <v>148</v>
      </c>
    </row>
    <row r="164" spans="1:33" ht="15.75" customHeight="1" x14ac:dyDescent="0.25">
      <c r="A164" s="42" t="s">
        <v>77</v>
      </c>
      <c r="B164" s="10" t="s">
        <v>86</v>
      </c>
      <c r="C164" s="10" t="s">
        <v>175</v>
      </c>
      <c r="D164" s="42" t="s">
        <v>92</v>
      </c>
      <c r="E164" s="42">
        <v>1048273825</v>
      </c>
      <c r="F164" s="25" t="s">
        <v>2192</v>
      </c>
      <c r="G164" s="10" t="s">
        <v>26</v>
      </c>
      <c r="H164" s="42"/>
      <c r="I164" s="89">
        <v>45987</v>
      </c>
      <c r="J164" s="42" t="s">
        <v>1136</v>
      </c>
      <c r="K164" s="89">
        <v>32365</v>
      </c>
      <c r="L164" s="42">
        <f t="shared" ca="1" si="6"/>
        <v>38</v>
      </c>
      <c r="M164" s="42" t="s">
        <v>120</v>
      </c>
      <c r="N164" s="42" t="s">
        <v>277</v>
      </c>
      <c r="O164" s="42" t="s">
        <v>142</v>
      </c>
      <c r="P164" s="21" t="s">
        <v>128</v>
      </c>
      <c r="Q164" s="10" t="s">
        <v>133</v>
      </c>
      <c r="R164" s="42" t="s">
        <v>2193</v>
      </c>
      <c r="S164" s="42" t="s">
        <v>507</v>
      </c>
      <c r="T164" s="42" t="s">
        <v>1311</v>
      </c>
      <c r="U164" s="42">
        <v>3022092958</v>
      </c>
      <c r="V164" s="42" t="s">
        <v>2194</v>
      </c>
      <c r="W164" s="42" t="s">
        <v>155</v>
      </c>
      <c r="X164" s="42" t="s">
        <v>2195</v>
      </c>
      <c r="Y164" s="60" t="s">
        <v>2196</v>
      </c>
      <c r="Z164" s="42" t="s">
        <v>293</v>
      </c>
      <c r="AA164" s="13">
        <v>46167</v>
      </c>
      <c r="AB164" s="12" t="s">
        <v>148</v>
      </c>
      <c r="AC164" s="107"/>
      <c r="AD164" s="76"/>
      <c r="AE164" s="76"/>
      <c r="AF164" s="76"/>
      <c r="AG164" s="76"/>
    </row>
    <row r="165" spans="1:33" ht="15.75" customHeight="1" x14ac:dyDescent="0.25">
      <c r="A165" s="10" t="s">
        <v>77</v>
      </c>
      <c r="B165" s="10" t="s">
        <v>86</v>
      </c>
      <c r="C165" s="10" t="s">
        <v>91</v>
      </c>
      <c r="D165" s="10" t="s">
        <v>92</v>
      </c>
      <c r="E165" s="12">
        <v>1080540270</v>
      </c>
      <c r="F165" s="15" t="s">
        <v>2198</v>
      </c>
      <c r="G165" s="10" t="s">
        <v>11</v>
      </c>
      <c r="H165" s="10"/>
      <c r="I165" s="16">
        <v>46168</v>
      </c>
      <c r="J165" s="12" t="s">
        <v>113</v>
      </c>
      <c r="K165" s="53">
        <v>38453</v>
      </c>
      <c r="L165" s="10">
        <f t="shared" ca="1" si="6"/>
        <v>21</v>
      </c>
      <c r="M165" s="10" t="s">
        <v>120</v>
      </c>
      <c r="N165" s="10" t="s">
        <v>236</v>
      </c>
      <c r="O165" s="42" t="s">
        <v>142</v>
      </c>
      <c r="P165" s="21" t="s">
        <v>128</v>
      </c>
      <c r="Q165" s="10" t="s">
        <v>133</v>
      </c>
      <c r="R165" s="12" t="s">
        <v>2201</v>
      </c>
      <c r="S165" s="12" t="s">
        <v>136</v>
      </c>
      <c r="T165" s="12" t="s">
        <v>587</v>
      </c>
      <c r="U165" s="12">
        <v>3022637916</v>
      </c>
      <c r="V165" s="12" t="s">
        <v>2203</v>
      </c>
      <c r="W165" s="12" t="s">
        <v>155</v>
      </c>
      <c r="X165" s="12" t="s">
        <v>966</v>
      </c>
      <c r="Y165" s="12">
        <v>3022637916</v>
      </c>
      <c r="Z165" s="10" t="s">
        <v>293</v>
      </c>
      <c r="AA165" s="13">
        <v>46170</v>
      </c>
      <c r="AB165" s="12" t="s">
        <v>148</v>
      </c>
      <c r="AC165" s="107"/>
      <c r="AD165" s="76"/>
      <c r="AE165" s="76"/>
      <c r="AF165" s="76"/>
      <c r="AG165" s="76"/>
    </row>
    <row r="166" spans="1:33" ht="15.75" customHeight="1" x14ac:dyDescent="0.25">
      <c r="A166" s="10" t="s">
        <v>160</v>
      </c>
      <c r="B166" s="10" t="s">
        <v>86</v>
      </c>
      <c r="C166" s="10" t="s">
        <v>91</v>
      </c>
      <c r="D166" s="10" t="s">
        <v>92</v>
      </c>
      <c r="E166" s="10">
        <v>1042456033</v>
      </c>
      <c r="F166" s="25" t="s">
        <v>2205</v>
      </c>
      <c r="G166" s="10" t="s">
        <v>926</v>
      </c>
      <c r="H166" s="10" t="s">
        <v>2206</v>
      </c>
      <c r="I166" s="13">
        <v>45939</v>
      </c>
      <c r="J166" s="10" t="s">
        <v>1136</v>
      </c>
      <c r="K166" s="13">
        <v>35636</v>
      </c>
      <c r="L166" s="10">
        <f t="shared" ca="1" si="6"/>
        <v>29</v>
      </c>
      <c r="M166" s="10" t="s">
        <v>320</v>
      </c>
      <c r="N166" s="10" t="s">
        <v>236</v>
      </c>
      <c r="O166" s="42" t="s">
        <v>124</v>
      </c>
      <c r="P166" s="21" t="s">
        <v>128</v>
      </c>
      <c r="Q166" s="10" t="s">
        <v>133</v>
      </c>
      <c r="R166" s="10" t="s">
        <v>2210</v>
      </c>
      <c r="S166" s="10" t="s">
        <v>1784</v>
      </c>
      <c r="T166" s="10" t="s">
        <v>2211</v>
      </c>
      <c r="U166" s="10">
        <v>3242006472</v>
      </c>
      <c r="V166" s="10" t="s">
        <v>2213</v>
      </c>
      <c r="W166" s="10" t="s">
        <v>539</v>
      </c>
      <c r="X166" s="10" t="s">
        <v>966</v>
      </c>
      <c r="Y166" s="28" t="s">
        <v>2214</v>
      </c>
      <c r="Z166" s="10" t="s">
        <v>978</v>
      </c>
      <c r="AA166" s="118" t="s">
        <v>2215</v>
      </c>
      <c r="AB166" s="12" t="s">
        <v>148</v>
      </c>
      <c r="AC166" s="39"/>
      <c r="AD166" s="39"/>
      <c r="AE166" s="39"/>
      <c r="AF166" s="39"/>
      <c r="AG166" s="39"/>
    </row>
    <row r="167" spans="1:33" ht="15.75" customHeight="1" x14ac:dyDescent="0.25">
      <c r="A167" s="10" t="s">
        <v>160</v>
      </c>
      <c r="B167" s="10" t="s">
        <v>86</v>
      </c>
      <c r="C167" s="10" t="s">
        <v>91</v>
      </c>
      <c r="D167" s="10" t="s">
        <v>92</v>
      </c>
      <c r="E167" s="12">
        <v>1057586683</v>
      </c>
      <c r="F167" s="15" t="s">
        <v>2218</v>
      </c>
      <c r="G167" s="10" t="s">
        <v>1102</v>
      </c>
      <c r="H167" s="10"/>
      <c r="I167" s="16">
        <v>46111</v>
      </c>
      <c r="J167" s="12" t="s">
        <v>113</v>
      </c>
      <c r="K167" s="53">
        <v>33341</v>
      </c>
      <c r="L167" s="10">
        <f t="shared" ca="1" si="6"/>
        <v>35</v>
      </c>
      <c r="M167" s="10" t="s">
        <v>120</v>
      </c>
      <c r="N167" s="10" t="s">
        <v>122</v>
      </c>
      <c r="O167" s="42" t="s">
        <v>142</v>
      </c>
      <c r="P167" s="21" t="s">
        <v>128</v>
      </c>
      <c r="Q167" s="10" t="s">
        <v>133</v>
      </c>
      <c r="R167" s="12" t="s">
        <v>2221</v>
      </c>
      <c r="S167" s="12" t="s">
        <v>136</v>
      </c>
      <c r="T167" s="12" t="s">
        <v>1729</v>
      </c>
      <c r="U167" s="12">
        <v>3106822926</v>
      </c>
      <c r="V167" s="12" t="s">
        <v>2222</v>
      </c>
      <c r="W167" s="12" t="s">
        <v>203</v>
      </c>
      <c r="X167" s="12" t="s">
        <v>255</v>
      </c>
      <c r="Y167" s="12">
        <v>3106822926</v>
      </c>
      <c r="Z167" s="10" t="s">
        <v>393</v>
      </c>
      <c r="AA167" s="13">
        <v>46171</v>
      </c>
      <c r="AB167" s="12" t="s">
        <v>148</v>
      </c>
      <c r="AC167" s="107"/>
      <c r="AD167" s="76"/>
      <c r="AE167" s="76"/>
      <c r="AF167" s="76"/>
      <c r="AG167" s="76"/>
    </row>
    <row r="168" spans="1:33" ht="15.75" customHeight="1" x14ac:dyDescent="0.25">
      <c r="A168" s="42" t="s">
        <v>77</v>
      </c>
      <c r="B168" s="42" t="s">
        <v>86</v>
      </c>
      <c r="C168" s="42" t="s">
        <v>175</v>
      </c>
      <c r="D168" s="42" t="s">
        <v>92</v>
      </c>
      <c r="E168" s="42">
        <v>72336936</v>
      </c>
      <c r="F168" s="25" t="s">
        <v>2224</v>
      </c>
      <c r="G168" s="42" t="s">
        <v>26</v>
      </c>
      <c r="H168" s="42" t="s">
        <v>2226</v>
      </c>
      <c r="I168" s="89">
        <v>45831</v>
      </c>
      <c r="J168" s="42" t="s">
        <v>113</v>
      </c>
      <c r="K168" s="89">
        <v>31161</v>
      </c>
      <c r="L168" s="42">
        <f t="shared" ca="1" si="6"/>
        <v>41</v>
      </c>
      <c r="M168" s="42" t="s">
        <v>120</v>
      </c>
      <c r="N168" s="42" t="s">
        <v>236</v>
      </c>
      <c r="O168" s="42" t="s">
        <v>210</v>
      </c>
      <c r="P168" s="103" t="s">
        <v>128</v>
      </c>
      <c r="Q168" s="42" t="s">
        <v>133</v>
      </c>
      <c r="R168" s="42" t="s">
        <v>2229</v>
      </c>
      <c r="S168" s="42" t="s">
        <v>1873</v>
      </c>
      <c r="T168" s="42"/>
      <c r="U168" s="42">
        <v>3233797780</v>
      </c>
      <c r="V168" s="42" t="s">
        <v>2230</v>
      </c>
      <c r="W168" s="42" t="s">
        <v>2231</v>
      </c>
      <c r="X168" s="42" t="s">
        <v>2232</v>
      </c>
      <c r="Y168" s="60"/>
      <c r="Z168" s="89"/>
      <c r="AA168" s="89">
        <v>46175</v>
      </c>
      <c r="AB168" s="42" t="s">
        <v>148</v>
      </c>
      <c r="AC168" s="119"/>
      <c r="AD168" s="119"/>
      <c r="AE168" s="119"/>
      <c r="AF168" s="119"/>
      <c r="AG168" s="119"/>
    </row>
    <row r="169" spans="1:33" ht="15.75" customHeight="1" x14ac:dyDescent="0.25">
      <c r="A169" s="10" t="s">
        <v>77</v>
      </c>
      <c r="B169" s="10" t="s">
        <v>86</v>
      </c>
      <c r="C169" s="10" t="s">
        <v>175</v>
      </c>
      <c r="D169" s="42" t="s">
        <v>92</v>
      </c>
      <c r="E169" s="42">
        <v>1047236091</v>
      </c>
      <c r="F169" s="51" t="s">
        <v>2233</v>
      </c>
      <c r="G169" s="10" t="s">
        <v>26</v>
      </c>
      <c r="H169" s="42"/>
      <c r="I169" s="89">
        <v>45990</v>
      </c>
      <c r="J169" s="42" t="s">
        <v>1136</v>
      </c>
      <c r="K169" s="89">
        <v>35295</v>
      </c>
      <c r="L169" s="42">
        <f t="shared" ca="1" si="6"/>
        <v>30</v>
      </c>
      <c r="M169" s="42" t="s">
        <v>120</v>
      </c>
      <c r="N169" s="42" t="s">
        <v>122</v>
      </c>
      <c r="O169" s="42" t="s">
        <v>142</v>
      </c>
      <c r="P169" s="21" t="s">
        <v>128</v>
      </c>
      <c r="Q169" s="10" t="s">
        <v>133</v>
      </c>
      <c r="R169" s="42" t="s">
        <v>2234</v>
      </c>
      <c r="S169" s="42" t="s">
        <v>414</v>
      </c>
      <c r="T169" s="42" t="s">
        <v>2235</v>
      </c>
      <c r="U169" s="42">
        <v>3206578131</v>
      </c>
      <c r="V169" s="42" t="s">
        <v>2236</v>
      </c>
      <c r="W169" s="42" t="s">
        <v>539</v>
      </c>
      <c r="X169" s="42" t="s">
        <v>170</v>
      </c>
      <c r="Y169" s="60"/>
      <c r="Z169" s="42" t="s">
        <v>935</v>
      </c>
      <c r="AA169" s="13">
        <v>46175</v>
      </c>
      <c r="AB169" s="12" t="s">
        <v>148</v>
      </c>
      <c r="AC169" s="80"/>
      <c r="AD169" s="80"/>
      <c r="AE169" s="80"/>
      <c r="AF169" s="80"/>
      <c r="AG169" s="80"/>
    </row>
    <row r="170" spans="1:33" ht="15.75" customHeight="1" x14ac:dyDescent="0.25">
      <c r="A170" s="10" t="s">
        <v>160</v>
      </c>
      <c r="B170" s="10" t="s">
        <v>86</v>
      </c>
      <c r="C170" s="10" t="s">
        <v>175</v>
      </c>
      <c r="D170" s="10" t="s">
        <v>92</v>
      </c>
      <c r="E170" s="12">
        <v>1001947814</v>
      </c>
      <c r="F170" s="15" t="s">
        <v>2241</v>
      </c>
      <c r="G170" s="10" t="s">
        <v>2242</v>
      </c>
      <c r="H170" s="10"/>
      <c r="I170" s="16">
        <v>46121</v>
      </c>
      <c r="J170" s="12" t="s">
        <v>113</v>
      </c>
      <c r="K170" s="53">
        <v>37214</v>
      </c>
      <c r="L170" s="10">
        <f t="shared" ca="1" si="6"/>
        <v>24</v>
      </c>
      <c r="M170" s="10" t="s">
        <v>120</v>
      </c>
      <c r="N170" s="10" t="s">
        <v>236</v>
      </c>
      <c r="O170" s="42" t="s">
        <v>142</v>
      </c>
      <c r="P170" s="21" t="s">
        <v>128</v>
      </c>
      <c r="Q170" s="10" t="s">
        <v>133</v>
      </c>
      <c r="R170" s="12" t="s">
        <v>2245</v>
      </c>
      <c r="S170" s="12" t="s">
        <v>136</v>
      </c>
      <c r="T170" s="12" t="s">
        <v>136</v>
      </c>
      <c r="U170" s="12">
        <v>3007312190</v>
      </c>
      <c r="V170" s="12" t="s">
        <v>2247</v>
      </c>
      <c r="W170" s="12" t="s">
        <v>539</v>
      </c>
      <c r="X170" s="12" t="s">
        <v>170</v>
      </c>
      <c r="Y170" s="12">
        <v>3007312190</v>
      </c>
      <c r="Z170" s="10" t="s">
        <v>293</v>
      </c>
      <c r="AA170" s="13">
        <v>46177</v>
      </c>
      <c r="AB170" s="12" t="s">
        <v>148</v>
      </c>
      <c r="AC170" s="107"/>
      <c r="AD170" s="76"/>
      <c r="AE170" s="76"/>
      <c r="AF170" s="76"/>
      <c r="AG170" s="76"/>
    </row>
    <row r="171" spans="1:33" ht="15.75" customHeight="1" x14ac:dyDescent="0.25">
      <c r="A171" s="10" t="s">
        <v>160</v>
      </c>
      <c r="B171" s="10" t="s">
        <v>86</v>
      </c>
      <c r="C171" s="10" t="s">
        <v>175</v>
      </c>
      <c r="D171" s="10" t="s">
        <v>92</v>
      </c>
      <c r="E171" s="12">
        <v>1048067043</v>
      </c>
      <c r="F171" s="15" t="s">
        <v>2248</v>
      </c>
      <c r="G171" s="10" t="s">
        <v>1508</v>
      </c>
      <c r="H171" s="10"/>
      <c r="I171" s="16">
        <v>46056</v>
      </c>
      <c r="J171" s="12" t="s">
        <v>113</v>
      </c>
      <c r="K171" s="53">
        <v>38348</v>
      </c>
      <c r="L171" s="10">
        <f t="shared" ca="1" si="6"/>
        <v>21</v>
      </c>
      <c r="M171" s="10" t="s">
        <v>120</v>
      </c>
      <c r="N171" s="10" t="s">
        <v>236</v>
      </c>
      <c r="O171" s="42" t="s">
        <v>124</v>
      </c>
      <c r="P171" s="21" t="s">
        <v>128</v>
      </c>
      <c r="Q171" s="10" t="s">
        <v>133</v>
      </c>
      <c r="R171" s="12" t="s">
        <v>2250</v>
      </c>
      <c r="S171" s="12" t="s">
        <v>136</v>
      </c>
      <c r="T171" s="12" t="s">
        <v>2251</v>
      </c>
      <c r="U171" s="12">
        <v>3103863109</v>
      </c>
      <c r="V171" s="12" t="s">
        <v>2252</v>
      </c>
      <c r="W171" s="12" t="s">
        <v>1543</v>
      </c>
      <c r="X171" s="12"/>
      <c r="Y171" s="12"/>
      <c r="Z171" s="10" t="s">
        <v>293</v>
      </c>
      <c r="AA171" s="13">
        <v>46179</v>
      </c>
      <c r="AB171" s="12" t="s">
        <v>148</v>
      </c>
      <c r="AC171" s="107"/>
      <c r="AD171" s="76"/>
      <c r="AE171" s="76"/>
      <c r="AF171" s="76"/>
      <c r="AG171" s="76"/>
    </row>
    <row r="172" spans="1:33" ht="15.75" customHeight="1" x14ac:dyDescent="0.25">
      <c r="A172" s="10" t="s">
        <v>77</v>
      </c>
      <c r="B172" s="10" t="s">
        <v>86</v>
      </c>
      <c r="C172" s="10" t="s">
        <v>175</v>
      </c>
      <c r="D172" s="10" t="s">
        <v>92</v>
      </c>
      <c r="E172" s="12">
        <v>72290139</v>
      </c>
      <c r="F172" s="15" t="s">
        <v>2254</v>
      </c>
      <c r="G172" s="10" t="s">
        <v>302</v>
      </c>
      <c r="H172" s="10"/>
      <c r="I172" s="16">
        <v>46062</v>
      </c>
      <c r="J172" s="12" t="s">
        <v>113</v>
      </c>
      <c r="K172" s="16">
        <v>30678</v>
      </c>
      <c r="L172" s="10">
        <f t="shared" ca="1" si="6"/>
        <v>42</v>
      </c>
      <c r="M172" s="10" t="s">
        <v>120</v>
      </c>
      <c r="N172" s="10" t="s">
        <v>122</v>
      </c>
      <c r="O172" s="12" t="s">
        <v>142</v>
      </c>
      <c r="P172" s="42" t="s">
        <v>128</v>
      </c>
      <c r="Q172" s="10" t="s">
        <v>133</v>
      </c>
      <c r="R172" s="12" t="s">
        <v>2258</v>
      </c>
      <c r="S172" s="12" t="s">
        <v>136</v>
      </c>
      <c r="T172" s="12" t="s">
        <v>1873</v>
      </c>
      <c r="U172" s="12">
        <v>3008934627</v>
      </c>
      <c r="V172" s="12"/>
      <c r="W172" s="12" t="s">
        <v>471</v>
      </c>
      <c r="X172" s="12" t="s">
        <v>2261</v>
      </c>
      <c r="Y172" s="12">
        <v>3008934625</v>
      </c>
      <c r="Z172" s="10" t="s">
        <v>293</v>
      </c>
      <c r="AA172" s="13">
        <v>46182</v>
      </c>
      <c r="AB172" s="12" t="s">
        <v>148</v>
      </c>
      <c r="AC172" s="107"/>
      <c r="AD172" s="76"/>
      <c r="AE172" s="76"/>
      <c r="AF172" s="76"/>
      <c r="AG172" s="76"/>
    </row>
    <row r="173" spans="1:33" ht="15.75" customHeight="1" x14ac:dyDescent="0.25">
      <c r="A173" s="10" t="s">
        <v>77</v>
      </c>
      <c r="B173" s="10" t="s">
        <v>86</v>
      </c>
      <c r="C173" s="10" t="s">
        <v>91</v>
      </c>
      <c r="D173" s="10" t="s">
        <v>92</v>
      </c>
      <c r="E173" s="12">
        <v>72314116</v>
      </c>
      <c r="F173" s="15" t="s">
        <v>2264</v>
      </c>
      <c r="G173" s="10" t="s">
        <v>32</v>
      </c>
      <c r="H173" s="10"/>
      <c r="I173" s="16">
        <v>46182</v>
      </c>
      <c r="J173" s="12" t="s">
        <v>113</v>
      </c>
      <c r="K173" s="16">
        <v>29116</v>
      </c>
      <c r="L173" s="10">
        <f t="shared" ca="1" si="6"/>
        <v>46</v>
      </c>
      <c r="M173" s="10" t="s">
        <v>120</v>
      </c>
      <c r="N173" s="10" t="s">
        <v>122</v>
      </c>
      <c r="O173" s="42" t="s">
        <v>142</v>
      </c>
      <c r="P173" s="21" t="s">
        <v>648</v>
      </c>
      <c r="Q173" s="10" t="s">
        <v>133</v>
      </c>
      <c r="R173" s="12" t="s">
        <v>2266</v>
      </c>
      <c r="S173" s="12" t="s">
        <v>2026</v>
      </c>
      <c r="T173" s="12" t="s">
        <v>233</v>
      </c>
      <c r="U173" s="12">
        <v>3014374155</v>
      </c>
      <c r="V173" s="12" t="s">
        <v>2267</v>
      </c>
      <c r="W173" s="12" t="s">
        <v>155</v>
      </c>
      <c r="X173" s="12" t="s">
        <v>255</v>
      </c>
      <c r="Y173" s="12">
        <v>3014374155</v>
      </c>
      <c r="Z173" s="10" t="s">
        <v>293</v>
      </c>
      <c r="AA173" s="44">
        <v>46186</v>
      </c>
      <c r="AB173" s="17" t="s">
        <v>148</v>
      </c>
      <c r="AC173" s="107"/>
      <c r="AD173" s="76"/>
      <c r="AE173" s="76"/>
      <c r="AF173" s="76"/>
      <c r="AG173" s="76"/>
    </row>
    <row r="174" spans="1:33" ht="15.75" customHeight="1" x14ac:dyDescent="0.25">
      <c r="A174" s="10" t="s">
        <v>77</v>
      </c>
      <c r="B174" s="10" t="s">
        <v>86</v>
      </c>
      <c r="C174" s="10" t="s">
        <v>91</v>
      </c>
      <c r="D174" s="10" t="s">
        <v>92</v>
      </c>
      <c r="E174" s="12">
        <v>1047338059</v>
      </c>
      <c r="F174" s="15" t="s">
        <v>2270</v>
      </c>
      <c r="G174" s="10" t="s">
        <v>26</v>
      </c>
      <c r="H174" s="10"/>
      <c r="I174" s="16">
        <v>46177</v>
      </c>
      <c r="J174" s="12" t="s">
        <v>113</v>
      </c>
      <c r="K174" s="53">
        <v>32351</v>
      </c>
      <c r="L174" s="10">
        <f t="shared" ca="1" si="6"/>
        <v>38</v>
      </c>
      <c r="M174" s="10" t="s">
        <v>120</v>
      </c>
      <c r="N174" s="10" t="s">
        <v>122</v>
      </c>
      <c r="O174" s="42" t="s">
        <v>142</v>
      </c>
      <c r="P174" s="21" t="s">
        <v>128</v>
      </c>
      <c r="Q174" s="10" t="s">
        <v>133</v>
      </c>
      <c r="R174" s="12" t="s">
        <v>2271</v>
      </c>
      <c r="S174" s="12" t="s">
        <v>136</v>
      </c>
      <c r="T174" s="12" t="s">
        <v>2274</v>
      </c>
      <c r="U174" s="12">
        <v>3011243993</v>
      </c>
      <c r="V174" s="12" t="s">
        <v>2275</v>
      </c>
      <c r="W174" s="12" t="s">
        <v>831</v>
      </c>
      <c r="X174" s="12" t="s">
        <v>288</v>
      </c>
      <c r="Y174" s="12">
        <v>3011243993</v>
      </c>
      <c r="Z174" s="10" t="s">
        <v>293</v>
      </c>
      <c r="AA174" s="120">
        <v>46179</v>
      </c>
      <c r="AB174" s="17" t="s">
        <v>148</v>
      </c>
      <c r="AC174" s="107"/>
      <c r="AD174" s="76"/>
      <c r="AE174" s="76"/>
      <c r="AF174" s="76"/>
      <c r="AG174" s="76"/>
    </row>
    <row r="175" spans="1:33" ht="15.75" customHeight="1" x14ac:dyDescent="0.25">
      <c r="A175" s="10" t="s">
        <v>77</v>
      </c>
      <c r="B175" s="10" t="s">
        <v>86</v>
      </c>
      <c r="C175" s="10" t="s">
        <v>91</v>
      </c>
      <c r="D175" s="10" t="s">
        <v>92</v>
      </c>
      <c r="E175" s="10">
        <v>1126247066</v>
      </c>
      <c r="F175" s="25" t="s">
        <v>2281</v>
      </c>
      <c r="G175" s="10" t="s">
        <v>32</v>
      </c>
      <c r="H175" s="10"/>
      <c r="I175" s="13">
        <v>46190</v>
      </c>
      <c r="J175" s="10" t="s">
        <v>113</v>
      </c>
      <c r="K175" s="13">
        <v>27718</v>
      </c>
      <c r="L175" s="10">
        <f t="shared" ca="1" si="6"/>
        <v>50</v>
      </c>
      <c r="M175" s="10" t="s">
        <v>120</v>
      </c>
      <c r="N175" s="10" t="s">
        <v>236</v>
      </c>
      <c r="O175" s="12" t="s">
        <v>142</v>
      </c>
      <c r="P175" s="21" t="s">
        <v>128</v>
      </c>
      <c r="Q175" s="10" t="s">
        <v>133</v>
      </c>
      <c r="R175" s="10" t="s">
        <v>2283</v>
      </c>
      <c r="S175" s="10" t="s">
        <v>136</v>
      </c>
      <c r="T175" s="10" t="s">
        <v>2284</v>
      </c>
      <c r="U175" s="10">
        <v>3018769355</v>
      </c>
      <c r="V175" s="10" t="s">
        <v>2285</v>
      </c>
      <c r="W175" s="10" t="s">
        <v>2286</v>
      </c>
      <c r="X175" s="10" t="s">
        <v>1997</v>
      </c>
      <c r="Y175" s="10">
        <v>3018769355</v>
      </c>
      <c r="Z175" s="10" t="s">
        <v>293</v>
      </c>
      <c r="AA175" s="13">
        <v>46193</v>
      </c>
      <c r="AB175" s="17" t="s">
        <v>148</v>
      </c>
      <c r="AC175" s="39"/>
      <c r="AD175" s="39"/>
      <c r="AE175" s="39"/>
      <c r="AF175" s="39"/>
    </row>
    <row r="176" spans="1:33" ht="15.75" customHeight="1" x14ac:dyDescent="0.25">
      <c r="A176" s="42" t="s">
        <v>77</v>
      </c>
      <c r="B176" s="10" t="s">
        <v>86</v>
      </c>
      <c r="C176" s="42" t="s">
        <v>91</v>
      </c>
      <c r="D176" s="42" t="s">
        <v>92</v>
      </c>
      <c r="E176" s="95">
        <v>8509958</v>
      </c>
      <c r="F176" s="23" t="s">
        <v>2291</v>
      </c>
      <c r="G176" s="12" t="s">
        <v>26</v>
      </c>
      <c r="H176" s="5"/>
      <c r="I176" s="13">
        <v>46195</v>
      </c>
      <c r="J176" s="42" t="s">
        <v>113</v>
      </c>
      <c r="K176" s="16">
        <v>29143</v>
      </c>
      <c r="L176" s="42">
        <f t="shared" ca="1" si="6"/>
        <v>46</v>
      </c>
      <c r="M176" s="10" t="s">
        <v>120</v>
      </c>
      <c r="N176" s="10" t="s">
        <v>277</v>
      </c>
      <c r="O176" s="10" t="s">
        <v>142</v>
      </c>
      <c r="P176" s="10" t="s">
        <v>128</v>
      </c>
      <c r="Q176" s="10" t="s">
        <v>133</v>
      </c>
      <c r="R176" s="10" t="s">
        <v>2296</v>
      </c>
      <c r="S176" s="10" t="s">
        <v>151</v>
      </c>
      <c r="T176" s="86" t="s">
        <v>2297</v>
      </c>
      <c r="U176" s="12">
        <v>3025108933</v>
      </c>
      <c r="V176" s="86" t="s">
        <v>2298</v>
      </c>
      <c r="W176" s="10" t="s">
        <v>169</v>
      </c>
      <c r="X176" s="10" t="s">
        <v>288</v>
      </c>
      <c r="Y176" s="12">
        <v>3025108933</v>
      </c>
      <c r="Z176" s="10" t="s">
        <v>293</v>
      </c>
      <c r="AA176" s="13">
        <v>46195</v>
      </c>
      <c r="AB176" s="17" t="s">
        <v>148</v>
      </c>
    </row>
    <row r="177" spans="1:33" ht="15.75" customHeight="1" x14ac:dyDescent="0.25">
      <c r="A177" s="42" t="s">
        <v>77</v>
      </c>
      <c r="B177" s="10" t="s">
        <v>86</v>
      </c>
      <c r="C177" s="42" t="s">
        <v>91</v>
      </c>
      <c r="D177" s="42" t="s">
        <v>92</v>
      </c>
      <c r="E177" s="95">
        <v>8647210</v>
      </c>
      <c r="F177" s="23" t="s">
        <v>2301</v>
      </c>
      <c r="G177" s="12" t="s">
        <v>26</v>
      </c>
      <c r="H177" s="5"/>
      <c r="I177" s="13">
        <v>46191</v>
      </c>
      <c r="J177" s="42" t="s">
        <v>113</v>
      </c>
      <c r="K177" s="16">
        <v>28940</v>
      </c>
      <c r="L177" s="42">
        <f t="shared" ca="1" si="6"/>
        <v>47</v>
      </c>
      <c r="M177" s="10" t="s">
        <v>120</v>
      </c>
      <c r="N177" s="10" t="s">
        <v>122</v>
      </c>
      <c r="O177" s="10" t="s">
        <v>142</v>
      </c>
      <c r="P177" s="21" t="s">
        <v>128</v>
      </c>
      <c r="Q177" s="10" t="s">
        <v>133</v>
      </c>
      <c r="R177" s="10" t="s">
        <v>2303</v>
      </c>
      <c r="S177" s="10" t="s">
        <v>801</v>
      </c>
      <c r="T177" s="86" t="s">
        <v>1959</v>
      </c>
      <c r="U177" s="12">
        <v>3042054448</v>
      </c>
      <c r="V177" s="86" t="s">
        <v>2305</v>
      </c>
      <c r="W177" s="10" t="s">
        <v>155</v>
      </c>
      <c r="X177" s="10" t="s">
        <v>255</v>
      </c>
      <c r="Y177" s="12">
        <v>3042054448</v>
      </c>
      <c r="Z177" s="10" t="s">
        <v>293</v>
      </c>
      <c r="AA177" s="13">
        <v>46195</v>
      </c>
      <c r="AB177" s="17" t="s">
        <v>148</v>
      </c>
    </row>
    <row r="178" spans="1:33" ht="15.75" customHeight="1" x14ac:dyDescent="0.25">
      <c r="A178" s="10" t="s">
        <v>160</v>
      </c>
      <c r="B178" s="10" t="s">
        <v>86</v>
      </c>
      <c r="C178" s="10" t="s">
        <v>91</v>
      </c>
      <c r="D178" s="10" t="s">
        <v>92</v>
      </c>
      <c r="E178" s="10">
        <v>1005488760</v>
      </c>
      <c r="F178" s="25" t="s">
        <v>2156</v>
      </c>
      <c r="G178" s="10" t="s">
        <v>424</v>
      </c>
      <c r="H178" s="10" t="s">
        <v>2158</v>
      </c>
      <c r="I178" s="13">
        <v>45845</v>
      </c>
      <c r="J178" s="10" t="s">
        <v>113</v>
      </c>
      <c r="K178" s="13">
        <v>36564</v>
      </c>
      <c r="L178" s="10">
        <f t="shared" ca="1" si="6"/>
        <v>26</v>
      </c>
      <c r="M178" s="10" t="s">
        <v>120</v>
      </c>
      <c r="N178" s="10" t="s">
        <v>236</v>
      </c>
      <c r="O178" s="12" t="s">
        <v>142</v>
      </c>
      <c r="P178" s="21" t="s">
        <v>128</v>
      </c>
      <c r="Q178" s="10" t="s">
        <v>133</v>
      </c>
      <c r="R178" s="10"/>
      <c r="S178" s="10" t="s">
        <v>136</v>
      </c>
      <c r="T178" s="10"/>
      <c r="U178" s="10"/>
      <c r="V178" s="10"/>
      <c r="W178" s="10"/>
      <c r="X178" s="10"/>
      <c r="Y178" s="28" t="s">
        <v>2311</v>
      </c>
      <c r="Z178" s="13" t="s">
        <v>2163</v>
      </c>
      <c r="AA178" s="13">
        <v>46196</v>
      </c>
      <c r="AB178" s="17" t="s">
        <v>148</v>
      </c>
    </row>
    <row r="179" spans="1:33" ht="15.75" customHeight="1" x14ac:dyDescent="0.25">
      <c r="A179" s="42" t="s">
        <v>77</v>
      </c>
      <c r="B179" s="10" t="s">
        <v>86</v>
      </c>
      <c r="C179" s="42" t="s">
        <v>91</v>
      </c>
      <c r="D179" s="42" t="s">
        <v>92</v>
      </c>
      <c r="E179" s="95">
        <v>72073324</v>
      </c>
      <c r="F179" s="23" t="s">
        <v>1551</v>
      </c>
      <c r="G179" s="12" t="s">
        <v>26</v>
      </c>
      <c r="H179" s="5"/>
      <c r="I179" s="13">
        <v>46191</v>
      </c>
      <c r="J179" s="42" t="s">
        <v>113</v>
      </c>
      <c r="K179" s="16">
        <v>26516</v>
      </c>
      <c r="L179" s="42">
        <f t="shared" ca="1" si="6"/>
        <v>54</v>
      </c>
      <c r="M179" s="10" t="s">
        <v>120</v>
      </c>
      <c r="N179" s="10" t="s">
        <v>122</v>
      </c>
      <c r="O179" s="10" t="s">
        <v>142</v>
      </c>
      <c r="P179" s="21" t="s">
        <v>128</v>
      </c>
      <c r="Q179" s="10" t="s">
        <v>133</v>
      </c>
      <c r="R179" s="10" t="s">
        <v>2316</v>
      </c>
      <c r="S179" s="10" t="s">
        <v>1225</v>
      </c>
      <c r="T179" s="86" t="s">
        <v>2317</v>
      </c>
      <c r="U179" s="12">
        <v>3022349752</v>
      </c>
      <c r="V179" s="98"/>
      <c r="W179" s="10" t="s">
        <v>1559</v>
      </c>
      <c r="X179" s="10" t="s">
        <v>170</v>
      </c>
      <c r="Y179" s="85">
        <v>3022349752</v>
      </c>
      <c r="Z179" s="10" t="s">
        <v>2318</v>
      </c>
      <c r="AA179" s="13">
        <v>46199</v>
      </c>
      <c r="AB179" s="17" t="s">
        <v>148</v>
      </c>
    </row>
    <row r="180" spans="1:33" ht="15.75" customHeight="1" x14ac:dyDescent="0.25">
      <c r="A180" s="42" t="s">
        <v>77</v>
      </c>
      <c r="B180" s="10" t="s">
        <v>86</v>
      </c>
      <c r="C180" s="42" t="s">
        <v>91</v>
      </c>
      <c r="D180" s="42" t="s">
        <v>92</v>
      </c>
      <c r="E180" s="95">
        <v>1048286788</v>
      </c>
      <c r="F180" s="23" t="s">
        <v>2320</v>
      </c>
      <c r="G180" s="12" t="s">
        <v>32</v>
      </c>
      <c r="H180" s="5"/>
      <c r="I180" s="13">
        <v>46191</v>
      </c>
      <c r="J180" s="42" t="s">
        <v>113</v>
      </c>
      <c r="K180" s="16">
        <v>33685</v>
      </c>
      <c r="L180" s="42">
        <f t="shared" ca="1" si="6"/>
        <v>34</v>
      </c>
      <c r="M180" s="10" t="s">
        <v>120</v>
      </c>
      <c r="N180" s="10" t="s">
        <v>122</v>
      </c>
      <c r="O180" s="10" t="s">
        <v>142</v>
      </c>
      <c r="P180" s="21" t="s">
        <v>648</v>
      </c>
      <c r="Q180" s="10" t="s">
        <v>133</v>
      </c>
      <c r="R180" s="10" t="s">
        <v>2325</v>
      </c>
      <c r="S180" s="10" t="s">
        <v>136</v>
      </c>
      <c r="T180" s="86" t="s">
        <v>2326</v>
      </c>
      <c r="U180" s="12">
        <v>3005263815</v>
      </c>
      <c r="V180" s="86" t="s">
        <v>2327</v>
      </c>
      <c r="W180" s="121" t="s">
        <v>155</v>
      </c>
      <c r="X180" s="10" t="s">
        <v>288</v>
      </c>
      <c r="Y180" s="12">
        <v>3005263815</v>
      </c>
      <c r="Z180" s="10" t="s">
        <v>420</v>
      </c>
      <c r="AA180" s="13">
        <v>46195</v>
      </c>
      <c r="AB180" s="17" t="s">
        <v>148</v>
      </c>
    </row>
    <row r="181" spans="1:33" ht="15.75" customHeight="1" x14ac:dyDescent="0.25">
      <c r="A181" s="42" t="s">
        <v>77</v>
      </c>
      <c r="B181" s="10" t="s">
        <v>86</v>
      </c>
      <c r="C181" s="42" t="s">
        <v>91</v>
      </c>
      <c r="D181" s="42" t="s">
        <v>92</v>
      </c>
      <c r="E181" s="95">
        <v>8769886</v>
      </c>
      <c r="F181" s="23" t="s">
        <v>2332</v>
      </c>
      <c r="G181" s="12" t="s">
        <v>26</v>
      </c>
      <c r="H181" s="5"/>
      <c r="I181" s="13">
        <v>46192</v>
      </c>
      <c r="J181" s="42" t="s">
        <v>113</v>
      </c>
      <c r="K181" s="16">
        <v>25178</v>
      </c>
      <c r="L181" s="42">
        <f t="shared" ca="1" si="6"/>
        <v>57</v>
      </c>
      <c r="M181" s="10" t="s">
        <v>120</v>
      </c>
      <c r="N181" s="10" t="s">
        <v>122</v>
      </c>
      <c r="O181" s="10" t="s">
        <v>142</v>
      </c>
      <c r="P181" s="21" t="s">
        <v>128</v>
      </c>
      <c r="Q181" s="10" t="s">
        <v>133</v>
      </c>
      <c r="R181" s="10" t="s">
        <v>2334</v>
      </c>
      <c r="S181" s="10" t="s">
        <v>136</v>
      </c>
      <c r="T181" s="86" t="s">
        <v>1154</v>
      </c>
      <c r="U181" s="12">
        <v>3043593594</v>
      </c>
      <c r="V181" s="86" t="s">
        <v>2335</v>
      </c>
      <c r="W181" s="10" t="s">
        <v>2336</v>
      </c>
      <c r="X181" s="10" t="s">
        <v>170</v>
      </c>
      <c r="Y181" s="12">
        <v>3043593594</v>
      </c>
      <c r="Z181" s="10" t="s">
        <v>293</v>
      </c>
      <c r="AA181" s="13">
        <v>46198</v>
      </c>
      <c r="AB181" s="17" t="s">
        <v>148</v>
      </c>
    </row>
    <row r="182" spans="1:33" ht="15.75" customHeight="1" x14ac:dyDescent="0.25">
      <c r="A182" s="42" t="s">
        <v>77</v>
      </c>
      <c r="B182" s="10" t="s">
        <v>86</v>
      </c>
      <c r="C182" s="42" t="s">
        <v>91</v>
      </c>
      <c r="D182" s="42" t="s">
        <v>92</v>
      </c>
      <c r="E182" s="95">
        <v>1140840562</v>
      </c>
      <c r="F182" s="23" t="s">
        <v>2340</v>
      </c>
      <c r="G182" s="12" t="s">
        <v>26</v>
      </c>
      <c r="H182" s="5"/>
      <c r="I182" s="13">
        <v>46195</v>
      </c>
      <c r="J182" s="42" t="s">
        <v>113</v>
      </c>
      <c r="K182" s="16">
        <v>33374</v>
      </c>
      <c r="L182" s="42">
        <f t="shared" ca="1" si="6"/>
        <v>35</v>
      </c>
      <c r="M182" s="10" t="s">
        <v>120</v>
      </c>
      <c r="N182" s="10" t="s">
        <v>122</v>
      </c>
      <c r="O182" s="10" t="s">
        <v>142</v>
      </c>
      <c r="P182" s="10" t="s">
        <v>128</v>
      </c>
      <c r="Q182" s="10" t="s">
        <v>133</v>
      </c>
      <c r="R182" s="10" t="s">
        <v>2344</v>
      </c>
      <c r="S182" s="10" t="s">
        <v>136</v>
      </c>
      <c r="T182" s="86" t="s">
        <v>1904</v>
      </c>
      <c r="U182" s="86">
        <v>3245617015</v>
      </c>
      <c r="V182" s="86" t="s">
        <v>2345</v>
      </c>
      <c r="W182" s="10" t="s">
        <v>215</v>
      </c>
      <c r="X182" s="10" t="s">
        <v>288</v>
      </c>
      <c r="Y182" s="86">
        <v>3245617015</v>
      </c>
      <c r="Z182" s="10" t="s">
        <v>293</v>
      </c>
      <c r="AA182" s="13">
        <v>46195</v>
      </c>
      <c r="AB182" s="17" t="s">
        <v>148</v>
      </c>
    </row>
    <row r="183" spans="1:33" ht="15.75" customHeight="1" x14ac:dyDescent="0.25">
      <c r="A183" s="10" t="s">
        <v>77</v>
      </c>
      <c r="B183" s="10" t="s">
        <v>86</v>
      </c>
      <c r="C183" s="42" t="s">
        <v>91</v>
      </c>
      <c r="D183" s="10" t="s">
        <v>92</v>
      </c>
      <c r="E183" s="10">
        <v>8795618</v>
      </c>
      <c r="F183" s="25" t="s">
        <v>2350</v>
      </c>
      <c r="G183" s="10" t="s">
        <v>26</v>
      </c>
      <c r="H183" s="10"/>
      <c r="I183" s="13">
        <v>46190</v>
      </c>
      <c r="J183" s="10" t="s">
        <v>113</v>
      </c>
      <c r="K183" s="13">
        <v>27329</v>
      </c>
      <c r="L183" s="10">
        <f t="shared" ca="1" si="6"/>
        <v>51</v>
      </c>
      <c r="M183" s="10" t="s">
        <v>120</v>
      </c>
      <c r="N183" s="10" t="s">
        <v>122</v>
      </c>
      <c r="O183" s="12" t="s">
        <v>142</v>
      </c>
      <c r="P183" s="21" t="s">
        <v>128</v>
      </c>
      <c r="Q183" s="10" t="s">
        <v>133</v>
      </c>
      <c r="R183" s="10" t="s">
        <v>2351</v>
      </c>
      <c r="S183" s="10" t="s">
        <v>801</v>
      </c>
      <c r="T183" s="10" t="s">
        <v>2353</v>
      </c>
      <c r="U183" s="10">
        <v>3013671362</v>
      </c>
      <c r="V183" s="10" t="s">
        <v>2354</v>
      </c>
      <c r="W183" s="10" t="s">
        <v>155</v>
      </c>
      <c r="X183" s="10" t="s">
        <v>255</v>
      </c>
      <c r="Y183" s="10">
        <v>3013671362</v>
      </c>
      <c r="Z183" s="10" t="s">
        <v>293</v>
      </c>
      <c r="AA183" s="13">
        <v>46198</v>
      </c>
      <c r="AB183" s="17" t="s">
        <v>148</v>
      </c>
      <c r="AC183" s="39"/>
      <c r="AD183" s="39"/>
      <c r="AE183" s="39"/>
      <c r="AF183" s="39"/>
    </row>
    <row r="184" spans="1:33" ht="15.75" customHeight="1" x14ac:dyDescent="0.25">
      <c r="A184" s="42" t="s">
        <v>77</v>
      </c>
      <c r="B184" s="10" t="s">
        <v>86</v>
      </c>
      <c r="C184" s="42" t="s">
        <v>91</v>
      </c>
      <c r="D184" s="42" t="s">
        <v>92</v>
      </c>
      <c r="E184" s="95">
        <v>8799233</v>
      </c>
      <c r="F184" s="23" t="s">
        <v>2355</v>
      </c>
      <c r="G184" s="12" t="s">
        <v>26</v>
      </c>
      <c r="H184" s="5"/>
      <c r="I184" s="13">
        <v>46191</v>
      </c>
      <c r="J184" s="42" t="s">
        <v>113</v>
      </c>
      <c r="K184" s="16">
        <v>29826</v>
      </c>
      <c r="L184" s="42">
        <f t="shared" ca="1" si="6"/>
        <v>44</v>
      </c>
      <c r="M184" s="10" t="s">
        <v>120</v>
      </c>
      <c r="N184" s="10" t="s">
        <v>122</v>
      </c>
      <c r="O184" s="10" t="s">
        <v>142</v>
      </c>
      <c r="P184" s="21" t="s">
        <v>128</v>
      </c>
      <c r="Q184" s="10" t="s">
        <v>133</v>
      </c>
      <c r="R184" s="10" t="s">
        <v>2356</v>
      </c>
      <c r="S184" s="10" t="s">
        <v>801</v>
      </c>
      <c r="T184" s="86" t="s">
        <v>2358</v>
      </c>
      <c r="U184" s="12">
        <v>3135820204</v>
      </c>
      <c r="V184" s="86" t="s">
        <v>2359</v>
      </c>
      <c r="W184" s="10" t="s">
        <v>471</v>
      </c>
      <c r="X184" s="10" t="s">
        <v>170</v>
      </c>
      <c r="Y184" s="12">
        <v>3135820204</v>
      </c>
      <c r="Z184" s="10" t="s">
        <v>293</v>
      </c>
      <c r="AA184" s="13">
        <v>46198</v>
      </c>
      <c r="AB184" s="17" t="s">
        <v>148</v>
      </c>
    </row>
    <row r="185" spans="1:33" x14ac:dyDescent="0.25">
      <c r="A185" s="10" t="s">
        <v>77</v>
      </c>
      <c r="B185" s="10" t="s">
        <v>86</v>
      </c>
      <c r="C185" s="10" t="s">
        <v>91</v>
      </c>
      <c r="D185" s="10" t="s">
        <v>92</v>
      </c>
      <c r="E185" s="12">
        <v>72197604</v>
      </c>
      <c r="F185" s="15" t="s">
        <v>2362</v>
      </c>
      <c r="G185" s="10" t="s">
        <v>26</v>
      </c>
      <c r="H185" s="10"/>
      <c r="I185" s="16">
        <v>46170</v>
      </c>
      <c r="J185" s="12" t="s">
        <v>113</v>
      </c>
      <c r="K185" s="53">
        <v>27029</v>
      </c>
      <c r="L185" s="10">
        <f t="shared" ca="1" si="6"/>
        <v>52</v>
      </c>
      <c r="M185" s="10" t="s">
        <v>120</v>
      </c>
      <c r="N185" s="10" t="s">
        <v>122</v>
      </c>
      <c r="O185" s="42" t="s">
        <v>124</v>
      </c>
      <c r="P185" s="21" t="s">
        <v>128</v>
      </c>
      <c r="Q185" s="10" t="s">
        <v>133</v>
      </c>
      <c r="R185" s="12" t="s">
        <v>2365</v>
      </c>
      <c r="S185" s="12" t="s">
        <v>136</v>
      </c>
      <c r="T185" s="12" t="s">
        <v>2317</v>
      </c>
      <c r="U185" s="12">
        <v>3118840199</v>
      </c>
      <c r="V185" s="12" t="s">
        <v>2366</v>
      </c>
      <c r="W185" s="12" t="s">
        <v>539</v>
      </c>
      <c r="X185" s="12" t="s">
        <v>1266</v>
      </c>
      <c r="Y185" s="12">
        <v>3118840199</v>
      </c>
      <c r="Z185" s="10" t="s">
        <v>293</v>
      </c>
      <c r="AA185" s="13">
        <v>46206</v>
      </c>
      <c r="AB185" s="17" t="s">
        <v>148</v>
      </c>
      <c r="AC185" s="107"/>
      <c r="AD185" s="76"/>
      <c r="AE185" s="76"/>
      <c r="AF185" s="76"/>
      <c r="AG185" s="76"/>
    </row>
    <row r="186" spans="1:33" ht="15.75" customHeight="1" x14ac:dyDescent="0.25">
      <c r="A186" s="10" t="s">
        <v>160</v>
      </c>
      <c r="B186" s="10" t="s">
        <v>86</v>
      </c>
      <c r="C186" s="10" t="s">
        <v>91</v>
      </c>
      <c r="D186" s="10" t="s">
        <v>92</v>
      </c>
      <c r="E186" s="10">
        <v>1048320268</v>
      </c>
      <c r="F186" s="51" t="s">
        <v>2371</v>
      </c>
      <c r="G186" s="10" t="s">
        <v>424</v>
      </c>
      <c r="H186" s="10" t="s">
        <v>2374</v>
      </c>
      <c r="I186" s="13">
        <v>45890</v>
      </c>
      <c r="J186" s="10" t="s">
        <v>113</v>
      </c>
      <c r="K186" s="13">
        <v>35159</v>
      </c>
      <c r="L186" s="10">
        <f t="shared" ca="1" si="6"/>
        <v>30</v>
      </c>
      <c r="M186" s="10" t="s">
        <v>120</v>
      </c>
      <c r="N186" s="10" t="s">
        <v>122</v>
      </c>
      <c r="O186" s="10" t="s">
        <v>142</v>
      </c>
      <c r="P186" s="21" t="s">
        <v>128</v>
      </c>
      <c r="Q186" s="10" t="s">
        <v>133</v>
      </c>
      <c r="R186" s="10" t="s">
        <v>2378</v>
      </c>
      <c r="S186" s="10" t="s">
        <v>136</v>
      </c>
      <c r="T186" s="10" t="s">
        <v>2382</v>
      </c>
      <c r="U186" s="10">
        <v>3003656714</v>
      </c>
      <c r="V186" s="10" t="s">
        <v>2384</v>
      </c>
      <c r="W186" s="10"/>
      <c r="X186" s="10"/>
      <c r="Y186" s="28"/>
      <c r="Z186" s="10"/>
      <c r="AA186" s="10" t="s">
        <v>2385</v>
      </c>
      <c r="AB186" s="17" t="s">
        <v>148</v>
      </c>
      <c r="AC186" s="29"/>
      <c r="AD186" s="29"/>
      <c r="AE186" s="29"/>
      <c r="AF186" s="29"/>
      <c r="AG186" s="29"/>
    </row>
    <row r="187" spans="1:33" ht="15.75" customHeight="1" x14ac:dyDescent="0.25">
      <c r="A187" s="10" t="s">
        <v>160</v>
      </c>
      <c r="B187" s="10" t="s">
        <v>86</v>
      </c>
      <c r="C187" s="10" t="s">
        <v>91</v>
      </c>
      <c r="D187" s="10" t="s">
        <v>92</v>
      </c>
      <c r="E187" s="12">
        <v>1045697704</v>
      </c>
      <c r="F187" s="25" t="s">
        <v>2389</v>
      </c>
      <c r="G187" s="10" t="s">
        <v>404</v>
      </c>
      <c r="H187" s="10" t="s">
        <v>2390</v>
      </c>
      <c r="I187" s="16">
        <v>45875</v>
      </c>
      <c r="J187" s="12" t="s">
        <v>113</v>
      </c>
      <c r="K187" s="16">
        <v>33365</v>
      </c>
      <c r="L187" s="10">
        <f t="shared" ca="1" si="6"/>
        <v>35</v>
      </c>
      <c r="M187" s="10" t="s">
        <v>320</v>
      </c>
      <c r="N187" s="10" t="s">
        <v>236</v>
      </c>
      <c r="O187" s="12" t="s">
        <v>142</v>
      </c>
      <c r="P187" s="21" t="s">
        <v>128</v>
      </c>
      <c r="Q187" s="10" t="s">
        <v>133</v>
      </c>
      <c r="R187" s="12" t="s">
        <v>2394</v>
      </c>
      <c r="S187" s="12" t="s">
        <v>507</v>
      </c>
      <c r="T187" s="12"/>
      <c r="U187" s="12">
        <v>3014852778</v>
      </c>
      <c r="V187" s="12"/>
      <c r="W187" s="12"/>
      <c r="X187" s="12"/>
      <c r="Y187" s="34"/>
      <c r="Z187" s="12"/>
      <c r="AA187" s="10" t="s">
        <v>2385</v>
      </c>
      <c r="AB187" s="17" t="s">
        <v>148</v>
      </c>
    </row>
    <row r="188" spans="1:33" ht="15.75" customHeight="1" x14ac:dyDescent="0.25">
      <c r="A188" s="10" t="s">
        <v>77</v>
      </c>
      <c r="B188" s="10" t="s">
        <v>86</v>
      </c>
      <c r="C188" s="10" t="s">
        <v>175</v>
      </c>
      <c r="D188" s="10" t="s">
        <v>92</v>
      </c>
      <c r="E188" s="10">
        <v>1143132119</v>
      </c>
      <c r="F188" s="25" t="s">
        <v>2012</v>
      </c>
      <c r="G188" s="10" t="s">
        <v>302</v>
      </c>
      <c r="H188" s="10" t="s">
        <v>2013</v>
      </c>
      <c r="I188" s="13">
        <v>46186</v>
      </c>
      <c r="J188" s="10" t="s">
        <v>113</v>
      </c>
      <c r="K188" s="36">
        <v>33598</v>
      </c>
      <c r="L188" s="10">
        <f t="shared" ca="1" si="6"/>
        <v>34</v>
      </c>
      <c r="M188" s="10" t="s">
        <v>120</v>
      </c>
      <c r="N188" s="10" t="s">
        <v>122</v>
      </c>
      <c r="O188" s="42" t="s">
        <v>124</v>
      </c>
      <c r="P188" s="21" t="s">
        <v>128</v>
      </c>
      <c r="Q188" s="10" t="s">
        <v>133</v>
      </c>
      <c r="R188" s="10" t="s">
        <v>2018</v>
      </c>
      <c r="S188" s="10" t="s">
        <v>136</v>
      </c>
      <c r="T188" s="10" t="s">
        <v>1729</v>
      </c>
      <c r="U188" s="10">
        <v>3244273863</v>
      </c>
      <c r="V188" s="10" t="s">
        <v>2019</v>
      </c>
      <c r="W188" s="10" t="s">
        <v>155</v>
      </c>
      <c r="X188" s="10" t="s">
        <v>170</v>
      </c>
      <c r="Y188" s="10">
        <v>3244273863</v>
      </c>
      <c r="Z188" s="10" t="s">
        <v>293</v>
      </c>
      <c r="AA188" s="16">
        <v>46228</v>
      </c>
      <c r="AB188" s="17" t="s">
        <v>148</v>
      </c>
      <c r="AC188" s="29"/>
      <c r="AD188" s="29"/>
      <c r="AE188" s="29"/>
      <c r="AF188" s="29"/>
    </row>
    <row r="189" spans="1:33" ht="15.75" customHeight="1" x14ac:dyDescent="0.25">
      <c r="A189" s="10" t="s">
        <v>77</v>
      </c>
      <c r="B189" s="10" t="s">
        <v>86</v>
      </c>
      <c r="C189" s="10" t="s">
        <v>175</v>
      </c>
      <c r="D189" s="10" t="s">
        <v>92</v>
      </c>
      <c r="E189" s="12">
        <v>1007254521</v>
      </c>
      <c r="F189" s="50" t="s">
        <v>2401</v>
      </c>
      <c r="G189" s="10" t="s">
        <v>302</v>
      </c>
      <c r="H189" s="10" t="s">
        <v>1271</v>
      </c>
      <c r="I189" s="16">
        <v>46043</v>
      </c>
      <c r="J189" s="12" t="s">
        <v>113</v>
      </c>
      <c r="K189" s="16">
        <v>37188</v>
      </c>
      <c r="L189" s="10">
        <f t="shared" ca="1" si="6"/>
        <v>24</v>
      </c>
      <c r="M189" s="10" t="s">
        <v>120</v>
      </c>
      <c r="N189" s="10" t="s">
        <v>236</v>
      </c>
      <c r="O189" s="101" t="s">
        <v>142</v>
      </c>
      <c r="P189" s="42" t="s">
        <v>128</v>
      </c>
      <c r="Q189" s="10" t="s">
        <v>133</v>
      </c>
      <c r="R189" s="12" t="s">
        <v>2406</v>
      </c>
      <c r="S189" s="12" t="s">
        <v>151</v>
      </c>
      <c r="T189" s="12" t="s">
        <v>2407</v>
      </c>
      <c r="U189" s="12">
        <v>3052593660</v>
      </c>
      <c r="V189" s="12" t="s">
        <v>2408</v>
      </c>
      <c r="W189" s="12" t="s">
        <v>155</v>
      </c>
      <c r="X189" s="12" t="s">
        <v>170</v>
      </c>
      <c r="Y189" s="34" t="s">
        <v>2410</v>
      </c>
      <c r="Z189" s="12" t="s">
        <v>293</v>
      </c>
      <c r="AA189" s="13">
        <v>46233</v>
      </c>
      <c r="AB189" s="10" t="s">
        <v>440</v>
      </c>
      <c r="AC189" s="29"/>
      <c r="AD189" s="29"/>
      <c r="AE189" s="29"/>
      <c r="AF189" s="29"/>
      <c r="AG189" s="29"/>
    </row>
    <row r="190" spans="1:33" ht="15.75" customHeight="1" x14ac:dyDescent="0.25">
      <c r="A190" s="42" t="s">
        <v>77</v>
      </c>
      <c r="B190" s="10" t="s">
        <v>86</v>
      </c>
      <c r="C190" s="10" t="s">
        <v>175</v>
      </c>
      <c r="D190" s="42" t="s">
        <v>92</v>
      </c>
      <c r="E190" s="10">
        <v>1047218997</v>
      </c>
      <c r="F190" s="51" t="s">
        <v>2411</v>
      </c>
      <c r="G190" s="10" t="s">
        <v>302</v>
      </c>
      <c r="H190" s="10"/>
      <c r="I190" s="13">
        <v>46000</v>
      </c>
      <c r="J190" s="42" t="s">
        <v>113</v>
      </c>
      <c r="K190" s="13">
        <v>36657</v>
      </c>
      <c r="L190" s="42">
        <f t="shared" ca="1" si="6"/>
        <v>26</v>
      </c>
      <c r="M190" s="10" t="s">
        <v>120</v>
      </c>
      <c r="N190" s="10" t="s">
        <v>122</v>
      </c>
      <c r="O190" s="10" t="s">
        <v>142</v>
      </c>
      <c r="P190" s="21" t="s">
        <v>128</v>
      </c>
      <c r="Q190" s="10" t="s">
        <v>133</v>
      </c>
      <c r="R190" s="10" t="s">
        <v>2418</v>
      </c>
      <c r="S190" s="10" t="s">
        <v>414</v>
      </c>
      <c r="T190" s="10" t="s">
        <v>2419</v>
      </c>
      <c r="U190" s="10">
        <v>3011337992</v>
      </c>
      <c r="V190" s="10"/>
      <c r="W190" s="10" t="s">
        <v>155</v>
      </c>
      <c r="X190" s="10" t="s">
        <v>170</v>
      </c>
      <c r="Y190" s="10">
        <v>77023378615</v>
      </c>
      <c r="Z190" s="10" t="s">
        <v>159</v>
      </c>
      <c r="AA190" s="13">
        <v>46232</v>
      </c>
      <c r="AB190" s="17" t="s">
        <v>148</v>
      </c>
      <c r="AC190" s="29"/>
      <c r="AD190" s="29"/>
      <c r="AE190" s="29"/>
      <c r="AF190" s="29"/>
      <c r="AG190" s="29"/>
    </row>
    <row r="191" spans="1:33" ht="15.75" customHeight="1" x14ac:dyDescent="0.25">
      <c r="A191" s="10" t="s">
        <v>77</v>
      </c>
      <c r="B191" s="10" t="s">
        <v>86</v>
      </c>
      <c r="C191" s="10" t="s">
        <v>175</v>
      </c>
      <c r="D191" s="10" t="s">
        <v>92</v>
      </c>
      <c r="E191" s="10">
        <v>72096516</v>
      </c>
      <c r="F191" s="25" t="s">
        <v>2427</v>
      </c>
      <c r="G191" s="10" t="s">
        <v>32</v>
      </c>
      <c r="H191" s="10"/>
      <c r="I191" s="13">
        <v>46186</v>
      </c>
      <c r="J191" s="10" t="s">
        <v>113</v>
      </c>
      <c r="K191" s="36">
        <v>25971</v>
      </c>
      <c r="L191" s="10">
        <f t="shared" ca="1" si="6"/>
        <v>55</v>
      </c>
      <c r="M191" s="10" t="s">
        <v>120</v>
      </c>
      <c r="N191" s="10" t="s">
        <v>236</v>
      </c>
      <c r="O191" s="42" t="s">
        <v>142</v>
      </c>
      <c r="P191" s="21" t="s">
        <v>128</v>
      </c>
      <c r="Q191" s="10" t="s">
        <v>133</v>
      </c>
      <c r="R191" s="10" t="s">
        <v>2431</v>
      </c>
      <c r="S191" s="10" t="s">
        <v>776</v>
      </c>
      <c r="T191" s="10" t="s">
        <v>2284</v>
      </c>
      <c r="U191" s="10">
        <v>3015318799</v>
      </c>
      <c r="V191" s="10" t="s">
        <v>2433</v>
      </c>
      <c r="W191" s="10" t="s">
        <v>1543</v>
      </c>
      <c r="X191" s="10" t="s">
        <v>288</v>
      </c>
      <c r="Y191" s="10">
        <v>3015318799</v>
      </c>
      <c r="Z191" s="10" t="s">
        <v>293</v>
      </c>
      <c r="AA191" s="16">
        <v>46234</v>
      </c>
      <c r="AB191" s="17" t="s">
        <v>148</v>
      </c>
      <c r="AC191" s="29"/>
      <c r="AD191" s="29"/>
      <c r="AE191" s="29"/>
      <c r="AF191" s="29"/>
    </row>
    <row r="192" spans="1:33" ht="15.75" customHeight="1" x14ac:dyDescent="0.25">
      <c r="A192" s="42" t="s">
        <v>77</v>
      </c>
      <c r="B192" s="10" t="s">
        <v>86</v>
      </c>
      <c r="C192" s="42" t="s">
        <v>91</v>
      </c>
      <c r="D192" s="42" t="s">
        <v>92</v>
      </c>
      <c r="E192" s="95">
        <v>1005325026</v>
      </c>
      <c r="F192" s="23" t="s">
        <v>2437</v>
      </c>
      <c r="G192" s="12" t="s">
        <v>26</v>
      </c>
      <c r="H192" s="5"/>
      <c r="I192" s="13">
        <v>46196</v>
      </c>
      <c r="J192" s="42" t="s">
        <v>113</v>
      </c>
      <c r="K192" s="16">
        <v>36983</v>
      </c>
      <c r="L192" s="42">
        <f t="shared" ca="1" si="6"/>
        <v>25</v>
      </c>
      <c r="M192" s="10" t="s">
        <v>120</v>
      </c>
      <c r="N192" s="10" t="s">
        <v>122</v>
      </c>
      <c r="O192" s="10" t="s">
        <v>142</v>
      </c>
      <c r="P192" s="10" t="s">
        <v>128</v>
      </c>
      <c r="Q192" s="10" t="s">
        <v>133</v>
      </c>
      <c r="R192" s="10" t="s">
        <v>2441</v>
      </c>
      <c r="S192" s="10" t="s">
        <v>136</v>
      </c>
      <c r="T192" s="86" t="s">
        <v>2442</v>
      </c>
      <c r="U192" s="86">
        <v>3136569490</v>
      </c>
      <c r="V192" s="86" t="s">
        <v>2443</v>
      </c>
      <c r="W192" s="10" t="s">
        <v>1543</v>
      </c>
      <c r="X192" s="10" t="s">
        <v>1997</v>
      </c>
      <c r="Y192" s="86">
        <v>29294765440</v>
      </c>
      <c r="Z192" s="10" t="s">
        <v>159</v>
      </c>
      <c r="AA192" s="16">
        <v>46235</v>
      </c>
      <c r="AB192" s="17" t="s">
        <v>148</v>
      </c>
    </row>
    <row r="193" spans="1:33" ht="15.75" customHeight="1" x14ac:dyDescent="0.25">
      <c r="A193" s="10" t="s">
        <v>77</v>
      </c>
      <c r="B193" s="10" t="s">
        <v>86</v>
      </c>
      <c r="C193" s="10" t="s">
        <v>175</v>
      </c>
      <c r="D193" s="10" t="s">
        <v>92</v>
      </c>
      <c r="E193" s="12">
        <v>1048330530</v>
      </c>
      <c r="F193" s="25" t="s">
        <v>1775</v>
      </c>
      <c r="G193" s="10" t="s">
        <v>302</v>
      </c>
      <c r="H193" s="12" t="s">
        <v>1790</v>
      </c>
      <c r="I193" s="13">
        <v>46064</v>
      </c>
      <c r="J193" s="12" t="s">
        <v>113</v>
      </c>
      <c r="K193" s="16">
        <v>36427</v>
      </c>
      <c r="L193" s="10">
        <f t="shared" ca="1" si="6"/>
        <v>26</v>
      </c>
      <c r="M193" s="10" t="s">
        <v>120</v>
      </c>
      <c r="N193" s="10" t="s">
        <v>236</v>
      </c>
      <c r="O193" s="42" t="s">
        <v>124</v>
      </c>
      <c r="P193" s="42" t="s">
        <v>128</v>
      </c>
      <c r="Q193" s="10" t="s">
        <v>133</v>
      </c>
      <c r="R193" s="12" t="s">
        <v>2453</v>
      </c>
      <c r="S193" s="12" t="s">
        <v>1718</v>
      </c>
      <c r="T193" s="12" t="s">
        <v>801</v>
      </c>
      <c r="U193" s="12">
        <v>324635665</v>
      </c>
      <c r="V193" s="12" t="s">
        <v>2454</v>
      </c>
      <c r="W193" s="12" t="s">
        <v>539</v>
      </c>
      <c r="X193" s="12" t="s">
        <v>170</v>
      </c>
      <c r="Y193" s="34" t="s">
        <v>2455</v>
      </c>
      <c r="Z193" s="12" t="s">
        <v>377</v>
      </c>
      <c r="AA193" s="16">
        <v>46235</v>
      </c>
      <c r="AB193" s="17" t="s">
        <v>148</v>
      </c>
      <c r="AC193" s="32"/>
      <c r="AD193" s="32"/>
      <c r="AE193" s="32"/>
      <c r="AF193" s="32"/>
      <c r="AG193" s="32"/>
    </row>
    <row r="194" spans="1:33" ht="15.75" customHeight="1" x14ac:dyDescent="0.25">
      <c r="A194" s="10" t="s">
        <v>77</v>
      </c>
      <c r="B194" s="10" t="s">
        <v>86</v>
      </c>
      <c r="C194" s="10" t="s">
        <v>91</v>
      </c>
      <c r="D194" s="10" t="s">
        <v>92</v>
      </c>
      <c r="E194" s="10">
        <v>72216358</v>
      </c>
      <c r="F194" s="51" t="s">
        <v>2461</v>
      </c>
      <c r="G194" s="12" t="s">
        <v>26</v>
      </c>
      <c r="H194" s="10"/>
      <c r="I194" s="13">
        <v>46234</v>
      </c>
      <c r="J194" s="10" t="s">
        <v>113</v>
      </c>
      <c r="K194" s="13">
        <v>27560</v>
      </c>
      <c r="L194" s="10">
        <f t="shared" ca="1" si="6"/>
        <v>51</v>
      </c>
      <c r="M194" s="10" t="s">
        <v>120</v>
      </c>
      <c r="N194" s="10" t="s">
        <v>122</v>
      </c>
      <c r="O194" s="105" t="s">
        <v>142</v>
      </c>
      <c r="P194" s="42" t="s">
        <v>128</v>
      </c>
      <c r="Q194" s="102" t="s">
        <v>133</v>
      </c>
      <c r="R194" s="10" t="s">
        <v>2468</v>
      </c>
      <c r="S194" s="10" t="s">
        <v>136</v>
      </c>
      <c r="T194" s="10"/>
      <c r="U194" s="10">
        <v>3502281748</v>
      </c>
      <c r="V194" s="10" t="s">
        <v>2469</v>
      </c>
      <c r="W194" s="10" t="s">
        <v>1312</v>
      </c>
      <c r="X194" s="10" t="s">
        <v>288</v>
      </c>
      <c r="Y194" s="10" t="s">
        <v>2471</v>
      </c>
      <c r="Z194" s="10" t="s">
        <v>2472</v>
      </c>
      <c r="AA194" s="13">
        <v>46239</v>
      </c>
      <c r="AB194" s="17" t="s">
        <v>148</v>
      </c>
    </row>
    <row r="195" spans="1:33" ht="15.75" customHeight="1" x14ac:dyDescent="0.25">
      <c r="A195" s="10" t="s">
        <v>77</v>
      </c>
      <c r="B195" s="10" t="s">
        <v>86</v>
      </c>
      <c r="C195" s="10" t="s">
        <v>175</v>
      </c>
      <c r="D195" s="10" t="s">
        <v>92</v>
      </c>
      <c r="E195" s="10">
        <v>1193209934</v>
      </c>
      <c r="F195" s="51" t="s">
        <v>2473</v>
      </c>
      <c r="G195" s="10" t="s">
        <v>26</v>
      </c>
      <c r="H195" s="10" t="s">
        <v>2474</v>
      </c>
      <c r="I195" s="13">
        <v>45855</v>
      </c>
      <c r="J195" s="10" t="s">
        <v>113</v>
      </c>
      <c r="K195" s="13">
        <v>36394</v>
      </c>
      <c r="L195" s="10">
        <f t="shared" ca="1" si="6"/>
        <v>27</v>
      </c>
      <c r="M195" s="10" t="s">
        <v>120</v>
      </c>
      <c r="N195" s="10" t="s">
        <v>236</v>
      </c>
      <c r="O195" s="10" t="s">
        <v>142</v>
      </c>
      <c r="P195" s="21" t="s">
        <v>128</v>
      </c>
      <c r="Q195" s="10" t="s">
        <v>133</v>
      </c>
      <c r="R195" s="10" t="s">
        <v>893</v>
      </c>
      <c r="S195" s="10" t="s">
        <v>136</v>
      </c>
      <c r="T195" s="10"/>
      <c r="U195" s="10">
        <v>3003366741</v>
      </c>
      <c r="V195" s="10" t="s">
        <v>2476</v>
      </c>
      <c r="W195" s="10"/>
      <c r="X195" s="10"/>
      <c r="Y195" s="28" t="s">
        <v>2477</v>
      </c>
      <c r="Z195" s="10" t="s">
        <v>159</v>
      </c>
      <c r="AA195" s="16">
        <v>46235</v>
      </c>
      <c r="AB195" s="17" t="s">
        <v>148</v>
      </c>
      <c r="AC195" s="32"/>
      <c r="AD195" s="32"/>
      <c r="AE195" s="32"/>
      <c r="AF195" s="32"/>
      <c r="AG195" s="32"/>
    </row>
    <row r="196" spans="1:33" ht="15.75" customHeight="1" x14ac:dyDescent="0.25">
      <c r="A196" s="42" t="s">
        <v>160</v>
      </c>
      <c r="B196" s="10" t="s">
        <v>86</v>
      </c>
      <c r="C196" s="10" t="s">
        <v>91</v>
      </c>
      <c r="D196" s="42" t="s">
        <v>92</v>
      </c>
      <c r="E196" s="42">
        <v>1005571166</v>
      </c>
      <c r="F196" s="51" t="s">
        <v>2478</v>
      </c>
      <c r="G196" s="42" t="s">
        <v>2480</v>
      </c>
      <c r="H196" s="42"/>
      <c r="I196" s="89">
        <v>45979</v>
      </c>
      <c r="J196" s="42" t="s">
        <v>113</v>
      </c>
      <c r="K196" s="89">
        <v>37112</v>
      </c>
      <c r="L196" s="42">
        <f t="shared" ca="1" si="6"/>
        <v>25</v>
      </c>
      <c r="M196" s="42" t="s">
        <v>120</v>
      </c>
      <c r="N196" s="42" t="s">
        <v>236</v>
      </c>
      <c r="O196" s="42" t="s">
        <v>124</v>
      </c>
      <c r="P196" s="21" t="s">
        <v>128</v>
      </c>
      <c r="Q196" s="10" t="s">
        <v>133</v>
      </c>
      <c r="R196" s="42" t="s">
        <v>2482</v>
      </c>
      <c r="S196" s="42" t="s">
        <v>136</v>
      </c>
      <c r="T196" s="42" t="s">
        <v>2483</v>
      </c>
      <c r="U196" s="42">
        <v>3045773818</v>
      </c>
      <c r="V196" s="42" t="s">
        <v>2484</v>
      </c>
      <c r="W196" s="42"/>
      <c r="X196" s="42" t="s">
        <v>966</v>
      </c>
      <c r="Y196" s="42">
        <v>488457310719</v>
      </c>
      <c r="Z196" s="42" t="s">
        <v>377</v>
      </c>
      <c r="AA196" s="89">
        <v>46234</v>
      </c>
      <c r="AB196" s="17" t="s">
        <v>148</v>
      </c>
      <c r="AC196" s="80"/>
      <c r="AD196" s="80"/>
      <c r="AE196" s="80"/>
      <c r="AF196" s="80"/>
      <c r="AG196" s="80"/>
    </row>
    <row r="197" spans="1:33" ht="15.75" customHeight="1" x14ac:dyDescent="0.25">
      <c r="A197" s="10" t="s">
        <v>77</v>
      </c>
      <c r="B197" s="10" t="s">
        <v>86</v>
      </c>
      <c r="C197" s="10" t="s">
        <v>91</v>
      </c>
      <c r="D197" s="10" t="s">
        <v>92</v>
      </c>
      <c r="E197" s="10">
        <v>8731986</v>
      </c>
      <c r="F197" s="25" t="s">
        <v>2485</v>
      </c>
      <c r="G197" s="10" t="s">
        <v>32</v>
      </c>
      <c r="H197" s="10"/>
      <c r="I197" s="13">
        <v>46190</v>
      </c>
      <c r="J197" s="10" t="s">
        <v>113</v>
      </c>
      <c r="K197" s="13">
        <v>23171</v>
      </c>
      <c r="L197" s="10">
        <f t="shared" ca="1" si="6"/>
        <v>63</v>
      </c>
      <c r="M197" s="10" t="s">
        <v>120</v>
      </c>
      <c r="N197" s="10" t="s">
        <v>122</v>
      </c>
      <c r="O197" s="12" t="s">
        <v>142</v>
      </c>
      <c r="P197" s="21" t="s">
        <v>128</v>
      </c>
      <c r="Q197" s="10" t="s">
        <v>133</v>
      </c>
      <c r="R197" s="10" t="s">
        <v>2487</v>
      </c>
      <c r="S197" s="10" t="s">
        <v>151</v>
      </c>
      <c r="T197" s="10" t="s">
        <v>1296</v>
      </c>
      <c r="U197" s="10">
        <v>3019024283</v>
      </c>
      <c r="V197" s="10" t="s">
        <v>2490</v>
      </c>
      <c r="W197" s="10" t="s">
        <v>539</v>
      </c>
      <c r="X197" s="10" t="s">
        <v>1266</v>
      </c>
      <c r="Y197" s="10">
        <v>3019024283</v>
      </c>
      <c r="Z197" s="10" t="s">
        <v>377</v>
      </c>
      <c r="AA197" s="13">
        <v>46242</v>
      </c>
      <c r="AB197" s="17" t="s">
        <v>148</v>
      </c>
      <c r="AC197" s="39"/>
      <c r="AD197" s="39"/>
      <c r="AE197" s="39"/>
      <c r="AF197" s="39"/>
    </row>
    <row r="198" spans="1:33" ht="15.75" customHeight="1" x14ac:dyDescent="0.25">
      <c r="A198" s="10" t="s">
        <v>77</v>
      </c>
      <c r="B198" s="10" t="s">
        <v>86</v>
      </c>
      <c r="C198" s="10" t="s">
        <v>175</v>
      </c>
      <c r="D198" s="10" t="s">
        <v>92</v>
      </c>
      <c r="E198" s="10">
        <v>1193375189</v>
      </c>
      <c r="F198" s="25" t="s">
        <v>575</v>
      </c>
      <c r="G198" s="10" t="s">
        <v>302</v>
      </c>
      <c r="H198" s="10" t="s">
        <v>1913</v>
      </c>
      <c r="I198" s="13">
        <v>45831</v>
      </c>
      <c r="J198" s="10" t="s">
        <v>113</v>
      </c>
      <c r="K198" s="13">
        <v>36711</v>
      </c>
      <c r="L198" s="10">
        <f t="shared" ca="1" si="6"/>
        <v>26</v>
      </c>
      <c r="M198" s="10" t="s">
        <v>120</v>
      </c>
      <c r="N198" s="10" t="s">
        <v>122</v>
      </c>
      <c r="O198" s="10" t="s">
        <v>210</v>
      </c>
      <c r="P198" s="21" t="s">
        <v>128</v>
      </c>
      <c r="Q198" s="10" t="s">
        <v>133</v>
      </c>
      <c r="R198" s="10" t="s">
        <v>1916</v>
      </c>
      <c r="S198" s="10" t="s">
        <v>136</v>
      </c>
      <c r="T198" s="10"/>
      <c r="U198" s="10">
        <v>3245576185</v>
      </c>
      <c r="V198" s="10" t="s">
        <v>1918</v>
      </c>
      <c r="W198" s="10" t="s">
        <v>169</v>
      </c>
      <c r="X198" s="10" t="s">
        <v>170</v>
      </c>
      <c r="Y198" s="28" t="s">
        <v>2494</v>
      </c>
      <c r="Z198" s="10" t="s">
        <v>159</v>
      </c>
      <c r="AA198" s="13">
        <v>46248</v>
      </c>
      <c r="AB198" s="10" t="s">
        <v>440</v>
      </c>
      <c r="AC198" s="39"/>
      <c r="AD198" s="39"/>
      <c r="AE198" s="39"/>
      <c r="AF198" s="39"/>
      <c r="AG198" s="39"/>
    </row>
    <row r="199" spans="1:33" ht="15.75" customHeight="1" x14ac:dyDescent="0.25">
      <c r="A199" s="10" t="s">
        <v>77</v>
      </c>
      <c r="B199" s="10" t="s">
        <v>86</v>
      </c>
      <c r="C199" s="10" t="s">
        <v>175</v>
      </c>
      <c r="D199" s="10" t="s">
        <v>92</v>
      </c>
      <c r="E199" s="12">
        <v>1007119145</v>
      </c>
      <c r="F199" s="15" t="s">
        <v>2495</v>
      </c>
      <c r="G199" s="10" t="s">
        <v>26</v>
      </c>
      <c r="H199" s="10" t="s">
        <v>1271</v>
      </c>
      <c r="I199" s="16">
        <v>46050</v>
      </c>
      <c r="J199" s="12" t="s">
        <v>113</v>
      </c>
      <c r="K199" s="16">
        <v>34914</v>
      </c>
      <c r="L199" s="10">
        <f t="shared" ca="1" si="6"/>
        <v>31</v>
      </c>
      <c r="M199" s="10" t="s">
        <v>120</v>
      </c>
      <c r="N199" s="10" t="s">
        <v>122</v>
      </c>
      <c r="O199" s="12" t="s">
        <v>142</v>
      </c>
      <c r="P199" s="42" t="s">
        <v>128</v>
      </c>
      <c r="Q199" s="10" t="s">
        <v>133</v>
      </c>
      <c r="R199" s="12" t="s">
        <v>2496</v>
      </c>
      <c r="S199" s="12" t="s">
        <v>136</v>
      </c>
      <c r="T199" s="12" t="s">
        <v>1799</v>
      </c>
      <c r="U199" s="12">
        <v>3016224234</v>
      </c>
      <c r="V199" s="12" t="s">
        <v>2497</v>
      </c>
      <c r="W199" s="12" t="s">
        <v>215</v>
      </c>
      <c r="X199" s="12" t="s">
        <v>170</v>
      </c>
      <c r="Y199" s="122" t="s">
        <v>2499</v>
      </c>
      <c r="Z199" s="10" t="s">
        <v>377</v>
      </c>
      <c r="AA199" s="13">
        <v>46247</v>
      </c>
      <c r="AB199" s="17" t="s">
        <v>148</v>
      </c>
      <c r="AC199" s="29"/>
      <c r="AD199" s="29"/>
      <c r="AE199" s="29"/>
      <c r="AF199" s="29"/>
      <c r="AG199" s="29"/>
    </row>
    <row r="200" spans="1:33" ht="15.75" customHeight="1" x14ac:dyDescent="0.25">
      <c r="A200" s="10" t="s">
        <v>77</v>
      </c>
      <c r="B200" s="10" t="s">
        <v>86</v>
      </c>
      <c r="C200" s="10" t="s">
        <v>175</v>
      </c>
      <c r="D200" s="10" t="s">
        <v>92</v>
      </c>
      <c r="E200" s="12">
        <v>72001772</v>
      </c>
      <c r="F200" s="25" t="s">
        <v>2502</v>
      </c>
      <c r="G200" s="10" t="s">
        <v>26</v>
      </c>
      <c r="H200" s="12" t="s">
        <v>2503</v>
      </c>
      <c r="I200" s="16">
        <v>45869</v>
      </c>
      <c r="J200" s="12" t="s">
        <v>113</v>
      </c>
      <c r="K200" s="53">
        <v>28454</v>
      </c>
      <c r="L200" s="10">
        <f t="shared" ca="1" si="6"/>
        <v>48</v>
      </c>
      <c r="M200" s="12" t="s">
        <v>120</v>
      </c>
      <c r="N200" s="10" t="s">
        <v>122</v>
      </c>
      <c r="O200" s="12" t="s">
        <v>142</v>
      </c>
      <c r="P200" s="21" t="s">
        <v>128</v>
      </c>
      <c r="Q200" s="10" t="s">
        <v>133</v>
      </c>
      <c r="R200" s="12"/>
      <c r="S200" s="12"/>
      <c r="T200" s="12"/>
      <c r="U200" s="12"/>
      <c r="V200" s="12"/>
      <c r="W200" s="12"/>
      <c r="X200" s="12"/>
      <c r="Y200" s="34" t="s">
        <v>2504</v>
      </c>
      <c r="Z200" s="12" t="s">
        <v>159</v>
      </c>
      <c r="AA200" s="13">
        <v>46248</v>
      </c>
      <c r="AB200" s="17" t="s">
        <v>148</v>
      </c>
      <c r="AC200" s="29"/>
      <c r="AD200" s="29"/>
      <c r="AE200" s="29"/>
      <c r="AF200" s="29"/>
      <c r="AG200" s="29"/>
    </row>
    <row r="201" spans="1:33" ht="15.75" customHeight="1" x14ac:dyDescent="0.25">
      <c r="A201" s="10" t="s">
        <v>77</v>
      </c>
      <c r="B201" s="10" t="s">
        <v>86</v>
      </c>
      <c r="C201" s="10" t="s">
        <v>91</v>
      </c>
      <c r="D201" s="10" t="s">
        <v>92</v>
      </c>
      <c r="E201" s="10">
        <v>72429656</v>
      </c>
      <c r="F201" s="51" t="s">
        <v>2505</v>
      </c>
      <c r="G201" s="12" t="s">
        <v>26</v>
      </c>
      <c r="H201" s="10"/>
      <c r="I201" s="13">
        <v>46245</v>
      </c>
      <c r="J201" s="10" t="s">
        <v>113</v>
      </c>
      <c r="K201" s="13">
        <v>30170</v>
      </c>
      <c r="L201" s="10">
        <f t="shared" ca="1" si="6"/>
        <v>44</v>
      </c>
      <c r="M201" s="10" t="s">
        <v>120</v>
      </c>
      <c r="N201" s="10" t="s">
        <v>277</v>
      </c>
      <c r="O201" s="10" t="s">
        <v>124</v>
      </c>
      <c r="P201" s="103" t="s">
        <v>128</v>
      </c>
      <c r="Q201" s="10" t="s">
        <v>133</v>
      </c>
      <c r="R201" s="10" t="s">
        <v>2506</v>
      </c>
      <c r="S201" s="10" t="s">
        <v>136</v>
      </c>
      <c r="T201" s="10" t="s">
        <v>2507</v>
      </c>
      <c r="U201" s="10">
        <v>3044422353</v>
      </c>
      <c r="V201" s="10" t="s">
        <v>2508</v>
      </c>
      <c r="W201" s="10" t="s">
        <v>215</v>
      </c>
      <c r="X201" s="10" t="s">
        <v>170</v>
      </c>
      <c r="Y201" s="10">
        <v>3044422353</v>
      </c>
      <c r="Z201" s="10" t="s">
        <v>293</v>
      </c>
      <c r="AA201" s="13">
        <v>46249</v>
      </c>
      <c r="AB201" s="17" t="s">
        <v>148</v>
      </c>
    </row>
    <row r="202" spans="1:33" ht="15.75" customHeight="1" x14ac:dyDescent="0.25">
      <c r="A202" s="10" t="s">
        <v>77</v>
      </c>
      <c r="B202" s="10" t="s">
        <v>86</v>
      </c>
      <c r="C202" s="10" t="s">
        <v>91</v>
      </c>
      <c r="D202" s="10" t="s">
        <v>92</v>
      </c>
      <c r="E202" s="10">
        <v>1048292677</v>
      </c>
      <c r="F202" s="51" t="s">
        <v>2509</v>
      </c>
      <c r="G202" s="12" t="s">
        <v>26</v>
      </c>
      <c r="H202" s="10"/>
      <c r="I202" s="13">
        <v>46248</v>
      </c>
      <c r="J202" s="10" t="s">
        <v>113</v>
      </c>
      <c r="K202" s="13">
        <v>34193</v>
      </c>
      <c r="L202" s="10">
        <f t="shared" ca="1" si="6"/>
        <v>33</v>
      </c>
      <c r="M202" s="10" t="s">
        <v>120</v>
      </c>
      <c r="N202" s="10" t="s">
        <v>236</v>
      </c>
      <c r="O202" s="10" t="s">
        <v>142</v>
      </c>
      <c r="P202" s="103" t="s">
        <v>128</v>
      </c>
      <c r="Q202" s="10" t="s">
        <v>133</v>
      </c>
      <c r="R202" s="10" t="s">
        <v>2511</v>
      </c>
      <c r="S202" s="10" t="s">
        <v>507</v>
      </c>
      <c r="T202" s="10" t="s">
        <v>2512</v>
      </c>
      <c r="U202" s="10">
        <v>3014611030</v>
      </c>
      <c r="V202" s="10" t="s">
        <v>2513</v>
      </c>
      <c r="W202" s="10" t="s">
        <v>155</v>
      </c>
      <c r="X202" s="10" t="s">
        <v>966</v>
      </c>
      <c r="Y202" s="10">
        <v>3014611030</v>
      </c>
      <c r="Z202" s="10" t="s">
        <v>393</v>
      </c>
      <c r="AA202" s="13">
        <v>46254</v>
      </c>
      <c r="AB202" s="17" t="s">
        <v>440</v>
      </c>
    </row>
    <row r="203" spans="1:33" ht="15.75" customHeight="1" x14ac:dyDescent="0.25">
      <c r="A203" s="10" t="s">
        <v>77</v>
      </c>
      <c r="B203" s="10" t="s">
        <v>86</v>
      </c>
      <c r="C203" s="10" t="s">
        <v>175</v>
      </c>
      <c r="D203" s="10" t="s">
        <v>92</v>
      </c>
      <c r="E203" s="10">
        <v>1043875519</v>
      </c>
      <c r="F203" s="25" t="s">
        <v>144</v>
      </c>
      <c r="G203" s="10" t="s">
        <v>302</v>
      </c>
      <c r="H203" s="10" t="s">
        <v>2514</v>
      </c>
      <c r="I203" s="13">
        <v>45831</v>
      </c>
      <c r="J203" s="10" t="s">
        <v>113</v>
      </c>
      <c r="K203" s="13">
        <v>33971</v>
      </c>
      <c r="L203" s="10">
        <f t="shared" ca="1" si="6"/>
        <v>33</v>
      </c>
      <c r="M203" s="10" t="s">
        <v>120</v>
      </c>
      <c r="N203" s="10" t="s">
        <v>122</v>
      </c>
      <c r="O203" s="10" t="s">
        <v>142</v>
      </c>
      <c r="P203" s="21" t="s">
        <v>128</v>
      </c>
      <c r="Q203" s="10" t="s">
        <v>133</v>
      </c>
      <c r="R203" s="10" t="s">
        <v>2517</v>
      </c>
      <c r="S203" s="10" t="s">
        <v>136</v>
      </c>
      <c r="T203" s="10"/>
      <c r="U203" s="10">
        <v>3104640060</v>
      </c>
      <c r="V203" s="10" t="s">
        <v>2518</v>
      </c>
      <c r="W203" s="10" t="s">
        <v>203</v>
      </c>
      <c r="X203" s="10" t="s">
        <v>170</v>
      </c>
      <c r="Y203" s="28" t="s">
        <v>2519</v>
      </c>
      <c r="Z203" s="10" t="s">
        <v>159</v>
      </c>
      <c r="AA203" s="16">
        <v>46255</v>
      </c>
      <c r="AB203" s="17" t="s">
        <v>440</v>
      </c>
      <c r="AC203" s="32"/>
      <c r="AD203" s="32"/>
      <c r="AE203" s="32"/>
      <c r="AF203" s="32"/>
      <c r="AG203" s="32"/>
    </row>
    <row r="204" spans="1:33" ht="15.75" customHeight="1" x14ac:dyDescent="0.25">
      <c r="A204" s="10" t="s">
        <v>77</v>
      </c>
      <c r="B204" s="10" t="s">
        <v>86</v>
      </c>
      <c r="C204" s="10" t="s">
        <v>175</v>
      </c>
      <c r="D204" s="10" t="s">
        <v>92</v>
      </c>
      <c r="E204" s="10">
        <v>6128973</v>
      </c>
      <c r="F204" s="25" t="s">
        <v>2521</v>
      </c>
      <c r="G204" s="10" t="s">
        <v>11</v>
      </c>
      <c r="H204" s="10" t="s">
        <v>2522</v>
      </c>
      <c r="I204" s="13">
        <v>45847</v>
      </c>
      <c r="J204" s="10" t="s">
        <v>113</v>
      </c>
      <c r="K204" s="13">
        <v>37640</v>
      </c>
      <c r="L204" s="10">
        <f t="shared" ca="1" si="6"/>
        <v>23</v>
      </c>
      <c r="M204" s="10" t="s">
        <v>120</v>
      </c>
      <c r="N204" s="10" t="s">
        <v>236</v>
      </c>
      <c r="O204" s="42" t="s">
        <v>142</v>
      </c>
      <c r="P204" s="21" t="s">
        <v>128</v>
      </c>
      <c r="Q204" s="10" t="s">
        <v>133</v>
      </c>
      <c r="R204" s="10" t="s">
        <v>2525</v>
      </c>
      <c r="S204" s="10" t="s">
        <v>136</v>
      </c>
      <c r="T204" s="10"/>
      <c r="U204" s="10">
        <v>3011751655</v>
      </c>
      <c r="V204" s="10" t="s">
        <v>2528</v>
      </c>
      <c r="W204" s="10"/>
      <c r="X204" s="10"/>
      <c r="Y204" s="28" t="s">
        <v>2529</v>
      </c>
      <c r="Z204" s="10" t="s">
        <v>2530</v>
      </c>
      <c r="AA204" s="16">
        <v>46255</v>
      </c>
      <c r="AB204" s="17" t="s">
        <v>440</v>
      </c>
    </row>
    <row r="205" spans="1:33" ht="15.75" customHeight="1" x14ac:dyDescent="0.25">
      <c r="A205" s="10" t="s">
        <v>77</v>
      </c>
      <c r="B205" s="10" t="s">
        <v>86</v>
      </c>
      <c r="C205" s="10" t="s">
        <v>175</v>
      </c>
      <c r="D205" s="10" t="s">
        <v>92</v>
      </c>
      <c r="E205" s="10">
        <v>1045673064</v>
      </c>
      <c r="F205" s="25" t="s">
        <v>382</v>
      </c>
      <c r="G205" s="10" t="s">
        <v>26</v>
      </c>
      <c r="H205" s="10" t="s">
        <v>2533</v>
      </c>
      <c r="I205" s="13">
        <v>45831</v>
      </c>
      <c r="J205" s="12" t="s">
        <v>113</v>
      </c>
      <c r="K205" s="16">
        <v>32199</v>
      </c>
      <c r="L205" s="10">
        <f t="shared" ca="1" si="6"/>
        <v>38</v>
      </c>
      <c r="M205" s="10" t="s">
        <v>120</v>
      </c>
      <c r="N205" s="10" t="s">
        <v>122</v>
      </c>
      <c r="O205" s="12" t="s">
        <v>142</v>
      </c>
      <c r="P205" s="21" t="s">
        <v>128</v>
      </c>
      <c r="Q205" s="10" t="s">
        <v>133</v>
      </c>
      <c r="R205" s="12" t="s">
        <v>397</v>
      </c>
      <c r="S205" s="12" t="s">
        <v>136</v>
      </c>
      <c r="T205" s="12"/>
      <c r="U205" s="12">
        <v>3044606563</v>
      </c>
      <c r="V205" s="12" t="s">
        <v>400</v>
      </c>
      <c r="W205" s="12" t="s">
        <v>206</v>
      </c>
      <c r="X205" s="12"/>
      <c r="Y205" s="34" t="s">
        <v>2534</v>
      </c>
      <c r="Z205" s="12" t="s">
        <v>159</v>
      </c>
      <c r="AA205" s="16">
        <v>46255</v>
      </c>
      <c r="AB205" s="17" t="s">
        <v>440</v>
      </c>
    </row>
    <row r="206" spans="1:33" ht="15.75" customHeight="1" x14ac:dyDescent="0.2"/>
    <row r="207" spans="1:33" ht="15.75" customHeight="1" x14ac:dyDescent="0.2"/>
    <row r="208" spans="1:33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</sheetData>
  <conditionalFormatting sqref="P2:P8 Q15:Q17 P15:P22 O17 R17 O21 P25 P27">
    <cfRule type="notContainsBlanks" dxfId="4" priority="7">
      <formula>LEN(TRIM(P2))&gt;0</formula>
    </cfRule>
  </conditionalFormatting>
  <conditionalFormatting sqref="P28">
    <cfRule type="notContainsBlanks" dxfId="3" priority="6">
      <formula>LEN(TRIM(P28))&gt;0</formula>
    </cfRule>
  </conditionalFormatting>
  <conditionalFormatting sqref="P31:P34">
    <cfRule type="notContainsBlanks" dxfId="2" priority="2">
      <formula>LEN(TRIM(P31))&gt;0</formula>
    </cfRule>
  </conditionalFormatting>
  <conditionalFormatting sqref="P35 P37:P40 O42:O43 P42:P45 P47 P50:P53 O51 O53 P55 P58:P59 P61:P66 O65 O68:P68 P73 P81 P95:P96 O107 O112">
    <cfRule type="notContainsBlanks" dxfId="1" priority="1">
      <formula>LEN(TRIM(P35))&gt;0</formula>
    </cfRule>
  </conditionalFormatting>
  <dataValidations count="9">
    <dataValidation type="list" allowBlank="1" showErrorMessage="1" sqref="N2:N187 N194 N201:N202" xr:uid="{00000000-0002-0000-0300-000000000000}">
      <formula1>"Casado(a),Desconocido,Separado(a),Soltero(a),Unión Libre"</formula1>
    </dataValidation>
    <dataValidation type="list" allowBlank="1" showErrorMessage="1" sqref="P2:P205" xr:uid="{00000000-0002-0000-0300-000001000000}">
      <formula1>"POSITIVO,#¡REF!,NEGATIVO"</formula1>
    </dataValidation>
    <dataValidation type="list" allowBlank="1" showErrorMessage="1" sqref="N188:N193 N195:N200 N203:N205" xr:uid="{00000000-0002-0000-0300-000002000000}">
      <formula1>"Casado(a),Desconocido,Separado(a),Soltero(a),Unión Libre,Viudo "</formula1>
    </dataValidation>
    <dataValidation type="list" allowBlank="1" showErrorMessage="1" sqref="A2:A205" xr:uid="{00000000-0002-0000-0300-000003000000}">
      <formula1>"ADMINISTRATIVO,OPERATIVO"</formula1>
    </dataValidation>
    <dataValidation type="list" allowBlank="1" showErrorMessage="1" sqref="AB3:AB9 AB11:AB19 AB21:AB25 AB27 AB33" xr:uid="{00000000-0002-0000-0300-000004000000}">
      <formula1>"CON JUSTA CAUSA,SIN JUSTA CAUSA,PERIODO DE PRUEBA,VOLUNTARIO,TERMINACION DE PRACTICAS,SIN NOVEDAD,RETIRADO"</formula1>
    </dataValidation>
    <dataValidation type="list" allowBlank="1" showErrorMessage="1" sqref="B2:B205" xr:uid="{00000000-0002-0000-0300-000005000000}">
      <formula1>"ACTIVO,INACTIVO"</formula1>
    </dataValidation>
    <dataValidation type="list" allowBlank="1" showErrorMessage="1" sqref="M2:M205" xr:uid="{00000000-0002-0000-0300-000006000000}">
      <formula1>"Femenino,Masculino,Otros"</formula1>
    </dataValidation>
    <dataValidation type="list" allowBlank="1" showErrorMessage="1" sqref="AB2" xr:uid="{00000000-0002-0000-0300-000007000000}">
      <formula1>"CON JUSTA CAUSA,SIN JUSTA CAUSA,PERIODO DE PRUEBA,VOLUNTARIO,TERMINACION DE PRACTICAS,SIN NOVEDAD,RETIRO SIZING"</formula1>
    </dataValidation>
    <dataValidation type="list" allowBlank="1" showErrorMessage="1" sqref="C2:C205" xr:uid="{00000000-0002-0000-0300-000008000000}">
      <formula1>"CON GEOVICTORIA,SIN GEOVICTORIA"</formula1>
    </dataValidation>
  </dataValidations>
  <hyperlinks>
    <hyperlink ref="V7" r:id="rId1" xr:uid="{00000000-0004-0000-0300-000000000000}"/>
    <hyperlink ref="V61" r:id="rId2" xr:uid="{00000000-0004-0000-0300-000001000000}"/>
    <hyperlink ref="V90" r:id="rId3" xr:uid="{00000000-0004-0000-0300-000002000000}"/>
    <hyperlink ref="V107" r:id="rId4" xr:uid="{00000000-0004-0000-0300-000003000000}"/>
    <hyperlink ref="R108" r:id="rId5" xr:uid="{00000000-0004-0000-0300-000004000000}"/>
    <hyperlink ref="V137" r:id="rId6" xr:uid="{00000000-0004-0000-0300-000005000000}"/>
    <hyperlink ref="V149" r:id="rId7" xr:uid="{00000000-0004-0000-0300-000006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"/>
  <sheetViews>
    <sheetView showGridLines="0" workbookViewId="0">
      <selection activeCell="B4" sqref="B4"/>
    </sheetView>
  </sheetViews>
  <sheetFormatPr baseColWidth="10" defaultColWidth="12.5703125" defaultRowHeight="15" customHeight="1" x14ac:dyDescent="0.2"/>
  <cols>
    <col min="1" max="1" width="22.7109375" customWidth="1"/>
    <col min="2" max="2" width="34" customWidth="1"/>
  </cols>
  <sheetData>
    <row r="1" spans="1:2" x14ac:dyDescent="0.2">
      <c r="A1" s="158" t="s">
        <v>2</v>
      </c>
      <c r="B1" s="159" t="s">
        <v>77</v>
      </c>
    </row>
    <row r="2" spans="1:2" x14ac:dyDescent="0.2"/>
    <row r="3" spans="1:2" x14ac:dyDescent="0.2">
      <c r="A3" s="150" t="s">
        <v>14</v>
      </c>
      <c r="B3" s="151" t="s">
        <v>3502</v>
      </c>
    </row>
    <row r="4" spans="1:2" x14ac:dyDescent="0.2">
      <c r="A4" s="152" t="s">
        <v>11</v>
      </c>
      <c r="B4" s="153">
        <v>32</v>
      </c>
    </row>
    <row r="5" spans="1:2" x14ac:dyDescent="0.2">
      <c r="A5" s="154" t="s">
        <v>26</v>
      </c>
      <c r="B5" s="155">
        <v>30</v>
      </c>
    </row>
    <row r="6" spans="1:2" x14ac:dyDescent="0.2">
      <c r="A6" s="154" t="s">
        <v>390</v>
      </c>
      <c r="B6" s="155">
        <v>1</v>
      </c>
    </row>
    <row r="7" spans="1:2" x14ac:dyDescent="0.2">
      <c r="A7" s="154" t="s">
        <v>741</v>
      </c>
      <c r="B7" s="155">
        <v>6</v>
      </c>
    </row>
    <row r="8" spans="1:2" x14ac:dyDescent="0.2">
      <c r="A8" s="154" t="s">
        <v>32</v>
      </c>
      <c r="B8" s="155">
        <v>6</v>
      </c>
    </row>
    <row r="9" spans="1:2" ht="15" customHeight="1" x14ac:dyDescent="0.2">
      <c r="A9" s="154" t="s">
        <v>302</v>
      </c>
      <c r="B9" s="155">
        <v>34</v>
      </c>
    </row>
    <row r="10" spans="1:2" ht="15" customHeight="1" x14ac:dyDescent="0.2">
      <c r="A10" s="156" t="s">
        <v>3503</v>
      </c>
      <c r="B10" s="157">
        <v>109</v>
      </c>
    </row>
  </sheetData>
  <conditionalFormatting sqref="E3">
    <cfRule type="notContainsBlanks" dxfId="0" priority="1">
      <formula>LEN(TRIM(E3))&gt;0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PLACA</vt:lpstr>
      <vt:lpstr>DATA-PRINCIPAL</vt:lpstr>
      <vt:lpstr>ACTIVOS</vt:lpstr>
      <vt:lpstr>INACTIVOS</vt:lpstr>
      <vt:lpstr>Tabla dinámica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Corena</cp:lastModifiedBy>
  <dcterms:created xsi:type="dcterms:W3CDTF">2026-08-26T18:24:42Z</dcterms:created>
  <dcterms:modified xsi:type="dcterms:W3CDTF">2026-08-26T18:24:42Z</dcterms:modified>
</cp:coreProperties>
</file>